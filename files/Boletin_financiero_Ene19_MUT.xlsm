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pivotTables/pivotTable1.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xl/pivotTables/pivotTable2.xml" ContentType="application/vnd.openxmlformats-officedocument.spreadsheetml.pivotTable+xml"/>
  <Override PartName="/xl/drawings/drawing4.xml" ContentType="application/vnd.openxmlformats-officedocument.drawing+xml"/>
  <Override PartName="/xl/slicers/slicer2.xml" ContentType="application/vnd.ms-excel.slicer+xml"/>
  <Override PartName="/xl/pivotTables/pivotTable3.xml" ContentType="application/vnd.openxmlformats-officedocument.spreadsheetml.pivotTable+xml"/>
  <Override PartName="/xl/drawings/drawing5.xml" ContentType="application/vnd.openxmlformats-officedocument.drawing+xml"/>
  <Override PartName="/xl/slicers/slicer3.xml" ContentType="application/vnd.ms-excel.slicer+xml"/>
  <Override PartName="/xl/pivotTables/pivotTable4.xml" ContentType="application/vnd.openxmlformats-officedocument.spreadsheetml.pivotTable+xml"/>
  <Override PartName="/xl/drawings/drawing6.xml" ContentType="application/vnd.openxmlformats-officedocument.drawing+xml"/>
  <Override PartName="/xl/slicers/slicer4.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5.xml" ContentType="application/vnd.openxmlformats-officedocument.spreadsheetml.pivotTable+xml"/>
  <Override PartName="/xl/drawings/drawing7.xml" ContentType="application/vnd.openxmlformats-officedocument.drawing+xml"/>
  <Override PartName="/xl/slicers/slicer5.xml" ContentType="application/vnd.ms-excel.slicer+xml"/>
  <Override PartName="/xl/tables/table1.xml" ContentType="application/vnd.openxmlformats-officedocument.spreadsheetml.table+xml"/>
  <Override PartName="/xl/pivotTables/pivotTable6.xml" ContentType="application/vnd.openxmlformats-officedocument.spreadsheetml.pivotTable+xml"/>
  <Override PartName="/xl/drawings/drawing8.xml" ContentType="application/vnd.openxmlformats-officedocument.drawing+xml"/>
  <Override PartName="/xl/slicers/slicer6.xml" ContentType="application/vnd.ms-excel.slicer+xml"/>
  <Override PartName="/xl/pivotTables/pivotTable7.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53222"/>
  <mc:AlternateContent xmlns:mc="http://schemas.openxmlformats.org/markup-compatibility/2006">
    <mc:Choice Requires="x15">
      <x15ac:absPath xmlns:x15ac="http://schemas.microsoft.com/office/spreadsheetml/2010/11/ac" url="D:\KARINA_GARCIA\TRABAJO KARINA\BOLETINES\3.- BOLETINES SEGMENTACION MAYO 2015\2018\2019\FEBRERO\ACTUALIZACION\ENERO\MUTUALISTAS\"/>
    </mc:Choice>
  </mc:AlternateContent>
  <bookViews>
    <workbookView xWindow="0" yWindow="0" windowWidth="23040" windowHeight="9372" tabRatio="882" firstSheet="4" activeTab="6"/>
  </bookViews>
  <sheets>
    <sheet name="ÍNDICE" sheetId="17" r:id="rId1"/>
    <sheet name="INTRODUCCIÓN" sheetId="16" r:id="rId2"/>
    <sheet name="ESTADO FINANCIERO" sheetId="2" r:id="rId3"/>
    <sheet name="RESULTADOS DEL EJERCICIO" sheetId="15" r:id="rId4"/>
    <sheet name="CLASIFICACIÓN DE CARTERA" sheetId="9" r:id="rId5"/>
    <sheet name="RANKING" sheetId="19" r:id="rId6"/>
    <sheet name="INDICADORES FINANCIEROS" sheetId="10" r:id="rId7"/>
    <sheet name="CATASTRO" sheetId="22" state="veryHidden" r:id="rId8"/>
    <sheet name="Hoja6" sheetId="25" state="veryHidden" r:id="rId9"/>
    <sheet name="Hoja1" sheetId="20" state="veryHidden" r:id="rId10"/>
    <sheet name="Ranking por a,p,p" sheetId="21" state="veryHidden" r:id="rId11"/>
    <sheet name="PARA REPORTE TOTAL" sheetId="26" state="veryHidden" r:id="rId12"/>
  </sheets>
  <definedNames>
    <definedName name="_xlnm._FilterDatabase" localSheetId="2" hidden="1">'ESTADO FINANCIERO'!$A$11:$I$261</definedName>
    <definedName name="BALANCE">ÍNDICE!$B$18</definedName>
    <definedName name="ESTADO_FINANCIERO">ÍNDICE!$B$18</definedName>
    <definedName name="SegmentaciónDeDatos_DESC_CUENTA">#N/A</definedName>
    <definedName name="SegmentaciónDeDatos_FEC_CORTE">#N/A</definedName>
    <definedName name="SegmentaciónDeDatos_FEC_CORTE1">#N/A</definedName>
    <definedName name="SegmentaciónDeDatos_FEC_CORTE2">#N/A</definedName>
    <definedName name="SegmentaciónDeDatos_FEC_CORTE3">#N/A</definedName>
    <definedName name="SegmentaciónDeDatos_fecha">#N/A</definedName>
    <definedName name="SegmentaciónDeDatos_NOM_RAZON_SOCIAL">#N/A</definedName>
    <definedName name="SegmentaciónDeDatos_NOM_RAZON_SOCIAL1">#N/A</definedName>
    <definedName name="SegmentaciónDeDatos_NOM_RAZON_SOCIAL3">#N/A</definedName>
    <definedName name="SegmentaciónDeDatos_NOM_RAZON_SOCIAL4">#N/A</definedName>
    <definedName name="SegmentaciónDeDatos_NOM_RAZON_SOCIAL6">#N/A</definedName>
  </definedNames>
  <calcPr calcId="152511"/>
  <pivotCaches>
    <pivotCache cacheId="309" r:id="rId13"/>
    <pivotCache cacheId="310" r:id="rId14"/>
    <pivotCache cacheId="311" r:id="rId15"/>
    <pivotCache cacheId="312" r:id="rId16"/>
    <pivotCache cacheId="313" r:id="rId17"/>
  </pivotCaches>
  <extLst>
    <ext xmlns:x14="http://schemas.microsoft.com/office/spreadsheetml/2009/9/main" uri="{BBE1A952-AA13-448e-AADC-164F8A28A991}">
      <x14:slicerCaches>
        <x14:slicerCache r:id="rId18"/>
        <x14:slicerCache r:id="rId19"/>
        <x14:slicerCache r:id="rId20"/>
        <x14:slicerCache r:id="rId21"/>
        <x14:slicerCache r:id="rId22"/>
        <x14:slicerCache r:id="rId23"/>
        <x14:slicerCache r:id="rId24"/>
        <x14:slicerCache r:id="rId25"/>
        <x14:slicerCache r:id="rId26"/>
        <x14:slicerCache r:id="rId27"/>
        <x14:slicerCache r:id="rId28"/>
      </x14:slicerCaches>
    </ext>
    <ext xmlns:x14="http://schemas.microsoft.com/office/spreadsheetml/2009/9/main" uri="{79F54976-1DA5-4618-B147-4CDE4B953A38}">
      <x14:workbookPr/>
    </ext>
  </extLst>
</workbook>
</file>

<file path=xl/calcChain.xml><?xml version="1.0" encoding="utf-8"?>
<calcChain xmlns="http://schemas.openxmlformats.org/spreadsheetml/2006/main">
  <c r="B171" i="26" l="1"/>
  <c r="B170" i="26"/>
  <c r="N169" i="26"/>
  <c r="M169" i="26"/>
  <c r="L169" i="26"/>
  <c r="K169" i="26"/>
  <c r="J169" i="26"/>
  <c r="I169" i="26"/>
  <c r="H169" i="26"/>
  <c r="G169" i="26"/>
  <c r="F169" i="26"/>
  <c r="E169" i="26"/>
  <c r="D169" i="26"/>
  <c r="C169" i="26"/>
  <c r="B169" i="26"/>
  <c r="N168" i="26"/>
  <c r="M168" i="26"/>
  <c r="L168" i="26"/>
  <c r="K168" i="26"/>
  <c r="J168" i="26"/>
  <c r="I168" i="26"/>
  <c r="H168" i="26"/>
  <c r="G168" i="26"/>
  <c r="F168" i="26"/>
  <c r="E168" i="26"/>
  <c r="D168" i="26"/>
  <c r="C168" i="26"/>
  <c r="B168" i="26"/>
  <c r="N167" i="26"/>
  <c r="M167" i="26"/>
  <c r="L167" i="26"/>
  <c r="K167" i="26"/>
  <c r="J167" i="26"/>
  <c r="I167" i="26"/>
  <c r="H167" i="26"/>
  <c r="G167" i="26"/>
  <c r="F167" i="26"/>
  <c r="E167" i="26"/>
  <c r="D167" i="26"/>
  <c r="C167" i="26"/>
  <c r="B167" i="26"/>
  <c r="N166" i="26"/>
  <c r="M166" i="26"/>
  <c r="L166" i="26"/>
  <c r="K166" i="26"/>
  <c r="J166" i="26"/>
  <c r="I166" i="26"/>
  <c r="H166" i="26"/>
  <c r="G166" i="26"/>
  <c r="F166" i="26"/>
  <c r="E166" i="26"/>
  <c r="D166" i="26"/>
  <c r="C166" i="26"/>
  <c r="B166" i="26"/>
  <c r="N164" i="26"/>
  <c r="M164" i="26"/>
  <c r="L164" i="26"/>
  <c r="K164" i="26"/>
  <c r="J164" i="26"/>
  <c r="I164" i="26"/>
  <c r="H164" i="26"/>
  <c r="G164" i="26"/>
  <c r="F164" i="26"/>
  <c r="E164" i="26"/>
  <c r="D164" i="26"/>
  <c r="C164" i="26"/>
  <c r="B164" i="26"/>
  <c r="A164" i="26"/>
  <c r="N163" i="26"/>
  <c r="M163" i="26"/>
  <c r="L163" i="26"/>
  <c r="K163" i="26"/>
  <c r="J163" i="26"/>
  <c r="I163" i="26"/>
  <c r="H163" i="26"/>
  <c r="G163" i="26"/>
  <c r="F163" i="26"/>
  <c r="E163" i="26"/>
  <c r="D163" i="26"/>
  <c r="C163" i="26"/>
  <c r="B163" i="26"/>
  <c r="A163" i="26"/>
  <c r="N162" i="26"/>
  <c r="M162" i="26"/>
  <c r="L162" i="26"/>
  <c r="K162" i="26"/>
  <c r="J162" i="26"/>
  <c r="I162" i="26"/>
  <c r="H162" i="26"/>
  <c r="G162" i="26"/>
  <c r="F162" i="26"/>
  <c r="E162" i="26"/>
  <c r="D162" i="26"/>
  <c r="C162" i="26"/>
  <c r="B162" i="26"/>
  <c r="A162" i="26"/>
  <c r="N161" i="26"/>
  <c r="M161" i="26"/>
  <c r="L161" i="26"/>
  <c r="K161" i="26"/>
  <c r="J161" i="26"/>
  <c r="I161" i="26"/>
  <c r="H161" i="26"/>
  <c r="G161" i="26"/>
  <c r="F161" i="26"/>
  <c r="E161" i="26"/>
  <c r="D161" i="26"/>
  <c r="C161" i="26"/>
  <c r="B161" i="26"/>
  <c r="A161" i="26"/>
  <c r="N160" i="26"/>
  <c r="M160" i="26"/>
  <c r="L160" i="26"/>
  <c r="K160" i="26"/>
  <c r="J160" i="26"/>
  <c r="I160" i="26"/>
  <c r="H160" i="26"/>
  <c r="G160" i="26"/>
  <c r="F160" i="26"/>
  <c r="E160" i="26"/>
  <c r="D160" i="26"/>
  <c r="C160" i="26"/>
  <c r="B160" i="26"/>
  <c r="A160" i="26"/>
  <c r="N159" i="26"/>
  <c r="M159" i="26"/>
  <c r="L159" i="26"/>
  <c r="K159" i="26"/>
  <c r="J159" i="26"/>
  <c r="I159" i="26"/>
  <c r="H159" i="26"/>
  <c r="G159" i="26"/>
  <c r="F159" i="26"/>
  <c r="E159" i="26"/>
  <c r="D159" i="26"/>
  <c r="C159" i="26"/>
  <c r="B159" i="26"/>
  <c r="A159" i="26"/>
  <c r="N158" i="26"/>
  <c r="M158" i="26"/>
  <c r="L158" i="26"/>
  <c r="K158" i="26"/>
  <c r="J158" i="26"/>
  <c r="I158" i="26"/>
  <c r="H158" i="26"/>
  <c r="G158" i="26"/>
  <c r="F158" i="26"/>
  <c r="E158" i="26"/>
  <c r="D158" i="26"/>
  <c r="C158" i="26"/>
  <c r="B158" i="26"/>
  <c r="A158" i="26"/>
  <c r="N157" i="26"/>
  <c r="M157" i="26"/>
  <c r="L157" i="26"/>
  <c r="K157" i="26"/>
  <c r="J157" i="26"/>
  <c r="I157" i="26"/>
  <c r="H157" i="26"/>
  <c r="G157" i="26"/>
  <c r="F157" i="26"/>
  <c r="E157" i="26"/>
  <c r="D157" i="26"/>
  <c r="C157" i="26"/>
  <c r="B157" i="26"/>
  <c r="A157" i="26"/>
  <c r="N156" i="26"/>
  <c r="M156" i="26"/>
  <c r="L156" i="26"/>
  <c r="K156" i="26"/>
  <c r="J156" i="26"/>
  <c r="I156" i="26"/>
  <c r="H156" i="26"/>
  <c r="G156" i="26"/>
  <c r="F156" i="26"/>
  <c r="E156" i="26"/>
  <c r="D156" i="26"/>
  <c r="C156" i="26"/>
  <c r="B156" i="26"/>
  <c r="A156" i="26"/>
  <c r="N155" i="26"/>
  <c r="M155" i="26"/>
  <c r="L155" i="26"/>
  <c r="K155" i="26"/>
  <c r="J155" i="26"/>
  <c r="I155" i="26"/>
  <c r="H155" i="26"/>
  <c r="G155" i="26"/>
  <c r="F155" i="26"/>
  <c r="E155" i="26"/>
  <c r="D155" i="26"/>
  <c r="C155" i="26"/>
  <c r="B155" i="26"/>
  <c r="A155" i="26"/>
  <c r="N154" i="26"/>
  <c r="M154" i="26"/>
  <c r="L154" i="26"/>
  <c r="K154" i="26"/>
  <c r="J154" i="26"/>
  <c r="I154" i="26"/>
  <c r="H154" i="26"/>
  <c r="G154" i="26"/>
  <c r="F154" i="26"/>
  <c r="E154" i="26"/>
  <c r="D154" i="26"/>
  <c r="C154" i="26"/>
  <c r="B154" i="26"/>
  <c r="A154" i="26"/>
  <c r="N153" i="26"/>
  <c r="M153" i="26"/>
  <c r="L153" i="26"/>
  <c r="K153" i="26"/>
  <c r="J153" i="26"/>
  <c r="I153" i="26"/>
  <c r="H153" i="26"/>
  <c r="G153" i="26"/>
  <c r="F153" i="26"/>
  <c r="E153" i="26"/>
  <c r="D153" i="26"/>
  <c r="C153" i="26"/>
  <c r="B153" i="26"/>
  <c r="A153" i="26"/>
  <c r="N152" i="26"/>
  <c r="M152" i="26"/>
  <c r="L152" i="26"/>
  <c r="K152" i="26"/>
  <c r="J152" i="26"/>
  <c r="I152" i="26"/>
  <c r="H152" i="26"/>
  <c r="G152" i="26"/>
  <c r="F152" i="26"/>
  <c r="E152" i="26"/>
  <c r="D152" i="26"/>
  <c r="C152" i="26"/>
  <c r="B152" i="26"/>
  <c r="A152" i="26"/>
  <c r="N151" i="26"/>
  <c r="M151" i="26"/>
  <c r="L151" i="26"/>
  <c r="K151" i="26"/>
  <c r="J151" i="26"/>
  <c r="I151" i="26"/>
  <c r="H151" i="26"/>
  <c r="G151" i="26"/>
  <c r="F151" i="26"/>
  <c r="E151" i="26"/>
  <c r="D151" i="26"/>
  <c r="C151" i="26"/>
  <c r="B151" i="26"/>
  <c r="A151" i="26"/>
  <c r="N150" i="26"/>
  <c r="M150" i="26"/>
  <c r="L150" i="26"/>
  <c r="K150" i="26"/>
  <c r="J150" i="26"/>
  <c r="I150" i="26"/>
  <c r="H150" i="26"/>
  <c r="G150" i="26"/>
  <c r="F150" i="26"/>
  <c r="E150" i="26"/>
  <c r="D150" i="26"/>
  <c r="C150" i="26"/>
  <c r="B150" i="26"/>
  <c r="A150" i="26"/>
  <c r="N149" i="26"/>
  <c r="M149" i="26"/>
  <c r="L149" i="26"/>
  <c r="K149" i="26"/>
  <c r="J149" i="26"/>
  <c r="I149" i="26"/>
  <c r="H149" i="26"/>
  <c r="G149" i="26"/>
  <c r="F149" i="26"/>
  <c r="E149" i="26"/>
  <c r="D149" i="26"/>
  <c r="C149" i="26"/>
  <c r="B149" i="26"/>
  <c r="A149" i="26"/>
  <c r="N148" i="26"/>
  <c r="M148" i="26"/>
  <c r="L148" i="26"/>
  <c r="K148" i="26"/>
  <c r="J148" i="26"/>
  <c r="I148" i="26"/>
  <c r="H148" i="26"/>
  <c r="G148" i="26"/>
  <c r="F148" i="26"/>
  <c r="E148" i="26"/>
  <c r="D148" i="26"/>
  <c r="C148" i="26"/>
  <c r="B148" i="26"/>
  <c r="A148" i="26"/>
  <c r="N147" i="26"/>
  <c r="M147" i="26"/>
  <c r="L147" i="26"/>
  <c r="K147" i="26"/>
  <c r="J147" i="26"/>
  <c r="I147" i="26"/>
  <c r="H147" i="26"/>
  <c r="G147" i="26"/>
  <c r="F147" i="26"/>
  <c r="E147" i="26"/>
  <c r="D147" i="26"/>
  <c r="C147" i="26"/>
  <c r="B147" i="26"/>
  <c r="A147" i="26"/>
  <c r="N146" i="26"/>
  <c r="M146" i="26"/>
  <c r="L146" i="26"/>
  <c r="K146" i="26"/>
  <c r="J146" i="26"/>
  <c r="I146" i="26"/>
  <c r="H146" i="26"/>
  <c r="G146" i="26"/>
  <c r="F146" i="26"/>
  <c r="E146" i="26"/>
  <c r="D146" i="26"/>
  <c r="C146" i="26"/>
  <c r="B146" i="26"/>
  <c r="A146" i="26"/>
  <c r="N145" i="26"/>
  <c r="M145" i="26"/>
  <c r="L145" i="26"/>
  <c r="K145" i="26"/>
  <c r="J145" i="26"/>
  <c r="I145" i="26"/>
  <c r="H145" i="26"/>
  <c r="G145" i="26"/>
  <c r="F145" i="26"/>
  <c r="E145" i="26"/>
  <c r="D145" i="26"/>
  <c r="C145" i="26"/>
  <c r="B145" i="26"/>
  <c r="A145" i="26"/>
  <c r="N144" i="26"/>
  <c r="M144" i="26"/>
  <c r="L144" i="26"/>
  <c r="K144" i="26"/>
  <c r="J144" i="26"/>
  <c r="I144" i="26"/>
  <c r="H144" i="26"/>
  <c r="G144" i="26"/>
  <c r="F144" i="26"/>
  <c r="E144" i="26"/>
  <c r="D144" i="26"/>
  <c r="C144" i="26"/>
  <c r="B144" i="26"/>
  <c r="A144" i="26"/>
  <c r="N143" i="26"/>
  <c r="M143" i="26"/>
  <c r="L143" i="26"/>
  <c r="K143" i="26"/>
  <c r="J143" i="26"/>
  <c r="I143" i="26"/>
  <c r="H143" i="26"/>
  <c r="G143" i="26"/>
  <c r="F143" i="26"/>
  <c r="E143" i="26"/>
  <c r="D143" i="26"/>
  <c r="C143" i="26"/>
  <c r="B143" i="26"/>
  <c r="A143" i="26"/>
  <c r="N142" i="26"/>
  <c r="M142" i="26"/>
  <c r="L142" i="26"/>
  <c r="K142" i="26"/>
  <c r="J142" i="26"/>
  <c r="I142" i="26"/>
  <c r="H142" i="26"/>
  <c r="G142" i="26"/>
  <c r="F142" i="26"/>
  <c r="E142" i="26"/>
  <c r="D142" i="26"/>
  <c r="C142" i="26"/>
  <c r="B142" i="26"/>
  <c r="A142" i="26"/>
  <c r="N141" i="26"/>
  <c r="M141" i="26"/>
  <c r="L141" i="26"/>
  <c r="K141" i="26"/>
  <c r="J141" i="26"/>
  <c r="I141" i="26"/>
  <c r="H141" i="26"/>
  <c r="G141" i="26"/>
  <c r="F141" i="26"/>
  <c r="E141" i="26"/>
  <c r="D141" i="26"/>
  <c r="C141" i="26"/>
  <c r="B141" i="26"/>
  <c r="A141" i="26"/>
  <c r="N140" i="26"/>
  <c r="M140" i="26"/>
  <c r="L140" i="26"/>
  <c r="K140" i="26"/>
  <c r="J140" i="26"/>
  <c r="I140" i="26"/>
  <c r="H140" i="26"/>
  <c r="G140" i="26"/>
  <c r="F140" i="26"/>
  <c r="E140" i="26"/>
  <c r="D140" i="26"/>
  <c r="C140" i="26"/>
  <c r="B140" i="26"/>
  <c r="A140" i="26"/>
  <c r="N139" i="26"/>
  <c r="M139" i="26"/>
  <c r="L139" i="26"/>
  <c r="K139" i="26"/>
  <c r="J139" i="26"/>
  <c r="I139" i="26"/>
  <c r="H139" i="26"/>
  <c r="G139" i="26"/>
  <c r="F139" i="26"/>
  <c r="E139" i="26"/>
  <c r="D139" i="26"/>
  <c r="C139" i="26"/>
  <c r="B139" i="26"/>
  <c r="A139" i="26"/>
  <c r="N138" i="26"/>
  <c r="M138" i="26"/>
  <c r="L138" i="26"/>
  <c r="K138" i="26"/>
  <c r="J138" i="26"/>
  <c r="I138" i="26"/>
  <c r="H138" i="26"/>
  <c r="G138" i="26"/>
  <c r="F138" i="26"/>
  <c r="E138" i="26"/>
  <c r="D138" i="26"/>
  <c r="C138" i="26"/>
  <c r="B138" i="26"/>
  <c r="A138" i="26"/>
  <c r="B135" i="26"/>
  <c r="C20" i="20"/>
  <c r="B20" i="20"/>
  <c r="C19" i="20"/>
  <c r="B19" i="20"/>
  <c r="C18" i="20"/>
  <c r="B18" i="20"/>
  <c r="B13" i="20"/>
  <c r="B12" i="20"/>
  <c r="I11" i="20"/>
  <c r="B11" i="20"/>
  <c r="I10" i="20"/>
  <c r="B10" i="20"/>
  <c r="B9" i="20"/>
  <c r="A7" i="2"/>
  <c r="A7" i="9" s="1"/>
  <c r="B24" i="17"/>
  <c r="B9" i="17"/>
  <c r="B7" i="10" l="1"/>
  <c r="B7" i="19"/>
  <c r="B7" i="15"/>
</calcChain>
</file>

<file path=xl/sharedStrings.xml><?xml version="1.0" encoding="utf-8"?>
<sst xmlns="http://schemas.openxmlformats.org/spreadsheetml/2006/main" count="4937" uniqueCount="2684">
  <si>
    <t>SEGMENTO</t>
  </si>
  <si>
    <t>NUM_RUC</t>
  </si>
  <si>
    <t>0190115798001</t>
  </si>
  <si>
    <t>0190155722001</t>
  </si>
  <si>
    <t>0290003288001</t>
  </si>
  <si>
    <t>0390027923001</t>
  </si>
  <si>
    <t>0490001883001</t>
  </si>
  <si>
    <t>0490002669001</t>
  </si>
  <si>
    <t>0590052000001</t>
  </si>
  <si>
    <t>0690045389001</t>
  </si>
  <si>
    <t>0790024656001</t>
  </si>
  <si>
    <t>1090033456001</t>
  </si>
  <si>
    <t>1091720902001</t>
  </si>
  <si>
    <t>1190068389001</t>
  </si>
  <si>
    <t>1690012606001</t>
  </si>
  <si>
    <t>1790093204001</t>
  </si>
  <si>
    <t>1790325083001</t>
  </si>
  <si>
    <t>1790451801001</t>
  </si>
  <si>
    <t>1790501469001</t>
  </si>
  <si>
    <t>1790567699001</t>
  </si>
  <si>
    <t>1790866084001</t>
  </si>
  <si>
    <t>1790979016001</t>
  </si>
  <si>
    <t>1791708040001</t>
  </si>
  <si>
    <t>1890001323001</t>
  </si>
  <si>
    <t>1890003628001</t>
  </si>
  <si>
    <t>1890037646001</t>
  </si>
  <si>
    <t>1890080967001</t>
  </si>
  <si>
    <t>1890141877001</t>
  </si>
  <si>
    <t>NOM_RAZON_SOCIAL</t>
  </si>
  <si>
    <t>JUVENTUD ECUATORIANA PROGRESISTA LTDA</t>
  </si>
  <si>
    <t>JARDIN AZUAYO LTDA</t>
  </si>
  <si>
    <t>SAN JOSE LTDA</t>
  </si>
  <si>
    <t>DE LA PEQUEÑA EMPRESA BIBLIAN LTDA</t>
  </si>
  <si>
    <t>PABLO MUÑOZ VEGA LTDA</t>
  </si>
  <si>
    <t>TULCAN LTDA</t>
  </si>
  <si>
    <t>DE LA PEQUEÑA EMPRESA DE COTOPAXI LTDA</t>
  </si>
  <si>
    <t>RIOBAMBA LTDA</t>
  </si>
  <si>
    <t>SANTA ROSA LTDA</t>
  </si>
  <si>
    <t>ATUNTAQUI LTDA</t>
  </si>
  <si>
    <t>PILAHUIN TIO LTDA</t>
  </si>
  <si>
    <t>DE LA PEQUEÑA EMPRESA DE PASTAZA LTDA</t>
  </si>
  <si>
    <t>23 DE JULIO LTDA</t>
  </si>
  <si>
    <t>ANDALUCIA LTDA</t>
  </si>
  <si>
    <t>COOPROGRESO LTDA</t>
  </si>
  <si>
    <t>ALIANZA DEL VALLE LTDA</t>
  </si>
  <si>
    <t>29 DE OCTUBRE LTDA</t>
  </si>
  <si>
    <t>POLICIA NACIONAL LTDA</t>
  </si>
  <si>
    <t>CAJA CENTRAL FINANCOOP</t>
  </si>
  <si>
    <t>OSCUS LTDA</t>
  </si>
  <si>
    <t>SAN FRANCISCO LTDA</t>
  </si>
  <si>
    <t>EL SAGRARIO LTDA</t>
  </si>
  <si>
    <t>CAMARA DE COMERCIO DE AMBATO LTDA</t>
  </si>
  <si>
    <t>MUSHUC RUNA LTDA</t>
  </si>
  <si>
    <t>2</t>
  </si>
  <si>
    <t>1</t>
  </si>
  <si>
    <t>5</t>
  </si>
  <si>
    <t>6</t>
  </si>
  <si>
    <t>11</t>
  </si>
  <si>
    <t>4</t>
  </si>
  <si>
    <t>46</t>
  </si>
  <si>
    <t>42</t>
  </si>
  <si>
    <t>51</t>
  </si>
  <si>
    <t>47</t>
  </si>
  <si>
    <t>43</t>
  </si>
  <si>
    <t>45</t>
  </si>
  <si>
    <t>52</t>
  </si>
  <si>
    <t>44</t>
  </si>
  <si>
    <t>12</t>
  </si>
  <si>
    <t>41</t>
  </si>
  <si>
    <t>48</t>
  </si>
  <si>
    <t>53</t>
  </si>
  <si>
    <t>54</t>
  </si>
  <si>
    <t>55</t>
  </si>
  <si>
    <t>56</t>
  </si>
  <si>
    <t>Etiquetas de columna</t>
  </si>
  <si>
    <t>Total general</t>
  </si>
  <si>
    <t>Valores</t>
  </si>
  <si>
    <t>CARTERA DE CRÉDITO COMERCIAL PRIORITARIO POR VENCER</t>
  </si>
  <si>
    <t>CARTERA DE CRÉDITO DE CONSUMO PRIORITARIO POR VENCER</t>
  </si>
  <si>
    <t>TOTAL CARTERA</t>
  </si>
  <si>
    <t>Suma de A1_DE_1_A_30_DIAS</t>
  </si>
  <si>
    <t>Suma de A1_DE_31_A_90DIAS</t>
  </si>
  <si>
    <t>Suma de A1_DE_91_A_180_DIAS</t>
  </si>
  <si>
    <t>Suma de A1_DE_181_A_360_DIAS</t>
  </si>
  <si>
    <t>Suma de A1_DE_MAS_DE_360_DIAS</t>
  </si>
  <si>
    <t>Suma de A2_DE_1_A_30_DIAS</t>
  </si>
  <si>
    <t>Suma de A2_DE_31_A_90DIAS</t>
  </si>
  <si>
    <t>Suma de A2_DE_91_A_180_DIAS</t>
  </si>
  <si>
    <t>Suma de A2_DE_181_A_360_DIAS</t>
  </si>
  <si>
    <t>Suma de A2_DE_MAS_DE_360_DIAS</t>
  </si>
  <si>
    <t>Suma de A3_DE_1_A_30_DIAS</t>
  </si>
  <si>
    <t>Suma de A3_DE_31_A_90DIAS</t>
  </si>
  <si>
    <t>Suma de A3_DE_91_A_180_DIAS</t>
  </si>
  <si>
    <t>Suma de A3_DE_181_A_360_DIAS</t>
  </si>
  <si>
    <t>Suma de A3_DE_MAS_DE_360_DIAS</t>
  </si>
  <si>
    <t>Suma de A4_DE_1_A_30_DIAS</t>
  </si>
  <si>
    <t>Suma de A4_DE_31_A_90DIAS</t>
  </si>
  <si>
    <t>Suma de A4_DE_91_A_180_DIAS</t>
  </si>
  <si>
    <t>Suma de A4_DE_MAS_DE_180_DIAS</t>
  </si>
  <si>
    <t>Suma de A5_DE_1_A_30_DIAS</t>
  </si>
  <si>
    <t>Suma de A5_DE_31_A_90DIAS</t>
  </si>
  <si>
    <t>Suma de A5_DE_91_A_180_DIAS</t>
  </si>
  <si>
    <t>Suma de A5_DE_MAS_DE_180_DIAS</t>
  </si>
  <si>
    <t>Suma de A6_DE_31_A_90DIAS</t>
  </si>
  <si>
    <t>Suma de A6_DE_91_A_180_DIAS</t>
  </si>
  <si>
    <t>Suma de A6_DE_181_A_360_DIAS</t>
  </si>
  <si>
    <t>Suma de A6_DE_MAS_DE_360_DIAS</t>
  </si>
  <si>
    <t>Suma de A7_DE_1_A_30_DIAS</t>
  </si>
  <si>
    <t>Suma de A7_DE_31_A_90DIAS</t>
  </si>
  <si>
    <t>Suma de A7_DE_181_A_360_DIAS</t>
  </si>
  <si>
    <t>Suma de A7_DE_MAS_DE_360_DIAS</t>
  </si>
  <si>
    <t>Suma de A8_DE_1_A_30_DIAS</t>
  </si>
  <si>
    <t>Suma de A8_DE_31_A_90DIAS</t>
  </si>
  <si>
    <t>Suma de A8_DE_91_A_360_DIAS</t>
  </si>
  <si>
    <t>Suma de A8_DE_MAS_DE_360_DIAS</t>
  </si>
  <si>
    <t>Suma de A9_DE_1_A_30_DIAS</t>
  </si>
  <si>
    <t>Suma de A9_DE_31_A_90DIAS</t>
  </si>
  <si>
    <t>Suma de A9_DE_91_A_360_DIAS</t>
  </si>
  <si>
    <t>Suma de A9_DE_MAS_DE_360_DIAS</t>
  </si>
  <si>
    <t>Suma de A10_DE_1_A_30_DIAS</t>
  </si>
  <si>
    <t>Suma de A10_DE_31_A_90DIAS</t>
  </si>
  <si>
    <t>Suma de A10_DE_91_A_180_DIAS</t>
  </si>
  <si>
    <t>Suma de A10_DE_181_A_360_DIAS</t>
  </si>
  <si>
    <t>Suma de A11_DE_1_A_30_DIAS</t>
  </si>
  <si>
    <t>Suma de A10_DE_MAS_DE_360_DIAS</t>
  </si>
  <si>
    <t>Suma de A11_DE_31_A_90DIAS</t>
  </si>
  <si>
    <t>Suma de A11_DE_91_A_180_DIAS</t>
  </si>
  <si>
    <t>Suma de A11_DE_181_A_360_DIAS</t>
  </si>
  <si>
    <t>Suma de A12_DE_MAS_DE_360_DIAS</t>
  </si>
  <si>
    <t>Suma de A12_DE_1_A_30_DIAS</t>
  </si>
  <si>
    <t>Suma de A12_DE_31_A_90DIAS</t>
  </si>
  <si>
    <t>Suma de A12_DE_91_A_180_DIAS</t>
  </si>
  <si>
    <t>Suma de A12_DE_181_A_360_DIAS</t>
  </si>
  <si>
    <t>Suma de A13_DE_MAS_DE_360_DIAS</t>
  </si>
  <si>
    <t>Suma de A13_DE_1_A_30_DIAS</t>
  </si>
  <si>
    <t>Suma de A13_DE_31_A_90DIAS</t>
  </si>
  <si>
    <t>Suma de A13_DE_91_A_180_DIAS</t>
  </si>
  <si>
    <t>Suma de A13_DE_181_A_360_DIAS</t>
  </si>
  <si>
    <t>Suma de A14_DE_1_A_30_DIAS</t>
  </si>
  <si>
    <t>Suma de A14_DE_31_A_90DIAS</t>
  </si>
  <si>
    <t>Suma de A14_DE_91_A_180_DIAS</t>
  </si>
  <si>
    <t>Suma de A14_DE_181_A_360_DIAS</t>
  </si>
  <si>
    <t>Suma de A14_DE_MAS_DE_360_DIAS</t>
  </si>
  <si>
    <t>Suma de A15_DE_1_A_30_DIAS</t>
  </si>
  <si>
    <t>Suma de A15_DE_31_A_90DIAS</t>
  </si>
  <si>
    <t>Suma de A15_DE_91_A_180_DIAS</t>
  </si>
  <si>
    <t>Suma de A15_DE_181_A_360_DIAS</t>
  </si>
  <si>
    <t>Suma de A15_DE_MAS_DE_360_DIAS</t>
  </si>
  <si>
    <t>Suma de A16_DE_1_A_30_DIAS</t>
  </si>
  <si>
    <t>Suma de A16_DE_31_A_90DIAS</t>
  </si>
  <si>
    <t>Suma de A16_DE_91_A_180_DIAS</t>
  </si>
  <si>
    <t>Suma de A16_DE_181_A_360_DIAS</t>
  </si>
  <si>
    <t>Suma de A16_DE_MAS_DE_360_DIAS</t>
  </si>
  <si>
    <t>Suma de A17_DE_1_A_30_DIAS</t>
  </si>
  <si>
    <t>Suma de A17_DE_31_A_90DIAS</t>
  </si>
  <si>
    <t>Suma de A17_DE_91_A_180_DIAS</t>
  </si>
  <si>
    <t>Suma de A17_DE_181_A_360_DIAS</t>
  </si>
  <si>
    <t>Suma de A17_DE_MAS_DE_360_DIAS</t>
  </si>
  <si>
    <t>Suma de A18_DE_1_A_30_DIAS</t>
  </si>
  <si>
    <t>Suma de A18_DE_31_A_90DIAS</t>
  </si>
  <si>
    <t>Suma de A18_DE_91_A_180_DIAS</t>
  </si>
  <si>
    <t>Suma de A18_DE_181_A_360_DIAS</t>
  </si>
  <si>
    <t>Suma de A18_DE_MAS_DE_360_DIAS</t>
  </si>
  <si>
    <t>Suma de A19_DE_1_A_30_DIAS</t>
  </si>
  <si>
    <t>Suma de A19_DE_31_A_90DIAS</t>
  </si>
  <si>
    <t>Suma de A19_DE_91_A_180_DIAS</t>
  </si>
  <si>
    <t>Suma de A19_DE_181_A_360_DIAS</t>
  </si>
  <si>
    <t>Suma de A19_DE_MAS_DE_360_DIAS</t>
  </si>
  <si>
    <t>Suma de A20_DE_1_A_30_DIAS</t>
  </si>
  <si>
    <t>Suma de A20_DE_31_A_90DIAS</t>
  </si>
  <si>
    <t>Suma de A20_DE_91_A_180_DIAS</t>
  </si>
  <si>
    <t>Suma de A20_DE_181_A_360_DIAS</t>
  </si>
  <si>
    <t>Suma de A20_DE_MAS_DE_360_DIAS</t>
  </si>
  <si>
    <t>Suma de A21_DE_1_A_30_DIAS</t>
  </si>
  <si>
    <t>Suma de A21_DE_31_A_90DIAS</t>
  </si>
  <si>
    <t>Suma de A21_DE_91_A_180_DIAS</t>
  </si>
  <si>
    <t>Suma de A21_DE_181_A_360_DIAS</t>
  </si>
  <si>
    <t>Suma de A21_DE_MAS_DE_360_DIAS</t>
  </si>
  <si>
    <t>Suma de A22_DE_1_A_30_DIAS</t>
  </si>
  <si>
    <t>Suma de A22_DE_31_A_90DIAS</t>
  </si>
  <si>
    <t>Suma de A22_DE_91_A_360_DIAS</t>
  </si>
  <si>
    <t>Suma de A22_DE_MAS_DE_360_DIAS</t>
  </si>
  <si>
    <t>Suma de A23_DE_1_A_30_DIAS</t>
  </si>
  <si>
    <t>Suma de A23_DE_31_A_90DIAS</t>
  </si>
  <si>
    <t>Suma de A23_DE_91_A_360_DIAS</t>
  </si>
  <si>
    <t>Suma de A23_DE_MAS_DE_360_DIAS</t>
  </si>
  <si>
    <t>Suma de A24_DE_1_A_30_DIAS</t>
  </si>
  <si>
    <t>Suma de A24_DE_31_A_90DIAS</t>
  </si>
  <si>
    <t>Suma de A24_DE_91_A_360_DIAS</t>
  </si>
  <si>
    <t>Suma de A24_DE_MAS_DE_360_DIAS</t>
  </si>
  <si>
    <t>Suma de A25_DE_1_A_30_DIAS</t>
  </si>
  <si>
    <t>Suma de A25_DE_31_A_90DIAS</t>
  </si>
  <si>
    <t>Suma de A25_DE_91_A_180_DIAS</t>
  </si>
  <si>
    <t>Suma de A25_DE_181_A_360_DIAS</t>
  </si>
  <si>
    <t>Suma de A25_DE_MAS_DE_360_DIAS</t>
  </si>
  <si>
    <t>Suma de A26_DE_1_A_30_DIAS</t>
  </si>
  <si>
    <t>Suma de A26_DE_31_A_90DIAS</t>
  </si>
  <si>
    <t>Suma de A26_DE_91_A_180_DIAS</t>
  </si>
  <si>
    <t>Suma de A26_DE_181_A_360_DIAS</t>
  </si>
  <si>
    <t>Suma de A26_DE_MAS_DE_360_DIAS</t>
  </si>
  <si>
    <t>Suma de A27_DE_1_A_30_DIAS</t>
  </si>
  <si>
    <t>Suma de A27_DE_31_A_90DIAS</t>
  </si>
  <si>
    <t>Suma de A27_DE_91_A_180_DIAS</t>
  </si>
  <si>
    <t>Suma de A27_DE_181_A_360_DIAS</t>
  </si>
  <si>
    <t>Suma de A27_DE_MAS_DE_360_DIAS</t>
  </si>
  <si>
    <t>Suma de A11_DE_MAS_DE_360_DIAS</t>
  </si>
  <si>
    <t>TOTAL CARTERA POR VENCER</t>
  </si>
  <si>
    <t>TOTAL CARTERA QUE NO DEVENGA INTERES</t>
  </si>
  <si>
    <t>TOTAL CARTERA VENCIDA</t>
  </si>
  <si>
    <t>ACTIVOS IMPRODUCTIVOS NETOS / TOTAL ACTIVOS</t>
  </si>
  <si>
    <t>ACTIVOS PRODUCTIVOS / TOTAL ACTIVOS</t>
  </si>
  <si>
    <t>ACTIVOS PRODUCTIVOS / PASIVOS CON COSTO</t>
  </si>
  <si>
    <t>MOROSIDAD DE CREDITO COMERCIAL PRIORITARIO</t>
  </si>
  <si>
    <t>MOROSIDAD DE LA CARTERA DE CREDITO INMOBILIARIO</t>
  </si>
  <si>
    <t>MOROSIDAD DE LA CARTERA DE MICROCREDITO</t>
  </si>
  <si>
    <t>MOROSIDAD DE LA CARTERA CREDITO PRODUCTIVO</t>
  </si>
  <si>
    <t>MOROSIDAD DE LA CARTERA DE CREDITO COMERCIAL ORDINARIO</t>
  </si>
  <si>
    <t>MOROSIDAD DE LA CARTERA DE CONSUMO ORDINARIO</t>
  </si>
  <si>
    <t>MOROSIDAD DE LA CARTERA DE VIVIENDA DE INTERES PUBLICO</t>
  </si>
  <si>
    <t>MOROSIDAD DE LA CARTERA DE CREDITO EDUCATIVO</t>
  </si>
  <si>
    <t>MOROSIDAD DE LA CARTERA TOTAL</t>
  </si>
  <si>
    <t>COBERTURA DE LA CARTERA DE CREDITOS COMERCIAL PRIORITARIO</t>
  </si>
  <si>
    <t>COBERTURA DE LA CARTERA DE CREDITOS DE CONSUMO PRIORITARIO</t>
  </si>
  <si>
    <t>COBERTURA DE LA CARTERA DE CREDITO INMOBILIARIO</t>
  </si>
  <si>
    <t>COBERTURA DE LA CARTERA DE MICROCREDITO</t>
  </si>
  <si>
    <t>COBERTURA DE LA CARTERA CREDITO PRODUCTIVO</t>
  </si>
  <si>
    <t>COBERTURA DE LA CARTERA DE CREDITO COMERCIAL ORDINARIO</t>
  </si>
  <si>
    <t>COBERTURA DE LA CARTERA DE CONSUMO ORDINARIO</t>
  </si>
  <si>
    <t>COBERTURA DE LA CARTERA DE VIVIENDA DE IINTERES PUBLICO</t>
  </si>
  <si>
    <t>COBERTURA DE LA CARTERA DE CREDITO EDUCATIVO</t>
  </si>
  <si>
    <t>COBERTURA DE LA CARTERA PROBLEMÁTICA</t>
  </si>
  <si>
    <t xml:space="preserve">GASTOS DE OPERACION ESTIMADOS / TOTAL ACTIVO PROMEDIO </t>
  </si>
  <si>
    <t>GASTOS DE OPERACION  / MARGEN FINANCIERO</t>
  </si>
  <si>
    <t xml:space="preserve">GASTOS DE PERSONAL ESTIMADOS / ACTIVO PROMEDIO </t>
  </si>
  <si>
    <t>RESULTADOS DEL EJERCICIO / PATRIMONIO PROMEDIO</t>
  </si>
  <si>
    <t>RESULTADOS DEL EJERCICIO / ACTIVO PROMEDIO</t>
  </si>
  <si>
    <t>CARTERA BRUTA / (DEPOSITOS A LA VISTA + DEPOSITOS A PLAZO)</t>
  </si>
  <si>
    <t>MARGEN DE INTERMEDIACIÓN ESTIMADO / PATRIMONIO PROMEDIO</t>
  </si>
  <si>
    <t>MARGEN DE INTERMEDIACIÓN ESTIMADO / ACTIVO PROMEDIO</t>
  </si>
  <si>
    <t>COBERTURA DE LA CARTERA DE CREDITOS COMERCIAL PRIORITARIO POR VENCER</t>
  </si>
  <si>
    <t>COBERTURA DE LA CARTERA DE CREDITOS DE CONSUMO PRIORITARIO POR VENCER</t>
  </si>
  <si>
    <t>COBERTURA DE LA CARTERA DE CREDITO INMOBILIARIO POR VENCER</t>
  </si>
  <si>
    <t>COBERTURA DE LA CARTERA DE MICROCREDITO POR VENCER</t>
  </si>
  <si>
    <t>COBERTURA DE LA CARTERA CREDITO PRODUCTIVO POR VENCER</t>
  </si>
  <si>
    <t>COBERTURA DE LA CARTERA DE VIVIENDA DE IINTERES PUBLICO POR VENCER</t>
  </si>
  <si>
    <t>COBERTURA DE LA CARTERA DE CREDITO EDUCATIVO POR VENCER</t>
  </si>
  <si>
    <t>CARTERAS DE CRÉDITOS  REFINANCIADAS</t>
  </si>
  <si>
    <t>CARTERAS DE CRÉDITOS  REESTRUCTURADAS</t>
  </si>
  <si>
    <t>CARTERA POR VENCER TOTAL</t>
  </si>
  <si>
    <t>FK = (PATRIMONIO + RESULTADOS - INGRESOS EXTRAORDINARIOS) / ACTIVOS TOTALES</t>
  </si>
  <si>
    <t>FI = 1 + (ACTIVOS IMPRODUCTIVOS / ACTIVOS TOTALES)</t>
  </si>
  <si>
    <t>INDICE DE CAPITALIZACION NETO: FK / FI</t>
  </si>
  <si>
    <t>Intereses y descuentos ganados</t>
  </si>
  <si>
    <t>Intereses causados</t>
  </si>
  <si>
    <t>Comisiones ganadas</t>
  </si>
  <si>
    <t>Ingresos por servicios</t>
  </si>
  <si>
    <t>Comisiones causadas</t>
  </si>
  <si>
    <t>Utilidades financieras</t>
  </si>
  <si>
    <t>Pérdidas financieras</t>
  </si>
  <si>
    <t>MARGEN BRUTO FINANCIERO</t>
  </si>
  <si>
    <t>Provisiones</t>
  </si>
  <si>
    <t>MARGEN NETO FINANCIERO</t>
  </si>
  <si>
    <t>MARGEN DE INTERMEDIACIÓN</t>
  </si>
  <si>
    <t>Otros ingresos operacionales</t>
  </si>
  <si>
    <t>Otras pérdidas operacionales</t>
  </si>
  <si>
    <t>MARGEN OPERACIONAL</t>
  </si>
  <si>
    <t>Impuestos y participación a empleados</t>
  </si>
  <si>
    <t>INDICADORES FINANCIEROS</t>
  </si>
  <si>
    <t>(en porcentajes)</t>
  </si>
  <si>
    <t>(Dólares)</t>
  </si>
  <si>
    <t>INTRODUCCIÓN</t>
  </si>
  <si>
    <t>ÍNDICE</t>
  </si>
  <si>
    <t xml:space="preserve">PRESENTACIÓN </t>
  </si>
  <si>
    <t xml:space="preserve">ÍNDICE </t>
  </si>
  <si>
    <t xml:space="preserve">INDICADORES FINANCIEROS </t>
  </si>
  <si>
    <t>GANANCIA O PÉRDIDA DEL EJERCICIO</t>
  </si>
  <si>
    <t>Etiquetas de fila</t>
  </si>
  <si>
    <t>RANKING</t>
  </si>
  <si>
    <t>ENTIDAD</t>
  </si>
  <si>
    <t>DÓLARES</t>
  </si>
  <si>
    <t>PROCENTAJE</t>
  </si>
  <si>
    <t>Suma de carte_impr</t>
  </si>
  <si>
    <t>Suma de A1499</t>
  </si>
  <si>
    <t>Suma de Carte_bruta</t>
  </si>
  <si>
    <t>Suma de A14</t>
  </si>
  <si>
    <t>PATRIMONIO</t>
  </si>
  <si>
    <t>PROVISIONES</t>
  </si>
  <si>
    <t>TIPO*</t>
  </si>
  <si>
    <t>GRUPO**</t>
  </si>
  <si>
    <t>PASIVOS</t>
  </si>
  <si>
    <t>ACTIVO</t>
  </si>
  <si>
    <t xml:space="preserve">*Seleccionar una solo fecha </t>
  </si>
  <si>
    <t xml:space="preserve">REPORTE EJECUTIVO </t>
  </si>
  <si>
    <t xml:space="preserve">Razón Social: </t>
  </si>
  <si>
    <t xml:space="preserve">Número de RUC: </t>
  </si>
  <si>
    <t xml:space="preserve">Segmento: </t>
  </si>
  <si>
    <t>Telefono:</t>
  </si>
  <si>
    <t>Dirección:</t>
  </si>
  <si>
    <t xml:space="preserve">Correo electronico : </t>
  </si>
  <si>
    <t>Representante Legal:</t>
  </si>
  <si>
    <t>Cuentas principales</t>
  </si>
  <si>
    <t xml:space="preserve">Activos: </t>
  </si>
  <si>
    <t>Pasivos:</t>
  </si>
  <si>
    <t>Patrimonio:</t>
  </si>
  <si>
    <t>Cuenta</t>
  </si>
  <si>
    <t>Ranking</t>
  </si>
  <si>
    <t>Grafico en barra del como se encuentra la coac frente al sistema</t>
  </si>
  <si>
    <t>GASTOS</t>
  </si>
  <si>
    <t>INTERESES CAUSADOS</t>
  </si>
  <si>
    <t>4101</t>
  </si>
  <si>
    <t>410115</t>
  </si>
  <si>
    <t>410120</t>
  </si>
  <si>
    <t>410125</t>
  </si>
  <si>
    <t>410130</t>
  </si>
  <si>
    <t>410135</t>
  </si>
  <si>
    <t>410140</t>
  </si>
  <si>
    <t>410190</t>
  </si>
  <si>
    <t>4102</t>
  </si>
  <si>
    <t>410205</t>
  </si>
  <si>
    <t>410210</t>
  </si>
  <si>
    <t>4103</t>
  </si>
  <si>
    <t>410305</t>
  </si>
  <si>
    <t>410310</t>
  </si>
  <si>
    <t>410315</t>
  </si>
  <si>
    <t>410330</t>
  </si>
  <si>
    <t>410335</t>
  </si>
  <si>
    <t>410350</t>
  </si>
  <si>
    <t>4104</t>
  </si>
  <si>
    <t>410405</t>
  </si>
  <si>
    <t>410410</t>
  </si>
  <si>
    <t>410415</t>
  </si>
  <si>
    <t>4105</t>
  </si>
  <si>
    <t>410590</t>
  </si>
  <si>
    <t>COMISIONES CAUSADAS</t>
  </si>
  <si>
    <t>4201</t>
  </si>
  <si>
    <t>4202</t>
  </si>
  <si>
    <t>4203</t>
  </si>
  <si>
    <t>4204</t>
  </si>
  <si>
    <t>4205</t>
  </si>
  <si>
    <t>4290</t>
  </si>
  <si>
    <t>4302</t>
  </si>
  <si>
    <t>4303</t>
  </si>
  <si>
    <t>430305</t>
  </si>
  <si>
    <t>430310</t>
  </si>
  <si>
    <t>430390</t>
  </si>
  <si>
    <t>4304</t>
  </si>
  <si>
    <t>4305</t>
  </si>
  <si>
    <t>4306</t>
  </si>
  <si>
    <t>4401</t>
  </si>
  <si>
    <t>4402</t>
  </si>
  <si>
    <t>440210</t>
  </si>
  <si>
    <t>440215</t>
  </si>
  <si>
    <t>440220</t>
  </si>
  <si>
    <t>440225</t>
  </si>
  <si>
    <t>440230</t>
  </si>
  <si>
    <t>440235</t>
  </si>
  <si>
    <t>440240</t>
  </si>
  <si>
    <t>440245</t>
  </si>
  <si>
    <t>4403</t>
  </si>
  <si>
    <t>4404</t>
  </si>
  <si>
    <t>4405</t>
  </si>
  <si>
    <t>4406</t>
  </si>
  <si>
    <t>4407</t>
  </si>
  <si>
    <t>4501</t>
  </si>
  <si>
    <t>450105</t>
  </si>
  <si>
    <t>450110</t>
  </si>
  <si>
    <t>450115</t>
  </si>
  <si>
    <t>450120</t>
  </si>
  <si>
    <t>450125</t>
  </si>
  <si>
    <t>450130</t>
  </si>
  <si>
    <t>450135</t>
  </si>
  <si>
    <t>450190</t>
  </si>
  <si>
    <t>4502</t>
  </si>
  <si>
    <t>450205</t>
  </si>
  <si>
    <t>450210</t>
  </si>
  <si>
    <t>4503</t>
  </si>
  <si>
    <t>450305</t>
  </si>
  <si>
    <t>450310</t>
  </si>
  <si>
    <t>450315</t>
  </si>
  <si>
    <t>450320</t>
  </si>
  <si>
    <t>450325</t>
  </si>
  <si>
    <t>450330</t>
  </si>
  <si>
    <t>450390</t>
  </si>
  <si>
    <t>4504</t>
  </si>
  <si>
    <t>450405</t>
  </si>
  <si>
    <t>450410</t>
  </si>
  <si>
    <t>450415</t>
  </si>
  <si>
    <t>450420</t>
  </si>
  <si>
    <t>450421</t>
  </si>
  <si>
    <t>450430</t>
  </si>
  <si>
    <t>450490</t>
  </si>
  <si>
    <t>4505</t>
  </si>
  <si>
    <t>450505</t>
  </si>
  <si>
    <t>450510</t>
  </si>
  <si>
    <t>450515</t>
  </si>
  <si>
    <t>450520</t>
  </si>
  <si>
    <t>450525</t>
  </si>
  <si>
    <t>450530</t>
  </si>
  <si>
    <t>450535</t>
  </si>
  <si>
    <t>450540</t>
  </si>
  <si>
    <t>450590</t>
  </si>
  <si>
    <t>4506</t>
  </si>
  <si>
    <t>450605</t>
  </si>
  <si>
    <t>450610</t>
  </si>
  <si>
    <t>450615</t>
  </si>
  <si>
    <t>450620</t>
  </si>
  <si>
    <t>450625</t>
  </si>
  <si>
    <t>450630</t>
  </si>
  <si>
    <t>450635</t>
  </si>
  <si>
    <t>450690</t>
  </si>
  <si>
    <t>4507</t>
  </si>
  <si>
    <t>450705</t>
  </si>
  <si>
    <t>450710</t>
  </si>
  <si>
    <t>450715</t>
  </si>
  <si>
    <t>450790</t>
  </si>
  <si>
    <t>4601</t>
  </si>
  <si>
    <t>4602</t>
  </si>
  <si>
    <t>4690</t>
  </si>
  <si>
    <t>OTROS GASTOS Y PERDIDAS</t>
  </si>
  <si>
    <t>4701</t>
  </si>
  <si>
    <t>4702</t>
  </si>
  <si>
    <t>4703</t>
  </si>
  <si>
    <t>4790</t>
  </si>
  <si>
    <t>4810</t>
  </si>
  <si>
    <t>4815</t>
  </si>
  <si>
    <t>4890</t>
  </si>
  <si>
    <t>Inmobiliario</t>
  </si>
  <si>
    <t>*Seleccionar una solo cuenta</t>
  </si>
  <si>
    <t>Consumo</t>
  </si>
  <si>
    <t>Composicion de la cartera</t>
  </si>
  <si>
    <t>Fecha de corte:</t>
  </si>
  <si>
    <t>Microcredito</t>
  </si>
  <si>
    <t>Comercial</t>
  </si>
  <si>
    <t>Productivo</t>
  </si>
  <si>
    <t>Vivienda</t>
  </si>
  <si>
    <t>Educativo</t>
  </si>
  <si>
    <t>3 rubros(vencer,nodevenga,vencido)</t>
  </si>
  <si>
    <t>Cartera por tipo de crédito tabla pintado los porcentajes</t>
  </si>
  <si>
    <t>ACTIVOS</t>
  </si>
  <si>
    <t>Pasivo</t>
  </si>
  <si>
    <t>Patrimonio</t>
  </si>
  <si>
    <t>Direccin</t>
  </si>
  <si>
    <t>Telfono</t>
  </si>
  <si>
    <t>Email</t>
  </si>
  <si>
    <t>NombreGerente</t>
  </si>
  <si>
    <t>SUCRE  E132 JUAN MONTALVO Y TERAN</t>
  </si>
  <si>
    <t>022362191</t>
  </si>
  <si>
    <t>lecheverria@coop23dejulio.fin.ec</t>
  </si>
  <si>
    <t>WALTER EDUARDO AGUIRRE SOSA</t>
  </si>
  <si>
    <t>MARISCAL SUCRE  OE6-140  CAÑARIS</t>
  </si>
  <si>
    <t>022640509</t>
  </si>
  <si>
    <t>eeguez@29deoctubre.fin.ec</t>
  </si>
  <si>
    <t>EGUEZ LUPERA EDWIN CARLOS MARIO</t>
  </si>
  <si>
    <t>DUCHICELA S/N  HUANCAVILCA</t>
  </si>
  <si>
    <t>022998600</t>
  </si>
  <si>
    <t>jzambrano@alianzadelvalle.fin.ec</t>
  </si>
  <si>
    <t>CADENA LUCERO HECTOR ROLANDO</t>
  </si>
  <si>
    <t>JORGE PIEDRA  OE5-95  AZOGUES</t>
  </si>
  <si>
    <t>023301920</t>
  </si>
  <si>
    <t>gerenciageneral@andalucia.fin.ec</t>
  </si>
  <si>
    <t>ORTIZ PAREDES MAURICIO BOLIVAR</t>
  </si>
  <si>
    <t>RIO AMAZONAS 1217 SUCRE</t>
  </si>
  <si>
    <t>062909399</t>
  </si>
  <si>
    <t>secretaria@atuntaqui.fin.ec</t>
  </si>
  <si>
    <t>BENALCAZAR MOLINA RODRIGO SANTIAGO</t>
  </si>
  <si>
    <t>AV. 6 DE DICIEMBRE N33-55 AV. ELOY ALFARO</t>
  </si>
  <si>
    <t>022553117</t>
  </si>
  <si>
    <t>gerencia@financoop.net</t>
  </si>
  <si>
    <t>MARIN LUIS  BAUTISTA QUISPE</t>
  </si>
  <si>
    <t>MONTALVO 3-43 ROCAFUERTE</t>
  </si>
  <si>
    <t>032826057</t>
  </si>
  <si>
    <t>vvaldez@ccca.fin.ec</t>
  </si>
  <si>
    <t>RAMIRO MARCELO  PORTERO LOPEZ</t>
  </si>
  <si>
    <t>AV. MANUEL CÓRDOVA GALARZA  S/N  MARIETA DE VEINTIMILLA 9380</t>
  </si>
  <si>
    <t>024000900</t>
  </si>
  <si>
    <t>gerencia@cooprogreso.fin.ec</t>
  </si>
  <si>
    <t>MUÑOZ LOPEZ WASHINGTON STALIN</t>
  </si>
  <si>
    <t>MARISCAL SUCRE 3-38 DANIEL MUÑOZ</t>
  </si>
  <si>
    <t>072230836</t>
  </si>
  <si>
    <t>info@cacpebiblian.fin.ec</t>
  </si>
  <si>
    <t>GONZALEZ BUSTOS JUAN PABLO</t>
  </si>
  <si>
    <t>SANCHEZ DE ORELLANA 1544 RAMIREZ FITA</t>
  </si>
  <si>
    <t>032807900</t>
  </si>
  <si>
    <t>vescobar@cacpeco.com</t>
  </si>
  <si>
    <t>VIRGINIA DEL CARMEN ESCOBAR  JACOME</t>
  </si>
  <si>
    <t>Atahualpa S/N GENERAL VILLAMIL</t>
  </si>
  <si>
    <t>032883042</t>
  </si>
  <si>
    <t>secretariacacpepas@gmail.com</t>
  </si>
  <si>
    <t>ACUÑA CARRASCO EDGAR MAXTRANCEL</t>
  </si>
  <si>
    <t>DE LOS SERVIDORES PUBLICOS DEL MINISTERIO DE EDUCACION Y CULTURA</t>
  </si>
  <si>
    <t>EL ORO  N19-22  AV. UNIVERSITARIA</t>
  </si>
  <si>
    <t>022237782</t>
  </si>
  <si>
    <t>vinicioa@cacspmec.fin.ec</t>
  </si>
  <si>
    <t>ANTAMBA GUERRA WASHINGTON VINICIO</t>
  </si>
  <si>
    <t>SUCRE  S/N QUITO</t>
  </si>
  <si>
    <t>032997999</t>
  </si>
  <si>
    <t>fvelastegui@elsagrario.fin.ec</t>
  </si>
  <si>
    <t>FREDY PATRICIO VELASTEGUI MORENO</t>
  </si>
  <si>
    <t>BENIGNO MALO  27638 ENTRE GRAN COLOMBIA Y SIMON BOLIVAR. 9-75 GRAN COLOMBIA</t>
  </si>
  <si>
    <t>072833255</t>
  </si>
  <si>
    <t>coopjardinazuayo@jardinazuayo.fin.ec</t>
  </si>
  <si>
    <t>URGILES MARTINEZ JUAN CARLOS</t>
  </si>
  <si>
    <t>AV. ORDOÑEZ LAZO, KM6 SAYAUSÍ SN CENTRO PARROQUIAL SAYAUSI</t>
  </si>
  <si>
    <t>074135000</t>
  </si>
  <si>
    <t>falvear@coopjep.fin.ec</t>
  </si>
  <si>
    <t>SALDAÑA AVILA KARINA DEL ROSARIO</t>
  </si>
  <si>
    <t>MONTALVO S/N ENTRE JUAN BENIGNO VELA Y Av. CEVALLOS</t>
  </si>
  <si>
    <t>032826810</t>
  </si>
  <si>
    <t>contador@mushucruna.com</t>
  </si>
  <si>
    <t>CHANGO PACHA LUIS ALFONSO</t>
  </si>
  <si>
    <t>LALAMA  0639 SUCRE Y BOLIVAR</t>
  </si>
  <si>
    <t>032821131</t>
  </si>
  <si>
    <t>asegura@oscus.coop</t>
  </si>
  <si>
    <t>GALLEGOS BAYAS FREDDY BLAS</t>
  </si>
  <si>
    <t>COLON   S/N 10 DE AGOSTO</t>
  </si>
  <si>
    <t>062980382</t>
  </si>
  <si>
    <t>carlosacosta@cpmv.fin.ec</t>
  </si>
  <si>
    <t>CARLOS ALONSO ACOSTA CARRERA</t>
  </si>
  <si>
    <t>SUCRE 11-09 MORALES</t>
  </si>
  <si>
    <t>062927234</t>
  </si>
  <si>
    <t>coac@pilahuintio.ec</t>
  </si>
  <si>
    <t>ANGEL ESTEBAN MAZABANDA MOPOCITA</t>
  </si>
  <si>
    <t>VOZ ANDES N 42 – 42  AV. AMÉRICA</t>
  </si>
  <si>
    <t>3984999</t>
  </si>
  <si>
    <t>alejandro.rivadeneira@cooperando.fin.ec</t>
  </si>
  <si>
    <t>LASCANO ENRIQUE MILTON</t>
  </si>
  <si>
    <t>10 DE AGOSTO  S/N  CRISTOBAL COLON</t>
  </si>
  <si>
    <t>032962431</t>
  </si>
  <si>
    <t>riobamba@cooprio.fin.ec</t>
  </si>
  <si>
    <t>MORALES MOROCHO SEGUNDO PEDRO</t>
  </si>
  <si>
    <t>MONTALVO   S/N 12 DE NOVIEMBRE</t>
  </si>
  <si>
    <t>032824270</t>
  </si>
  <si>
    <t>sistemas1@coac-sanfra.com</t>
  </si>
  <si>
    <t>PAREDES LOPEZ ESTUARDO RIQUELMEN</t>
  </si>
  <si>
    <t>CHIMBORAZO 536 TRES DE MARZO</t>
  </si>
  <si>
    <t>032630297</t>
  </si>
  <si>
    <t>coopsanjose@andinanet.net</t>
  </si>
  <si>
    <t>CAPUZ CAMACHO CESAR LUIS</t>
  </si>
  <si>
    <t>CUENCA  S/N  LIBERTAD</t>
  </si>
  <si>
    <t>072944190</t>
  </si>
  <si>
    <t>secretaria@coopacs.fin.ec</t>
  </si>
  <si>
    <t>SOLANO DURAN MANUEL AGUSTIN</t>
  </si>
  <si>
    <t>SUCRE 54061 ATAHUALPA</t>
  </si>
  <si>
    <t>062960404</t>
  </si>
  <si>
    <t>info@cooptulcan.com</t>
  </si>
  <si>
    <t>MOSQUERA LOPEZ MARCO ERIC ORLANDO</t>
  </si>
  <si>
    <t>VICENTINA MANUEL ESTEBAN GODOY ORTEGA LTDA</t>
  </si>
  <si>
    <t>BOLÍVAR  1056 AZUAY</t>
  </si>
  <si>
    <t>072584800</t>
  </si>
  <si>
    <t>abustos@coopmego.com</t>
  </si>
  <si>
    <t>ALBERTO GEOVANNY BUSTOS PARRA</t>
  </si>
  <si>
    <t>Valor</t>
  </si>
  <si>
    <t>PASIVO</t>
  </si>
  <si>
    <t>CARTERA POR VENCER</t>
  </si>
  <si>
    <t>CARTERA QUE NO DEVENGA INTERES</t>
  </si>
  <si>
    <t>CARTERA VENCIDA</t>
  </si>
  <si>
    <t>Microcredito2</t>
  </si>
  <si>
    <t>Consumo3</t>
  </si>
  <si>
    <t>Vivienda4</t>
  </si>
  <si>
    <t>RESULTADOS DEL EJERCICIO</t>
  </si>
  <si>
    <t>ESTADO FINANCIERO</t>
  </si>
  <si>
    <t>1101</t>
  </si>
  <si>
    <t>110105</t>
  </si>
  <si>
    <t>110110</t>
  </si>
  <si>
    <t>1103</t>
  </si>
  <si>
    <t>110305</t>
  </si>
  <si>
    <t>110310</t>
  </si>
  <si>
    <t>110315</t>
  </si>
  <si>
    <t>110320</t>
  </si>
  <si>
    <t>1104</t>
  </si>
  <si>
    <t>110401</t>
  </si>
  <si>
    <t>1105</t>
  </si>
  <si>
    <t>110505</t>
  </si>
  <si>
    <t>110510</t>
  </si>
  <si>
    <t>1201</t>
  </si>
  <si>
    <t>120105</t>
  </si>
  <si>
    <t>120110</t>
  </si>
  <si>
    <t>120115</t>
  </si>
  <si>
    <t>1202</t>
  </si>
  <si>
    <t>120205</t>
  </si>
  <si>
    <t>120210</t>
  </si>
  <si>
    <t>120215</t>
  </si>
  <si>
    <t>120220</t>
  </si>
  <si>
    <t>1299</t>
  </si>
  <si>
    <t>129905</t>
  </si>
  <si>
    <t>129910</t>
  </si>
  <si>
    <t>13</t>
  </si>
  <si>
    <t>1301</t>
  </si>
  <si>
    <t>130105</t>
  </si>
  <si>
    <t>130110</t>
  </si>
  <si>
    <t>130115</t>
  </si>
  <si>
    <t>130120</t>
  </si>
  <si>
    <t>130125</t>
  </si>
  <si>
    <t>130150</t>
  </si>
  <si>
    <t>130155</t>
  </si>
  <si>
    <t>130160</t>
  </si>
  <si>
    <t>130165</t>
  </si>
  <si>
    <t>130170</t>
  </si>
  <si>
    <t>1302</t>
  </si>
  <si>
    <t>130205</t>
  </si>
  <si>
    <t>130210</t>
  </si>
  <si>
    <t>130215</t>
  </si>
  <si>
    <t>130220</t>
  </si>
  <si>
    <t>130225</t>
  </si>
  <si>
    <t>1303</t>
  </si>
  <si>
    <t>130305</t>
  </si>
  <si>
    <t>130310</t>
  </si>
  <si>
    <t>130315</t>
  </si>
  <si>
    <t>130320</t>
  </si>
  <si>
    <t>130325</t>
  </si>
  <si>
    <t>130350</t>
  </si>
  <si>
    <t>130355</t>
  </si>
  <si>
    <t>130360</t>
  </si>
  <si>
    <t>130365</t>
  </si>
  <si>
    <t>130370</t>
  </si>
  <si>
    <t>1304</t>
  </si>
  <si>
    <t>130405</t>
  </si>
  <si>
    <t>130410</t>
  </si>
  <si>
    <t>130415</t>
  </si>
  <si>
    <t>130420</t>
  </si>
  <si>
    <t>130425</t>
  </si>
  <si>
    <t>1305</t>
  </si>
  <si>
    <t>130505</t>
  </si>
  <si>
    <t>130510</t>
  </si>
  <si>
    <t>130515</t>
  </si>
  <si>
    <t>130520</t>
  </si>
  <si>
    <t>130525</t>
  </si>
  <si>
    <t>130530</t>
  </si>
  <si>
    <t>130535</t>
  </si>
  <si>
    <t>130540</t>
  </si>
  <si>
    <t>130550</t>
  </si>
  <si>
    <t>130555</t>
  </si>
  <si>
    <t>130560</t>
  </si>
  <si>
    <t>130565</t>
  </si>
  <si>
    <t>130570</t>
  </si>
  <si>
    <t>130575</t>
  </si>
  <si>
    <t>130580</t>
  </si>
  <si>
    <t>130585</t>
  </si>
  <si>
    <t>1306</t>
  </si>
  <si>
    <t>130605</t>
  </si>
  <si>
    <t>130610</t>
  </si>
  <si>
    <t>130615</t>
  </si>
  <si>
    <t>130620</t>
  </si>
  <si>
    <t>130625</t>
  </si>
  <si>
    <t>130630</t>
  </si>
  <si>
    <t>130635</t>
  </si>
  <si>
    <t>130640</t>
  </si>
  <si>
    <t>1307</t>
  </si>
  <si>
    <t>130705</t>
  </si>
  <si>
    <t>130710</t>
  </si>
  <si>
    <t>130720</t>
  </si>
  <si>
    <t>130790</t>
  </si>
  <si>
    <t>1399</t>
  </si>
  <si>
    <t>139905</t>
  </si>
  <si>
    <t>139910</t>
  </si>
  <si>
    <t>14</t>
  </si>
  <si>
    <t>1401</t>
  </si>
  <si>
    <t>140105</t>
  </si>
  <si>
    <t>140110</t>
  </si>
  <si>
    <t>140115</t>
  </si>
  <si>
    <t>140120</t>
  </si>
  <si>
    <t>140125</t>
  </si>
  <si>
    <t>1402</t>
  </si>
  <si>
    <t>140205</t>
  </si>
  <si>
    <t>140210</t>
  </si>
  <si>
    <t>140215</t>
  </si>
  <si>
    <t>140220</t>
  </si>
  <si>
    <t>140225</t>
  </si>
  <si>
    <t>1403</t>
  </si>
  <si>
    <t>140305</t>
  </si>
  <si>
    <t>140310</t>
  </si>
  <si>
    <t>140315</t>
  </si>
  <si>
    <t>140320</t>
  </si>
  <si>
    <t>140325</t>
  </si>
  <si>
    <t>1404</t>
  </si>
  <si>
    <t>140405</t>
  </si>
  <si>
    <t>140410</t>
  </si>
  <si>
    <t>140415</t>
  </si>
  <si>
    <t>140420</t>
  </si>
  <si>
    <t>140425</t>
  </si>
  <si>
    <t>1406</t>
  </si>
  <si>
    <t>140605</t>
  </si>
  <si>
    <t>140610</t>
  </si>
  <si>
    <t>140615</t>
  </si>
  <si>
    <t>140620</t>
  </si>
  <si>
    <t>140625</t>
  </si>
  <si>
    <t>1407</t>
  </si>
  <si>
    <t>140705</t>
  </si>
  <si>
    <t>140710</t>
  </si>
  <si>
    <t>140715</t>
  </si>
  <si>
    <t>140720</t>
  </si>
  <si>
    <t>140725</t>
  </si>
  <si>
    <t>1408</t>
  </si>
  <si>
    <t>140805</t>
  </si>
  <si>
    <t>140810</t>
  </si>
  <si>
    <t>140815</t>
  </si>
  <si>
    <t>140820</t>
  </si>
  <si>
    <t>140825</t>
  </si>
  <si>
    <t>1409</t>
  </si>
  <si>
    <t>140905</t>
  </si>
  <si>
    <t>140910</t>
  </si>
  <si>
    <t>140915</t>
  </si>
  <si>
    <t>140920</t>
  </si>
  <si>
    <t>140925</t>
  </si>
  <si>
    <t>1410</t>
  </si>
  <si>
    <t>141005</t>
  </si>
  <si>
    <t>141010</t>
  </si>
  <si>
    <t>141015</t>
  </si>
  <si>
    <t>141020</t>
  </si>
  <si>
    <t>141025</t>
  </si>
  <si>
    <t>1411</t>
  </si>
  <si>
    <t>141105</t>
  </si>
  <si>
    <t>141110</t>
  </si>
  <si>
    <t>141115</t>
  </si>
  <si>
    <t>141120</t>
  </si>
  <si>
    <t>141125</t>
  </si>
  <si>
    <t>1412</t>
  </si>
  <si>
    <t>141205</t>
  </si>
  <si>
    <t>141210</t>
  </si>
  <si>
    <t>141215</t>
  </si>
  <si>
    <t>141220</t>
  </si>
  <si>
    <t>141225</t>
  </si>
  <si>
    <t>1414</t>
  </si>
  <si>
    <t>141405</t>
  </si>
  <si>
    <t>141410</t>
  </si>
  <si>
    <t>141415</t>
  </si>
  <si>
    <t>141420</t>
  </si>
  <si>
    <t>141425</t>
  </si>
  <si>
    <t>1415</t>
  </si>
  <si>
    <t>141505</t>
  </si>
  <si>
    <t>141510</t>
  </si>
  <si>
    <t>141515</t>
  </si>
  <si>
    <t>141520</t>
  </si>
  <si>
    <t>141525</t>
  </si>
  <si>
    <t>1416</t>
  </si>
  <si>
    <t>141605</t>
  </si>
  <si>
    <t>141610</t>
  </si>
  <si>
    <t>141615</t>
  </si>
  <si>
    <t>141620</t>
  </si>
  <si>
    <t>141625</t>
  </si>
  <si>
    <t>1417</t>
  </si>
  <si>
    <t>141705</t>
  </si>
  <si>
    <t>141710</t>
  </si>
  <si>
    <t>141715</t>
  </si>
  <si>
    <t>141720</t>
  </si>
  <si>
    <t>141725</t>
  </si>
  <si>
    <t>1418</t>
  </si>
  <si>
    <t>141805</t>
  </si>
  <si>
    <t>141810</t>
  </si>
  <si>
    <t>141815</t>
  </si>
  <si>
    <t>141820</t>
  </si>
  <si>
    <t>141825</t>
  </si>
  <si>
    <t>1419</t>
  </si>
  <si>
    <t>141905</t>
  </si>
  <si>
    <t>141910</t>
  </si>
  <si>
    <t>141915</t>
  </si>
  <si>
    <t>141920</t>
  </si>
  <si>
    <t>141925</t>
  </si>
  <si>
    <t>1420</t>
  </si>
  <si>
    <t>142005</t>
  </si>
  <si>
    <t>142010</t>
  </si>
  <si>
    <t>142015</t>
  </si>
  <si>
    <t>142020</t>
  </si>
  <si>
    <t>142025</t>
  </si>
  <si>
    <t>1422</t>
  </si>
  <si>
    <t>142205</t>
  </si>
  <si>
    <t>142210</t>
  </si>
  <si>
    <t>142215</t>
  </si>
  <si>
    <t>142220</t>
  </si>
  <si>
    <t>142225</t>
  </si>
  <si>
    <t>1423</t>
  </si>
  <si>
    <t>142305</t>
  </si>
  <si>
    <t>142310</t>
  </si>
  <si>
    <t>142315</t>
  </si>
  <si>
    <t>142320</t>
  </si>
  <si>
    <t>142325</t>
  </si>
  <si>
    <t>1424</t>
  </si>
  <si>
    <t>142405</t>
  </si>
  <si>
    <t>142410</t>
  </si>
  <si>
    <t>142415</t>
  </si>
  <si>
    <t>142420</t>
  </si>
  <si>
    <t>142425</t>
  </si>
  <si>
    <t>1425</t>
  </si>
  <si>
    <t>142505</t>
  </si>
  <si>
    <t>142510</t>
  </si>
  <si>
    <t>142515</t>
  </si>
  <si>
    <t>142520</t>
  </si>
  <si>
    <t>142525</t>
  </si>
  <si>
    <t>1426</t>
  </si>
  <si>
    <t>142605</t>
  </si>
  <si>
    <t>142610</t>
  </si>
  <si>
    <t>142615</t>
  </si>
  <si>
    <t>142620</t>
  </si>
  <si>
    <t>142625</t>
  </si>
  <si>
    <t>1427</t>
  </si>
  <si>
    <t>142705</t>
  </si>
  <si>
    <t>142710</t>
  </si>
  <si>
    <t>142715</t>
  </si>
  <si>
    <t>142720</t>
  </si>
  <si>
    <t>142725</t>
  </si>
  <si>
    <t>1428</t>
  </si>
  <si>
    <t>142805</t>
  </si>
  <si>
    <t>142810</t>
  </si>
  <si>
    <t>142815</t>
  </si>
  <si>
    <t>142820</t>
  </si>
  <si>
    <t>142825</t>
  </si>
  <si>
    <t>1430</t>
  </si>
  <si>
    <t>143005</t>
  </si>
  <si>
    <t>143010</t>
  </si>
  <si>
    <t>143015</t>
  </si>
  <si>
    <t>143020</t>
  </si>
  <si>
    <t>143025</t>
  </si>
  <si>
    <t>1431</t>
  </si>
  <si>
    <t>143105</t>
  </si>
  <si>
    <t>143110</t>
  </si>
  <si>
    <t>143115</t>
  </si>
  <si>
    <t>143120</t>
  </si>
  <si>
    <t>143125</t>
  </si>
  <si>
    <t>1432</t>
  </si>
  <si>
    <t>143205</t>
  </si>
  <si>
    <t>143210</t>
  </si>
  <si>
    <t>143215</t>
  </si>
  <si>
    <t>143220</t>
  </si>
  <si>
    <t>143225</t>
  </si>
  <si>
    <t>1433</t>
  </si>
  <si>
    <t>143305</t>
  </si>
  <si>
    <t>143310</t>
  </si>
  <si>
    <t>143315</t>
  </si>
  <si>
    <t>143320</t>
  </si>
  <si>
    <t>143325</t>
  </si>
  <si>
    <t>1434</t>
  </si>
  <si>
    <t>143405</t>
  </si>
  <si>
    <t>143410</t>
  </si>
  <si>
    <t>143415</t>
  </si>
  <si>
    <t>143420</t>
  </si>
  <si>
    <t>143425</t>
  </si>
  <si>
    <t>1435</t>
  </si>
  <si>
    <t>143505</t>
  </si>
  <si>
    <t>143510</t>
  </si>
  <si>
    <t>143515</t>
  </si>
  <si>
    <t>143520</t>
  </si>
  <si>
    <t>143525</t>
  </si>
  <si>
    <t>1436</t>
  </si>
  <si>
    <t>143605</t>
  </si>
  <si>
    <t>143610</t>
  </si>
  <si>
    <t>143615</t>
  </si>
  <si>
    <t>143620</t>
  </si>
  <si>
    <t>143625</t>
  </si>
  <si>
    <t>1438</t>
  </si>
  <si>
    <t>143805</t>
  </si>
  <si>
    <t>143810</t>
  </si>
  <si>
    <t>143815</t>
  </si>
  <si>
    <t>143820</t>
  </si>
  <si>
    <t>143825</t>
  </si>
  <si>
    <t>1439</t>
  </si>
  <si>
    <t>143905</t>
  </si>
  <si>
    <t>143910</t>
  </si>
  <si>
    <t>143915</t>
  </si>
  <si>
    <t>143920</t>
  </si>
  <si>
    <t>143925</t>
  </si>
  <si>
    <t>1440</t>
  </si>
  <si>
    <t>144005</t>
  </si>
  <si>
    <t>144010</t>
  </si>
  <si>
    <t>144015</t>
  </si>
  <si>
    <t>144020</t>
  </si>
  <si>
    <t>144025</t>
  </si>
  <si>
    <t>1441</t>
  </si>
  <si>
    <t>144105</t>
  </si>
  <si>
    <t>144110</t>
  </si>
  <si>
    <t>144115</t>
  </si>
  <si>
    <t>144120</t>
  </si>
  <si>
    <t>144125</t>
  </si>
  <si>
    <t>1442</t>
  </si>
  <si>
    <t>144205</t>
  </si>
  <si>
    <t>144210</t>
  </si>
  <si>
    <t>144215</t>
  </si>
  <si>
    <t>144220</t>
  </si>
  <si>
    <t>144225</t>
  </si>
  <si>
    <t>1443</t>
  </si>
  <si>
    <t>144305</t>
  </si>
  <si>
    <t>144310</t>
  </si>
  <si>
    <t>144315</t>
  </si>
  <si>
    <t>144320</t>
  </si>
  <si>
    <t>144325</t>
  </si>
  <si>
    <t>1444</t>
  </si>
  <si>
    <t>144405</t>
  </si>
  <si>
    <t>144410</t>
  </si>
  <si>
    <t>144415</t>
  </si>
  <si>
    <t>144420</t>
  </si>
  <si>
    <t>144425</t>
  </si>
  <si>
    <t>1446</t>
  </si>
  <si>
    <t>144605</t>
  </si>
  <si>
    <t>144610</t>
  </si>
  <si>
    <t>144615</t>
  </si>
  <si>
    <t>144620</t>
  </si>
  <si>
    <t>144625</t>
  </si>
  <si>
    <t>1447</t>
  </si>
  <si>
    <t>144705</t>
  </si>
  <si>
    <t>144710</t>
  </si>
  <si>
    <t>144715</t>
  </si>
  <si>
    <t>144720</t>
  </si>
  <si>
    <t>144725</t>
  </si>
  <si>
    <t>1448</t>
  </si>
  <si>
    <t>144805</t>
  </si>
  <si>
    <t>144810</t>
  </si>
  <si>
    <t>144815</t>
  </si>
  <si>
    <t>144820</t>
  </si>
  <si>
    <t>144825</t>
  </si>
  <si>
    <t>1449</t>
  </si>
  <si>
    <t>144905</t>
  </si>
  <si>
    <t>144910</t>
  </si>
  <si>
    <t>144915</t>
  </si>
  <si>
    <t>144920</t>
  </si>
  <si>
    <t>144925</t>
  </si>
  <si>
    <t>1450</t>
  </si>
  <si>
    <t>145005</t>
  </si>
  <si>
    <t>145010</t>
  </si>
  <si>
    <t>145015</t>
  </si>
  <si>
    <t>145020</t>
  </si>
  <si>
    <t>145025</t>
  </si>
  <si>
    <t>1451</t>
  </si>
  <si>
    <t>145105</t>
  </si>
  <si>
    <t>145110</t>
  </si>
  <si>
    <t>145115</t>
  </si>
  <si>
    <t>145120</t>
  </si>
  <si>
    <t>145125</t>
  </si>
  <si>
    <t>145130</t>
  </si>
  <si>
    <t>1452</t>
  </si>
  <si>
    <t>145205</t>
  </si>
  <si>
    <t>145210</t>
  </si>
  <si>
    <t>145215</t>
  </si>
  <si>
    <t>145220</t>
  </si>
  <si>
    <t>145225</t>
  </si>
  <si>
    <t>1454</t>
  </si>
  <si>
    <t>145405</t>
  </si>
  <si>
    <t>145410</t>
  </si>
  <si>
    <t>145415</t>
  </si>
  <si>
    <t>145420</t>
  </si>
  <si>
    <t>145425</t>
  </si>
  <si>
    <t>1455</t>
  </si>
  <si>
    <t>145505</t>
  </si>
  <si>
    <t>145510</t>
  </si>
  <si>
    <t>145515</t>
  </si>
  <si>
    <t>145520</t>
  </si>
  <si>
    <t>145525</t>
  </si>
  <si>
    <t>1456</t>
  </si>
  <si>
    <t>145605</t>
  </si>
  <si>
    <t>145610</t>
  </si>
  <si>
    <t>145615</t>
  </si>
  <si>
    <t>145620</t>
  </si>
  <si>
    <t>145625</t>
  </si>
  <si>
    <t>145630</t>
  </si>
  <si>
    <t>1457</t>
  </si>
  <si>
    <t>145705</t>
  </si>
  <si>
    <t>145710</t>
  </si>
  <si>
    <t>145715</t>
  </si>
  <si>
    <t>145720</t>
  </si>
  <si>
    <t>145725</t>
  </si>
  <si>
    <t>1458</t>
  </si>
  <si>
    <t>145805</t>
  </si>
  <si>
    <t>145810</t>
  </si>
  <si>
    <t>145815</t>
  </si>
  <si>
    <t>145820</t>
  </si>
  <si>
    <t>145825</t>
  </si>
  <si>
    <t>1459</t>
  </si>
  <si>
    <t>145905</t>
  </si>
  <si>
    <t>145910</t>
  </si>
  <si>
    <t>145915</t>
  </si>
  <si>
    <t>145920</t>
  </si>
  <si>
    <t>145925</t>
  </si>
  <si>
    <t>145930</t>
  </si>
  <si>
    <t>1460</t>
  </si>
  <si>
    <t>146005</t>
  </si>
  <si>
    <t>146010</t>
  </si>
  <si>
    <t>146015</t>
  </si>
  <si>
    <t>146020</t>
  </si>
  <si>
    <t>146025</t>
  </si>
  <si>
    <t>1462</t>
  </si>
  <si>
    <t>146205</t>
  </si>
  <si>
    <t>146210</t>
  </si>
  <si>
    <t>146215</t>
  </si>
  <si>
    <t>146220</t>
  </si>
  <si>
    <t>146225</t>
  </si>
  <si>
    <t>1463</t>
  </si>
  <si>
    <t>146305</t>
  </si>
  <si>
    <t>146310</t>
  </si>
  <si>
    <t>146315</t>
  </si>
  <si>
    <t>146320</t>
  </si>
  <si>
    <t>146325</t>
  </si>
  <si>
    <t>1464</t>
  </si>
  <si>
    <t>146405</t>
  </si>
  <si>
    <t>146410</t>
  </si>
  <si>
    <t>146415</t>
  </si>
  <si>
    <t>146420</t>
  </si>
  <si>
    <t>146425</t>
  </si>
  <si>
    <t>146430</t>
  </si>
  <si>
    <t>1465</t>
  </si>
  <si>
    <t>146505</t>
  </si>
  <si>
    <t>146510</t>
  </si>
  <si>
    <t>146515</t>
  </si>
  <si>
    <t>146520</t>
  </si>
  <si>
    <t>146525</t>
  </si>
  <si>
    <t>1466</t>
  </si>
  <si>
    <t>146605</t>
  </si>
  <si>
    <t>146610</t>
  </si>
  <si>
    <t>146615</t>
  </si>
  <si>
    <t>146620</t>
  </si>
  <si>
    <t>146625</t>
  </si>
  <si>
    <t>1467</t>
  </si>
  <si>
    <t>146705</t>
  </si>
  <si>
    <t>146710</t>
  </si>
  <si>
    <t>146715</t>
  </si>
  <si>
    <t>146720</t>
  </si>
  <si>
    <t>146725</t>
  </si>
  <si>
    <t>146730</t>
  </si>
  <si>
    <t>1468</t>
  </si>
  <si>
    <t>146805</t>
  </si>
  <si>
    <t>146810</t>
  </si>
  <si>
    <t>146815</t>
  </si>
  <si>
    <t>146820</t>
  </si>
  <si>
    <t>146825</t>
  </si>
  <si>
    <t>1470</t>
  </si>
  <si>
    <t>147005</t>
  </si>
  <si>
    <t>147010</t>
  </si>
  <si>
    <t>147015</t>
  </si>
  <si>
    <t>147020</t>
  </si>
  <si>
    <t>147025</t>
  </si>
  <si>
    <t>1471</t>
  </si>
  <si>
    <t>147105</t>
  </si>
  <si>
    <t>147110</t>
  </si>
  <si>
    <t>147115</t>
  </si>
  <si>
    <t>147120</t>
  </si>
  <si>
    <t>147125</t>
  </si>
  <si>
    <t>1472</t>
  </si>
  <si>
    <t>147205</t>
  </si>
  <si>
    <t>147210</t>
  </si>
  <si>
    <t>147215</t>
  </si>
  <si>
    <t>147220</t>
  </si>
  <si>
    <t>147225</t>
  </si>
  <si>
    <t>147230</t>
  </si>
  <si>
    <t>1473</t>
  </si>
  <si>
    <t>147305</t>
  </si>
  <si>
    <t>147310</t>
  </si>
  <si>
    <t>147315</t>
  </si>
  <si>
    <t>147320</t>
  </si>
  <si>
    <t>147325</t>
  </si>
  <si>
    <t>1475</t>
  </si>
  <si>
    <t>147505</t>
  </si>
  <si>
    <t>147510</t>
  </si>
  <si>
    <t>147515</t>
  </si>
  <si>
    <t>147520</t>
  </si>
  <si>
    <t>147525</t>
  </si>
  <si>
    <t>1477</t>
  </si>
  <si>
    <t>147705</t>
  </si>
  <si>
    <t>147710</t>
  </si>
  <si>
    <t>147715</t>
  </si>
  <si>
    <t>147720</t>
  </si>
  <si>
    <t>147725</t>
  </si>
  <si>
    <t>1479</t>
  </si>
  <si>
    <t>147905</t>
  </si>
  <si>
    <t>147910</t>
  </si>
  <si>
    <t>147915</t>
  </si>
  <si>
    <t>147920</t>
  </si>
  <si>
    <t>147925</t>
  </si>
  <si>
    <t>1481</t>
  </si>
  <si>
    <t>148105</t>
  </si>
  <si>
    <t>148110</t>
  </si>
  <si>
    <t>148115</t>
  </si>
  <si>
    <t>148120</t>
  </si>
  <si>
    <t>148125</t>
  </si>
  <si>
    <t>1483</t>
  </si>
  <si>
    <t>148305</t>
  </si>
  <si>
    <t>148310</t>
  </si>
  <si>
    <t>148315</t>
  </si>
  <si>
    <t>148320</t>
  </si>
  <si>
    <t>148325</t>
  </si>
  <si>
    <t>1485</t>
  </si>
  <si>
    <t>148505</t>
  </si>
  <si>
    <t>148510</t>
  </si>
  <si>
    <t>148515</t>
  </si>
  <si>
    <t>148520</t>
  </si>
  <si>
    <t>148525</t>
  </si>
  <si>
    <t>1487</t>
  </si>
  <si>
    <t>148705</t>
  </si>
  <si>
    <t>148710</t>
  </si>
  <si>
    <t>148715</t>
  </si>
  <si>
    <t>148720</t>
  </si>
  <si>
    <t>148725</t>
  </si>
  <si>
    <t>1489</t>
  </si>
  <si>
    <t>148905</t>
  </si>
  <si>
    <t>148910</t>
  </si>
  <si>
    <t>148915</t>
  </si>
  <si>
    <t>148920</t>
  </si>
  <si>
    <t>148925</t>
  </si>
  <si>
    <t>1499</t>
  </si>
  <si>
    <t>149905</t>
  </si>
  <si>
    <t>149910</t>
  </si>
  <si>
    <t>149915</t>
  </si>
  <si>
    <t>149920</t>
  </si>
  <si>
    <t>149930</t>
  </si>
  <si>
    <t>149935</t>
  </si>
  <si>
    <t>149940</t>
  </si>
  <si>
    <t>149945</t>
  </si>
  <si>
    <t>149950</t>
  </si>
  <si>
    <t>149955</t>
  </si>
  <si>
    <t>149980</t>
  </si>
  <si>
    <t>149985</t>
  </si>
  <si>
    <t>149987</t>
  </si>
  <si>
    <t>149989</t>
  </si>
  <si>
    <t>15</t>
  </si>
  <si>
    <t>1501</t>
  </si>
  <si>
    <t>150105</t>
  </si>
  <si>
    <t>1502</t>
  </si>
  <si>
    <t>150205</t>
  </si>
  <si>
    <t>16</t>
  </si>
  <si>
    <t>1601</t>
  </si>
  <si>
    <t>160105</t>
  </si>
  <si>
    <t>160110</t>
  </si>
  <si>
    <t>1602</t>
  </si>
  <si>
    <t>160205</t>
  </si>
  <si>
    <t>160210</t>
  </si>
  <si>
    <t>160215</t>
  </si>
  <si>
    <t>160220</t>
  </si>
  <si>
    <t>1603</t>
  </si>
  <si>
    <t>160305</t>
  </si>
  <si>
    <t>160310</t>
  </si>
  <si>
    <t>160315</t>
  </si>
  <si>
    <t>160320</t>
  </si>
  <si>
    <t>160330</t>
  </si>
  <si>
    <t>160335</t>
  </si>
  <si>
    <t>160340</t>
  </si>
  <si>
    <t>160341</t>
  </si>
  <si>
    <t>160345</t>
  </si>
  <si>
    <t>160350</t>
  </si>
  <si>
    <t>1604</t>
  </si>
  <si>
    <t>1605</t>
  </si>
  <si>
    <t>160505</t>
  </si>
  <si>
    <t>160510</t>
  </si>
  <si>
    <t>160515</t>
  </si>
  <si>
    <t>160590</t>
  </si>
  <si>
    <t>1606</t>
  </si>
  <si>
    <t>1611</t>
  </si>
  <si>
    <t>1612</t>
  </si>
  <si>
    <t>1614</t>
  </si>
  <si>
    <t>161405</t>
  </si>
  <si>
    <t>161410</t>
  </si>
  <si>
    <t>161415</t>
  </si>
  <si>
    <t>161420</t>
  </si>
  <si>
    <t>161425</t>
  </si>
  <si>
    <t>161430</t>
  </si>
  <si>
    <t>161490</t>
  </si>
  <si>
    <t>1615</t>
  </si>
  <si>
    <t>161505</t>
  </si>
  <si>
    <t>161510</t>
  </si>
  <si>
    <t>161515</t>
  </si>
  <si>
    <t>161520</t>
  </si>
  <si>
    <t>161530</t>
  </si>
  <si>
    <t>161535</t>
  </si>
  <si>
    <t>161540</t>
  </si>
  <si>
    <t>161545</t>
  </si>
  <si>
    <t>1619</t>
  </si>
  <si>
    <t>1690</t>
  </si>
  <si>
    <t>169005</t>
  </si>
  <si>
    <t>169010</t>
  </si>
  <si>
    <t>169015</t>
  </si>
  <si>
    <t>169020</t>
  </si>
  <si>
    <t>169025</t>
  </si>
  <si>
    <t>169030</t>
  </si>
  <si>
    <t>169035</t>
  </si>
  <si>
    <t>169040</t>
  </si>
  <si>
    <t>169090</t>
  </si>
  <si>
    <t>1699</t>
  </si>
  <si>
    <t>169905</t>
  </si>
  <si>
    <t>169910</t>
  </si>
  <si>
    <t>17</t>
  </si>
  <si>
    <t>1702</t>
  </si>
  <si>
    <t>170205</t>
  </si>
  <si>
    <t>170210</t>
  </si>
  <si>
    <t>170215</t>
  </si>
  <si>
    <t>170220</t>
  </si>
  <si>
    <t>170225</t>
  </si>
  <si>
    <t>170290</t>
  </si>
  <si>
    <t>1705</t>
  </si>
  <si>
    <t>170505</t>
  </si>
  <si>
    <t>170510</t>
  </si>
  <si>
    <t>170515</t>
  </si>
  <si>
    <t>170520</t>
  </si>
  <si>
    <t>170590</t>
  </si>
  <si>
    <t>170599</t>
  </si>
  <si>
    <t>1706</t>
  </si>
  <si>
    <t>170605</t>
  </si>
  <si>
    <t>170610</t>
  </si>
  <si>
    <t>170615</t>
  </si>
  <si>
    <t>170620</t>
  </si>
  <si>
    <t>170690</t>
  </si>
  <si>
    <t>170699</t>
  </si>
  <si>
    <t>1799</t>
  </si>
  <si>
    <t>179910</t>
  </si>
  <si>
    <t>179915</t>
  </si>
  <si>
    <t>18</t>
  </si>
  <si>
    <t>1801</t>
  </si>
  <si>
    <t>1802</t>
  </si>
  <si>
    <t>1803</t>
  </si>
  <si>
    <t>1804</t>
  </si>
  <si>
    <t>1805</t>
  </si>
  <si>
    <t>1806</t>
  </si>
  <si>
    <t>1807</t>
  </si>
  <si>
    <t>1808</t>
  </si>
  <si>
    <t>1890</t>
  </si>
  <si>
    <t>1899</t>
  </si>
  <si>
    <t>189905</t>
  </si>
  <si>
    <t>189910</t>
  </si>
  <si>
    <t>189915</t>
  </si>
  <si>
    <t>189920</t>
  </si>
  <si>
    <t>189925</t>
  </si>
  <si>
    <t>189930</t>
  </si>
  <si>
    <t>189940</t>
  </si>
  <si>
    <t>19</t>
  </si>
  <si>
    <t>1901</t>
  </si>
  <si>
    <t>190105</t>
  </si>
  <si>
    <t>190110</t>
  </si>
  <si>
    <t>190115</t>
  </si>
  <si>
    <t>190120</t>
  </si>
  <si>
    <t>1902</t>
  </si>
  <si>
    <t>190205</t>
  </si>
  <si>
    <t>190210</t>
  </si>
  <si>
    <t>190215</t>
  </si>
  <si>
    <t>190220</t>
  </si>
  <si>
    <t>190221</t>
  </si>
  <si>
    <t>190225</t>
  </si>
  <si>
    <t>190226</t>
  </si>
  <si>
    <t>190230</t>
  </si>
  <si>
    <t>190231</t>
  </si>
  <si>
    <t>190235</t>
  </si>
  <si>
    <t>190240</t>
  </si>
  <si>
    <t>190245</t>
  </si>
  <si>
    <t>190255</t>
  </si>
  <si>
    <t>190265</t>
  </si>
  <si>
    <t>190270</t>
  </si>
  <si>
    <t>190275</t>
  </si>
  <si>
    <t>190280</t>
  </si>
  <si>
    <t>190285</t>
  </si>
  <si>
    <t>190286</t>
  </si>
  <si>
    <t>1904</t>
  </si>
  <si>
    <t>190405</t>
  </si>
  <si>
    <t>190410</t>
  </si>
  <si>
    <t>190490</t>
  </si>
  <si>
    <t>190499</t>
  </si>
  <si>
    <t>1905</t>
  </si>
  <si>
    <t>190505</t>
  </si>
  <si>
    <t>190510</t>
  </si>
  <si>
    <t>190515</t>
  </si>
  <si>
    <t>190520</t>
  </si>
  <si>
    <t>190525</t>
  </si>
  <si>
    <t>190530</t>
  </si>
  <si>
    <t>190590</t>
  </si>
  <si>
    <t>190599</t>
  </si>
  <si>
    <t>1906</t>
  </si>
  <si>
    <t>190615</t>
  </si>
  <si>
    <t>1908</t>
  </si>
  <si>
    <t>1909</t>
  </si>
  <si>
    <t>190905</t>
  </si>
  <si>
    <t>190910</t>
  </si>
  <si>
    <t>1990</t>
  </si>
  <si>
    <t>199005</t>
  </si>
  <si>
    <t>199010</t>
  </si>
  <si>
    <t>199015</t>
  </si>
  <si>
    <t>199025</t>
  </si>
  <si>
    <t>199090</t>
  </si>
  <si>
    <t>1999</t>
  </si>
  <si>
    <t>199905</t>
  </si>
  <si>
    <t>199910</t>
  </si>
  <si>
    <t>199990</t>
  </si>
  <si>
    <t>21</t>
  </si>
  <si>
    <t>2101</t>
  </si>
  <si>
    <t>210135</t>
  </si>
  <si>
    <t>210140</t>
  </si>
  <si>
    <t>210145</t>
  </si>
  <si>
    <t>210150</t>
  </si>
  <si>
    <t>210155</t>
  </si>
  <si>
    <t>2102</t>
  </si>
  <si>
    <t>210205</t>
  </si>
  <si>
    <t>210210</t>
  </si>
  <si>
    <t>210215</t>
  </si>
  <si>
    <t>2103</t>
  </si>
  <si>
    <t>210305</t>
  </si>
  <si>
    <t>210310</t>
  </si>
  <si>
    <t>210315</t>
  </si>
  <si>
    <t>210320</t>
  </si>
  <si>
    <t>210325</t>
  </si>
  <si>
    <t>210330</t>
  </si>
  <si>
    <t>2104</t>
  </si>
  <si>
    <t>2105</t>
  </si>
  <si>
    <t>22</t>
  </si>
  <si>
    <t>2201</t>
  </si>
  <si>
    <t>220105</t>
  </si>
  <si>
    <t>220110</t>
  </si>
  <si>
    <t>220115</t>
  </si>
  <si>
    <t>2202</t>
  </si>
  <si>
    <t>220205</t>
  </si>
  <si>
    <t>220210</t>
  </si>
  <si>
    <t>220215</t>
  </si>
  <si>
    <t>220220</t>
  </si>
  <si>
    <t>2203</t>
  </si>
  <si>
    <t>23</t>
  </si>
  <si>
    <t>2302</t>
  </si>
  <si>
    <t>230205</t>
  </si>
  <si>
    <t>230210</t>
  </si>
  <si>
    <t>2304</t>
  </si>
  <si>
    <t>230405</t>
  </si>
  <si>
    <t>230410</t>
  </si>
  <si>
    <t>230415</t>
  </si>
  <si>
    <t>24</t>
  </si>
  <si>
    <t>2401</t>
  </si>
  <si>
    <t>2402</t>
  </si>
  <si>
    <t>25</t>
  </si>
  <si>
    <t>2501</t>
  </si>
  <si>
    <t>250105</t>
  </si>
  <si>
    <t>250110</t>
  </si>
  <si>
    <t>250115</t>
  </si>
  <si>
    <t>250120</t>
  </si>
  <si>
    <t>250125</t>
  </si>
  <si>
    <t>250130</t>
  </si>
  <si>
    <t>250135</t>
  </si>
  <si>
    <t>250140</t>
  </si>
  <si>
    <t>250145</t>
  </si>
  <si>
    <t>250150</t>
  </si>
  <si>
    <t>250190</t>
  </si>
  <si>
    <t>2502</t>
  </si>
  <si>
    <t>2503</t>
  </si>
  <si>
    <t>250305</t>
  </si>
  <si>
    <t>250310</t>
  </si>
  <si>
    <t>250315</t>
  </si>
  <si>
    <t>250320</t>
  </si>
  <si>
    <t>250325</t>
  </si>
  <si>
    <t>250330</t>
  </si>
  <si>
    <t>250390</t>
  </si>
  <si>
    <t>2504</t>
  </si>
  <si>
    <t>250405</t>
  </si>
  <si>
    <t>250490</t>
  </si>
  <si>
    <t>2505</t>
  </si>
  <si>
    <t>250505</t>
  </si>
  <si>
    <t>250510</t>
  </si>
  <si>
    <t>250590</t>
  </si>
  <si>
    <t>2506</t>
  </si>
  <si>
    <t>2507</t>
  </si>
  <si>
    <t>2508</t>
  </si>
  <si>
    <t>250805</t>
  </si>
  <si>
    <t>250815</t>
  </si>
  <si>
    <t>2510</t>
  </si>
  <si>
    <t>2511</t>
  </si>
  <si>
    <t>2590</t>
  </si>
  <si>
    <t>259010</t>
  </si>
  <si>
    <t>259015</t>
  </si>
  <si>
    <t>259090</t>
  </si>
  <si>
    <t>26</t>
  </si>
  <si>
    <t>2601</t>
  </si>
  <si>
    <t>2602</t>
  </si>
  <si>
    <t>260205</t>
  </si>
  <si>
    <t>260210</t>
  </si>
  <si>
    <t>260215</t>
  </si>
  <si>
    <t>260220</t>
  </si>
  <si>
    <t>260225</t>
  </si>
  <si>
    <t>2603</t>
  </si>
  <si>
    <t>260305</t>
  </si>
  <si>
    <t>260310</t>
  </si>
  <si>
    <t>260315</t>
  </si>
  <si>
    <t>260320</t>
  </si>
  <si>
    <t>260325</t>
  </si>
  <si>
    <t>2606</t>
  </si>
  <si>
    <t>260605</t>
  </si>
  <si>
    <t>260610</t>
  </si>
  <si>
    <t>260615</t>
  </si>
  <si>
    <t>260620</t>
  </si>
  <si>
    <t>260625</t>
  </si>
  <si>
    <t>2607</t>
  </si>
  <si>
    <t>260705</t>
  </si>
  <si>
    <t>260710</t>
  </si>
  <si>
    <t>260715</t>
  </si>
  <si>
    <t>260720</t>
  </si>
  <si>
    <t>260725</t>
  </si>
  <si>
    <t>2610</t>
  </si>
  <si>
    <t>261005</t>
  </si>
  <si>
    <t>261010</t>
  </si>
  <si>
    <t>2690</t>
  </si>
  <si>
    <t>269005</t>
  </si>
  <si>
    <t>269010</t>
  </si>
  <si>
    <t>269015</t>
  </si>
  <si>
    <t>269020</t>
  </si>
  <si>
    <t>269025</t>
  </si>
  <si>
    <t>27</t>
  </si>
  <si>
    <t>2701</t>
  </si>
  <si>
    <t>2702</t>
  </si>
  <si>
    <t>270205</t>
  </si>
  <si>
    <t>2703</t>
  </si>
  <si>
    <t>270390</t>
  </si>
  <si>
    <t>2790</t>
  </si>
  <si>
    <t>29</t>
  </si>
  <si>
    <t>2901</t>
  </si>
  <si>
    <t>290115</t>
  </si>
  <si>
    <t>290120</t>
  </si>
  <si>
    <t>290190</t>
  </si>
  <si>
    <t>2902</t>
  </si>
  <si>
    <t>2908</t>
  </si>
  <si>
    <t>2912</t>
  </si>
  <si>
    <t>2990</t>
  </si>
  <si>
    <t>299005</t>
  </si>
  <si>
    <t>299090</t>
  </si>
  <si>
    <t>3</t>
  </si>
  <si>
    <t>31</t>
  </si>
  <si>
    <t>CAPITAL SOCIAL</t>
  </si>
  <si>
    <t>3103</t>
  </si>
  <si>
    <t>33</t>
  </si>
  <si>
    <t>RESERVAS</t>
  </si>
  <si>
    <t>3301</t>
  </si>
  <si>
    <t>330105</t>
  </si>
  <si>
    <t>330115</t>
  </si>
  <si>
    <t>3302</t>
  </si>
  <si>
    <t>3303</t>
  </si>
  <si>
    <t>3305</t>
  </si>
  <si>
    <t>3310</t>
  </si>
  <si>
    <t>34</t>
  </si>
  <si>
    <t>3401</t>
  </si>
  <si>
    <t>35</t>
  </si>
  <si>
    <t>3501</t>
  </si>
  <si>
    <t>3502</t>
  </si>
  <si>
    <t>3504</t>
  </si>
  <si>
    <t>36</t>
  </si>
  <si>
    <t>RESULTADOS</t>
  </si>
  <si>
    <t>3601</t>
  </si>
  <si>
    <t>3602</t>
  </si>
  <si>
    <t>3603</t>
  </si>
  <si>
    <t>3604</t>
  </si>
  <si>
    <t>INGRESOS</t>
  </si>
  <si>
    <t>INTERESES Y DESCUENTOS GANADOS</t>
  </si>
  <si>
    <t>5101</t>
  </si>
  <si>
    <t>510110</t>
  </si>
  <si>
    <t>510115</t>
  </si>
  <si>
    <t>5102</t>
  </si>
  <si>
    <t>510205</t>
  </si>
  <si>
    <t>510210</t>
  </si>
  <si>
    <t>5103</t>
  </si>
  <si>
    <t>510305</t>
  </si>
  <si>
    <t>510310</t>
  </si>
  <si>
    <t>510315</t>
  </si>
  <si>
    <t>510320</t>
  </si>
  <si>
    <t>5104</t>
  </si>
  <si>
    <t>510405</t>
  </si>
  <si>
    <t>510410</t>
  </si>
  <si>
    <t>510415</t>
  </si>
  <si>
    <t>510420</t>
  </si>
  <si>
    <t>510425</t>
  </si>
  <si>
    <t>510426</t>
  </si>
  <si>
    <t>510427</t>
  </si>
  <si>
    <t>510428</t>
  </si>
  <si>
    <t>510430</t>
  </si>
  <si>
    <t>510435</t>
  </si>
  <si>
    <t>510450</t>
  </si>
  <si>
    <t>510455</t>
  </si>
  <si>
    <t>5190</t>
  </si>
  <si>
    <t>519005</t>
  </si>
  <si>
    <t>519090</t>
  </si>
  <si>
    <t>COMISIONES GANADAS</t>
  </si>
  <si>
    <t>5201</t>
  </si>
  <si>
    <t>5202</t>
  </si>
  <si>
    <t>5203</t>
  </si>
  <si>
    <t>5204</t>
  </si>
  <si>
    <t>5205</t>
  </si>
  <si>
    <t>UTILIDADES FINANCIERAS</t>
  </si>
  <si>
    <t>5302</t>
  </si>
  <si>
    <t>5303</t>
  </si>
  <si>
    <t>530305</t>
  </si>
  <si>
    <t>530310</t>
  </si>
  <si>
    <t>530390</t>
  </si>
  <si>
    <t>5304</t>
  </si>
  <si>
    <t>5305</t>
  </si>
  <si>
    <t>5390</t>
  </si>
  <si>
    <t>INGRESOS POR SERVICIOS</t>
  </si>
  <si>
    <t>5404</t>
  </si>
  <si>
    <t>5490</t>
  </si>
  <si>
    <t>549005</t>
  </si>
  <si>
    <t>549010</t>
  </si>
  <si>
    <t>OTROS INGRESOS OPERACIONALES</t>
  </si>
  <si>
    <t>5501</t>
  </si>
  <si>
    <t>5502</t>
  </si>
  <si>
    <t>5590</t>
  </si>
  <si>
    <t>OTROS INGRESOS</t>
  </si>
  <si>
    <t>5601</t>
  </si>
  <si>
    <t>5602</t>
  </si>
  <si>
    <t>5603</t>
  </si>
  <si>
    <t>5604</t>
  </si>
  <si>
    <t>560405</t>
  </si>
  <si>
    <t>560410</t>
  </si>
  <si>
    <t>560415</t>
  </si>
  <si>
    <t>560420</t>
  </si>
  <si>
    <t>5690</t>
  </si>
  <si>
    <t>59</t>
  </si>
  <si>
    <t>CUENTAS CONTINGENTES</t>
  </si>
  <si>
    <t>61</t>
  </si>
  <si>
    <t>DEUDORAS</t>
  </si>
  <si>
    <t>6190</t>
  </si>
  <si>
    <t>64</t>
  </si>
  <si>
    <t>ACREEDORAS</t>
  </si>
  <si>
    <t>6401</t>
  </si>
  <si>
    <t>640105</t>
  </si>
  <si>
    <t>640110</t>
  </si>
  <si>
    <t>6402</t>
  </si>
  <si>
    <t>640205</t>
  </si>
  <si>
    <t>640210</t>
  </si>
  <si>
    <t>640215</t>
  </si>
  <si>
    <t>640290</t>
  </si>
  <si>
    <t>6403</t>
  </si>
  <si>
    <t>640305</t>
  </si>
  <si>
    <t>640310</t>
  </si>
  <si>
    <t>640315</t>
  </si>
  <si>
    <t>6404</t>
  </si>
  <si>
    <t>640405</t>
  </si>
  <si>
    <t>640410</t>
  </si>
  <si>
    <t>640415</t>
  </si>
  <si>
    <t>640420</t>
  </si>
  <si>
    <t>640430</t>
  </si>
  <si>
    <t>640435</t>
  </si>
  <si>
    <t>640440</t>
  </si>
  <si>
    <t>640445</t>
  </si>
  <si>
    <t>6405</t>
  </si>
  <si>
    <t>640505</t>
  </si>
  <si>
    <t>640510</t>
  </si>
  <si>
    <t>640590</t>
  </si>
  <si>
    <t>7</t>
  </si>
  <si>
    <t>CUENTAS DE ORDEN</t>
  </si>
  <si>
    <t>71</t>
  </si>
  <si>
    <t>CUENTAS DE ORDEN DEUDORAS</t>
  </si>
  <si>
    <t>7101</t>
  </si>
  <si>
    <t>710105</t>
  </si>
  <si>
    <t>710110</t>
  </si>
  <si>
    <t>710190</t>
  </si>
  <si>
    <t>7102</t>
  </si>
  <si>
    <t>710205</t>
  </si>
  <si>
    <t>710210</t>
  </si>
  <si>
    <t>710215</t>
  </si>
  <si>
    <t>710220</t>
  </si>
  <si>
    <t>710225</t>
  </si>
  <si>
    <t>710230</t>
  </si>
  <si>
    <t>710235</t>
  </si>
  <si>
    <t>710240</t>
  </si>
  <si>
    <t>710250</t>
  </si>
  <si>
    <t>710255</t>
  </si>
  <si>
    <t>710260</t>
  </si>
  <si>
    <t>710261</t>
  </si>
  <si>
    <t>710265</t>
  </si>
  <si>
    <t>710270</t>
  </si>
  <si>
    <t>710275</t>
  </si>
  <si>
    <t>710280</t>
  </si>
  <si>
    <t>710290</t>
  </si>
  <si>
    <t>7103</t>
  </si>
  <si>
    <t>710305</t>
  </si>
  <si>
    <t>710310</t>
  </si>
  <si>
    <t>710315</t>
  </si>
  <si>
    <t>710320</t>
  </si>
  <si>
    <t>710325</t>
  </si>
  <si>
    <t>710330</t>
  </si>
  <si>
    <t>7104</t>
  </si>
  <si>
    <t>710405</t>
  </si>
  <si>
    <t>710410</t>
  </si>
  <si>
    <t>7105</t>
  </si>
  <si>
    <t>710505</t>
  </si>
  <si>
    <t>710510</t>
  </si>
  <si>
    <t>710515</t>
  </si>
  <si>
    <t>710520</t>
  </si>
  <si>
    <t>710525</t>
  </si>
  <si>
    <t>710530</t>
  </si>
  <si>
    <t>710535</t>
  </si>
  <si>
    <t>7107</t>
  </si>
  <si>
    <t>710705</t>
  </si>
  <si>
    <t>710710</t>
  </si>
  <si>
    <t>710715</t>
  </si>
  <si>
    <t>710720</t>
  </si>
  <si>
    <t>710730</t>
  </si>
  <si>
    <t>710735</t>
  </si>
  <si>
    <t>710740</t>
  </si>
  <si>
    <t>710741</t>
  </si>
  <si>
    <t>710745</t>
  </si>
  <si>
    <t>710750</t>
  </si>
  <si>
    <t>710755</t>
  </si>
  <si>
    <t>710760</t>
  </si>
  <si>
    <t>710790</t>
  </si>
  <si>
    <t>7109</t>
  </si>
  <si>
    <t>710905</t>
  </si>
  <si>
    <t>710910</t>
  </si>
  <si>
    <t>710915</t>
  </si>
  <si>
    <t>710920</t>
  </si>
  <si>
    <t>710930</t>
  </si>
  <si>
    <t>710935</t>
  </si>
  <si>
    <t>710940</t>
  </si>
  <si>
    <t>710941</t>
  </si>
  <si>
    <t>710945</t>
  </si>
  <si>
    <t>710950</t>
  </si>
  <si>
    <t>710990</t>
  </si>
  <si>
    <t>7110</t>
  </si>
  <si>
    <t>711005</t>
  </si>
  <si>
    <t>711010</t>
  </si>
  <si>
    <t>711015</t>
  </si>
  <si>
    <t>7190</t>
  </si>
  <si>
    <t>719005</t>
  </si>
  <si>
    <t>719010</t>
  </si>
  <si>
    <t>719015</t>
  </si>
  <si>
    <t>719020</t>
  </si>
  <si>
    <t>719025</t>
  </si>
  <si>
    <t>719035</t>
  </si>
  <si>
    <t>719045</t>
  </si>
  <si>
    <t>719090</t>
  </si>
  <si>
    <t>74</t>
  </si>
  <si>
    <t>CUENTAS DE ORDEN ACREEDORAS</t>
  </si>
  <si>
    <t>7401</t>
  </si>
  <si>
    <t>740105</t>
  </si>
  <si>
    <t>740110</t>
  </si>
  <si>
    <t>740115</t>
  </si>
  <si>
    <t>740120</t>
  </si>
  <si>
    <t>740125</t>
  </si>
  <si>
    <t>740130</t>
  </si>
  <si>
    <t>740135</t>
  </si>
  <si>
    <t>740140</t>
  </si>
  <si>
    <t>7402</t>
  </si>
  <si>
    <t>740205</t>
  </si>
  <si>
    <t>740210</t>
  </si>
  <si>
    <t>740215</t>
  </si>
  <si>
    <t>740220</t>
  </si>
  <si>
    <t>740225</t>
  </si>
  <si>
    <t>740230</t>
  </si>
  <si>
    <t>740235</t>
  </si>
  <si>
    <t>740245</t>
  </si>
  <si>
    <t>740250</t>
  </si>
  <si>
    <t>7403</t>
  </si>
  <si>
    <t>740305</t>
  </si>
  <si>
    <t>740310</t>
  </si>
  <si>
    <t>740315</t>
  </si>
  <si>
    <t>740320</t>
  </si>
  <si>
    <t>740325</t>
  </si>
  <si>
    <t>740330</t>
  </si>
  <si>
    <t>740335</t>
  </si>
  <si>
    <t>740345</t>
  </si>
  <si>
    <t>740350</t>
  </si>
  <si>
    <t>7404</t>
  </si>
  <si>
    <t>740405</t>
  </si>
  <si>
    <t>740410</t>
  </si>
  <si>
    <t>7406</t>
  </si>
  <si>
    <t>740605</t>
  </si>
  <si>
    <t>740610</t>
  </si>
  <si>
    <t>740615</t>
  </si>
  <si>
    <t>740620</t>
  </si>
  <si>
    <t>740625</t>
  </si>
  <si>
    <t>740630</t>
  </si>
  <si>
    <t>740635</t>
  </si>
  <si>
    <t>7407</t>
  </si>
  <si>
    <t>740710</t>
  </si>
  <si>
    <t>740715</t>
  </si>
  <si>
    <t>740720</t>
  </si>
  <si>
    <t>740725</t>
  </si>
  <si>
    <t>740730</t>
  </si>
  <si>
    <t>7409</t>
  </si>
  <si>
    <t>740905</t>
  </si>
  <si>
    <t>740910</t>
  </si>
  <si>
    <t>740915</t>
  </si>
  <si>
    <t>740920</t>
  </si>
  <si>
    <t>740925</t>
  </si>
  <si>
    <t>740965</t>
  </si>
  <si>
    <t>740970</t>
  </si>
  <si>
    <t>740975</t>
  </si>
  <si>
    <t>740980</t>
  </si>
  <si>
    <t>740985</t>
  </si>
  <si>
    <t>740990</t>
  </si>
  <si>
    <t>7410</t>
  </si>
  <si>
    <t>7411</t>
  </si>
  <si>
    <t>741105</t>
  </si>
  <si>
    <t>741110</t>
  </si>
  <si>
    <t>741115</t>
  </si>
  <si>
    <t>741120</t>
  </si>
  <si>
    <t>741125</t>
  </si>
  <si>
    <t>741130</t>
  </si>
  <si>
    <t>741135</t>
  </si>
  <si>
    <t>741140</t>
  </si>
  <si>
    <t>7412</t>
  </si>
  <si>
    <t>741205</t>
  </si>
  <si>
    <t>741210</t>
  </si>
  <si>
    <t>741215</t>
  </si>
  <si>
    <t>741220</t>
  </si>
  <si>
    <t>741225</t>
  </si>
  <si>
    <t>741230</t>
  </si>
  <si>
    <t>741235</t>
  </si>
  <si>
    <t>7414</t>
  </si>
  <si>
    <t>741401</t>
  </si>
  <si>
    <t>741402</t>
  </si>
  <si>
    <t>741403</t>
  </si>
  <si>
    <t>741404</t>
  </si>
  <si>
    <t>741406</t>
  </si>
  <si>
    <t>741409</t>
  </si>
  <si>
    <t>741410</t>
  </si>
  <si>
    <t>741411</t>
  </si>
  <si>
    <t>741412</t>
  </si>
  <si>
    <t>741414</t>
  </si>
  <si>
    <t>741417</t>
  </si>
  <si>
    <t>741418</t>
  </si>
  <si>
    <t>741419</t>
  </si>
  <si>
    <t>741420</t>
  </si>
  <si>
    <t>741421</t>
  </si>
  <si>
    <t>741422</t>
  </si>
  <si>
    <t>741423</t>
  </si>
  <si>
    <t>741425</t>
  </si>
  <si>
    <t>741428</t>
  </si>
  <si>
    <t>741429</t>
  </si>
  <si>
    <t>741430</t>
  </si>
  <si>
    <t>741431</t>
  </si>
  <si>
    <t>741432</t>
  </si>
  <si>
    <t>741434</t>
  </si>
  <si>
    <t>741435</t>
  </si>
  <si>
    <t>741436</t>
  </si>
  <si>
    <t>741438</t>
  </si>
  <si>
    <t>7415</t>
  </si>
  <si>
    <t>741505</t>
  </si>
  <si>
    <t>741510</t>
  </si>
  <si>
    <t>741515</t>
  </si>
  <si>
    <t>741520</t>
  </si>
  <si>
    <t>741530</t>
  </si>
  <si>
    <t>741535</t>
  </si>
  <si>
    <t>741540</t>
  </si>
  <si>
    <t>741545</t>
  </si>
  <si>
    <t>7416</t>
  </si>
  <si>
    <t>741605</t>
  </si>
  <si>
    <t>741610</t>
  </si>
  <si>
    <t>7417</t>
  </si>
  <si>
    <t>741705</t>
  </si>
  <si>
    <t>741715</t>
  </si>
  <si>
    <t>7490</t>
  </si>
  <si>
    <t>749010</t>
  </si>
  <si>
    <t>749020</t>
  </si>
  <si>
    <t>749090</t>
  </si>
  <si>
    <t>CLASIFICACIÓN DE CARTERA</t>
  </si>
  <si>
    <t>2608</t>
  </si>
  <si>
    <t>260805</t>
  </si>
  <si>
    <t>260810</t>
  </si>
  <si>
    <t>260815</t>
  </si>
  <si>
    <t>260820</t>
  </si>
  <si>
    <t>260825</t>
  </si>
  <si>
    <t>270115</t>
  </si>
  <si>
    <t>410340</t>
  </si>
  <si>
    <t>7113</t>
  </si>
  <si>
    <t>711305</t>
  </si>
  <si>
    <t>711310</t>
  </si>
  <si>
    <t>7114</t>
  </si>
  <si>
    <t>711405</t>
  </si>
  <si>
    <t>711410</t>
  </si>
  <si>
    <t>711415</t>
  </si>
  <si>
    <t>711420</t>
  </si>
  <si>
    <t>7117</t>
  </si>
  <si>
    <t>711710</t>
  </si>
  <si>
    <t>711715</t>
  </si>
  <si>
    <t>711720</t>
  </si>
  <si>
    <t>711725</t>
  </si>
  <si>
    <t>711730</t>
  </si>
  <si>
    <t>711735</t>
  </si>
  <si>
    <t>711740</t>
  </si>
  <si>
    <t>711745</t>
  </si>
  <si>
    <t>740150</t>
  </si>
  <si>
    <t>740155</t>
  </si>
  <si>
    <t>740160</t>
  </si>
  <si>
    <t>740165</t>
  </si>
  <si>
    <t>740170</t>
  </si>
  <si>
    <t>740175</t>
  </si>
  <si>
    <t>740180</t>
  </si>
  <si>
    <t>740185</t>
  </si>
  <si>
    <t>741439</t>
  </si>
  <si>
    <t>741440</t>
  </si>
  <si>
    <t>741441</t>
  </si>
  <si>
    <t xml:space="preserve">Ingresos </t>
  </si>
  <si>
    <t>MARGEN NETO DE INTERESES</t>
  </si>
  <si>
    <t>Gastos de operación</t>
  </si>
  <si>
    <t xml:space="preserve">Otros ingresos  </t>
  </si>
  <si>
    <t>Otros gastos y pérdidas</t>
  </si>
  <si>
    <t>GANANCIA ANTES DE IMPUESTOS</t>
  </si>
  <si>
    <t>(-) 41</t>
  </si>
  <si>
    <t>(+) 52</t>
  </si>
  <si>
    <t>(+) 54</t>
  </si>
  <si>
    <t>(-) 42</t>
  </si>
  <si>
    <t>(+) 53</t>
  </si>
  <si>
    <t>(-) 43</t>
  </si>
  <si>
    <t>(-) 44</t>
  </si>
  <si>
    <t>(-) 45</t>
  </si>
  <si>
    <t>(+) 55</t>
  </si>
  <si>
    <t>(-) 46</t>
  </si>
  <si>
    <t>(+) 56</t>
  </si>
  <si>
    <t>(-) 47</t>
  </si>
  <si>
    <t>(-) 48</t>
  </si>
  <si>
    <t xml:space="preserve">MOROSIDAD DE CREDITO DE CONSUMO PRIORITARIO </t>
  </si>
  <si>
    <t>( PATRIMONIO + RESULTADOS ) / ACTIVOS INMOVILIZADOS</t>
  </si>
  <si>
    <t>INDICES DE MOROSIDAD</t>
  </si>
  <si>
    <t xml:space="preserve">FONDOS DISPONIBLES / TOTAL DEPOSITOS A CORTO PLAZO </t>
  </si>
  <si>
    <t>CARTERA IMPRODUCTIVA DESCUBIERTA / (PATRIMONIO + RESULTADOS)</t>
  </si>
  <si>
    <t>CARTERA IMPRODUCTIVA / PATRIMONIO (DIC)</t>
  </si>
  <si>
    <t>a.DE 1 A 30 DÍAS</t>
  </si>
  <si>
    <t>a.DE 31 A 90 DÍAS</t>
  </si>
  <si>
    <t>a.DE 91 A 180 DÍAS</t>
  </si>
  <si>
    <t>a.DE 181 A 360 DÍAS</t>
  </si>
  <si>
    <t>b.DE 1 A 30 DÍAS</t>
  </si>
  <si>
    <t>b.DE 31 A 90 DÍAS</t>
  </si>
  <si>
    <t>b.DE 91 A 180 DÍAS</t>
  </si>
  <si>
    <t>CARTERA DE CREDITO INMOBILIARIO POR VENCER</t>
  </si>
  <si>
    <t>c.DE 1 A 30 DÍAS</t>
  </si>
  <si>
    <t>a.MÁS DE 360 DÍAS</t>
  </si>
  <si>
    <t>c.DE 31 A 90 DÍAS</t>
  </si>
  <si>
    <t>c.DE 91 A 360DÍAS</t>
  </si>
  <si>
    <t>b.MÁS DE 180 DIAS</t>
  </si>
  <si>
    <t>CARTERA DE MICROCRÉDITO POR VENCER</t>
  </si>
  <si>
    <t>d.DE 1 A 30 DÍAS</t>
  </si>
  <si>
    <t>d.DE 31 A 90 DÍAS</t>
  </si>
  <si>
    <t>c.MÁS DE 360 DÍAS</t>
  </si>
  <si>
    <t>d.DE 91 A 180 DÍAS</t>
  </si>
  <si>
    <t>d.DE 181 A 360 DÍAS</t>
  </si>
  <si>
    <t>d.MÁS DE 360 DÍAS</t>
  </si>
  <si>
    <t>CARTERA DE CRÉDITO PRODUCTIVO POR VENCER</t>
  </si>
  <si>
    <t>e.DE 1 A 30 DÍAS</t>
  </si>
  <si>
    <t>e.DE 31 A 90 DÍAS</t>
  </si>
  <si>
    <t>e.DE 91 A 180 DÍAS</t>
  </si>
  <si>
    <t>e.DE 181 A 360 DÍAS</t>
  </si>
  <si>
    <t>e.MÁS DE 360 DÍAS</t>
  </si>
  <si>
    <t>CARTERA DE CRÉDITO COMERCIAL ORDINARIO POR VENCER</t>
  </si>
  <si>
    <t>f.DE 1 A 30 DÍAS</t>
  </si>
  <si>
    <t>f.DE 31 A 90 DÍAS</t>
  </si>
  <si>
    <t>f.DE 91 A 180 DÍAS</t>
  </si>
  <si>
    <t>f.DE 181 A 360 DÍAS</t>
  </si>
  <si>
    <t>f.MÁS DE 360 DÍAS</t>
  </si>
  <si>
    <t>CARTERA DE CONSUMO ORDINARIO POR VENCER</t>
  </si>
  <si>
    <t>g.DE 1 A 30 DÍAS</t>
  </si>
  <si>
    <t>g.DE 31 A 90 DÍAS</t>
  </si>
  <si>
    <t>g.DE 91 A 180 DÍAS</t>
  </si>
  <si>
    <t>g.DE 181 A 360 DÍAS</t>
  </si>
  <si>
    <t>g.MÁS DE 360 DÍAS</t>
  </si>
  <si>
    <t>CARTERA DE VIVIENDA DE INTERÉS PUBLICO POR VENCER</t>
  </si>
  <si>
    <t>h.DE 1 A 30 DÍAS</t>
  </si>
  <si>
    <t>h.DE 31 A 90 DÍAS</t>
  </si>
  <si>
    <t>h.DE 91 A  360 DÍAS</t>
  </si>
  <si>
    <t>h.MÁS DE 360 DÍAS</t>
  </si>
  <si>
    <t>CARTERA DE CRÉDITO EDUCATIVO POR VENCER</t>
  </si>
  <si>
    <t>i.DE 1 A 30 DÍAS</t>
  </si>
  <si>
    <t>i.DE 31 A 90 DÍAS</t>
  </si>
  <si>
    <t>i.DE 91 A 180 DÍAS</t>
  </si>
  <si>
    <t>i.DE 181 A 360 DÍAS</t>
  </si>
  <si>
    <t>i.MÁS DE 360 DÍAS</t>
  </si>
  <si>
    <t>CARTERA DE CRÉDITO COMERCIAL PRIORITARIO QUE NO DEVENGA INTERESES</t>
  </si>
  <si>
    <t>j.DE 1 A 30 DÍAS</t>
  </si>
  <si>
    <t>j.DE 31 A 90 DÍAS</t>
  </si>
  <si>
    <t>j.DE 91 A 180 DÍAS</t>
  </si>
  <si>
    <t>j.DE 181 A 360 DÍAS</t>
  </si>
  <si>
    <t>j.MÁS DE 360 DÍAS</t>
  </si>
  <si>
    <t>CARTERA DE CRÉDITO DE CONSUMO PRIORITARIO QUE NO DEVENGA INTERESES</t>
  </si>
  <si>
    <t>k.DE 1 A 30 DÍAS</t>
  </si>
  <si>
    <t>k.DE 31 A 90 DÍAS</t>
  </si>
  <si>
    <t>k.DE 91 A 180 DÍAS</t>
  </si>
  <si>
    <t>k.MÁS DE 180 DÍAS</t>
  </si>
  <si>
    <t>CARTERA DE CREDITO INMOBILIARIO QUE NO DEVENGA INTERESES</t>
  </si>
  <si>
    <t>m.DE 1 A 30 DÍAS</t>
  </si>
  <si>
    <t>m.DE 31 A 90 DÍAS</t>
  </si>
  <si>
    <t>m.MÁS DE 360 DÍAS</t>
  </si>
  <si>
    <t>CARTERA DE MICROCRÉDITO QUE NO DEVENGA INTERESES</t>
  </si>
  <si>
    <t>n.DE 1 A 30 DÍAS</t>
  </si>
  <si>
    <t>n.DE 31 A 90 DÍAS</t>
  </si>
  <si>
    <t>n.DE 91 A 180 DÍAS</t>
  </si>
  <si>
    <t>n.DE 181 A 360 DÍAS</t>
  </si>
  <si>
    <t>n.MÁS DE 360 DÍAS</t>
  </si>
  <si>
    <t>CARTERA DE CRÉDITO PRODUCTIVO QUE NO DEVENGA INTERESES</t>
  </si>
  <si>
    <t>ñ.DE 1 A 30 DÍAS</t>
  </si>
  <si>
    <t>ñ.DE 31 A 90 DÍAS</t>
  </si>
  <si>
    <t>ñ.DE 91 A 180 DÍAS</t>
  </si>
  <si>
    <t>ñ.DE 181 A 360 DÍAS</t>
  </si>
  <si>
    <t>ñ.MÁS DE 360 DÍAS</t>
  </si>
  <si>
    <t>CARTERA DE CRÉDITO COMERCIAL ORDINARIO QUE NO DEVENGA INTERESES</t>
  </si>
  <si>
    <t>l.DE 1 A 30 DÍAS</t>
  </si>
  <si>
    <t>l.DE 31 A 90 DÍAS</t>
  </si>
  <si>
    <t>l.DE 91 A 360 DÍAS</t>
  </si>
  <si>
    <t>l.MÁS DE 360 DÍAS</t>
  </si>
  <si>
    <t>m.DE 91 A 180 DÍAS</t>
  </si>
  <si>
    <t>m.DE 181 A 360 DÍAS</t>
  </si>
  <si>
    <t>o.DE 1 A 30 DÍAS</t>
  </si>
  <si>
    <t>o.DE 31 A 90 DÍAS</t>
  </si>
  <si>
    <t>o.DE 91 A 180 DÍAS</t>
  </si>
  <si>
    <t>o.DE 181 A 360 DÍAS</t>
  </si>
  <si>
    <t>o.MÁS DE 360 DÍAS</t>
  </si>
  <si>
    <t>CARTERA DE CONSUMO ORDINARIO QUE NO DEVENGA INTERESES</t>
  </si>
  <si>
    <t>p.DE 1 A 30 DÍAS</t>
  </si>
  <si>
    <t>p.DE 31 A 90 DÍAS</t>
  </si>
  <si>
    <t>p.MÁS DE 360 DÍAS</t>
  </si>
  <si>
    <t>CARTERA DE VIVIENDA DE INTERÉS PUBLICO QUE NO DEVENGA INTERESES</t>
  </si>
  <si>
    <t>q.DE 1 A 30 DÍAS</t>
  </si>
  <si>
    <t>q.DE 31 A 90 DÍAS</t>
  </si>
  <si>
    <t>q.MÁS DE 360 DÍAS</t>
  </si>
  <si>
    <t>CARTERA DE CRÉDITO EDUCATIVO QUE NO DEVENGA INTERESES</t>
  </si>
  <si>
    <t>r.DE 1 A 30 DÍAS</t>
  </si>
  <si>
    <t>r.DE 31 A 90 DÍAS</t>
  </si>
  <si>
    <t>r.DE 91 A 180 DÍAS</t>
  </si>
  <si>
    <t>r.DE 181 A 360 DÍAS</t>
  </si>
  <si>
    <t>r.MÁS DE 360 DÍAS</t>
  </si>
  <si>
    <t>CARTERA DE CRÉDITO COMERCIAL PRIORITARIO VENCIDA</t>
  </si>
  <si>
    <t>s.DE 1 A 30 DÍAS</t>
  </si>
  <si>
    <t>s.DE 31 A 90 DÍAS</t>
  </si>
  <si>
    <t>s.DE 91 A 180 DÍAS</t>
  </si>
  <si>
    <t>CARTERA DE CRÉDITO DE CONSUMO PRIORITARIO VENCIDA</t>
  </si>
  <si>
    <t>CARTERA DE CREDITO INMOBILIARIO VENCIDA</t>
  </si>
  <si>
    <t>CARTERA DE MICROCRÉDITO VENCIDA</t>
  </si>
  <si>
    <t>v.DE 1 A 30 DÍAS</t>
  </si>
  <si>
    <t>v.DE 31 A 90 DÍAS</t>
  </si>
  <si>
    <t>v.DE 91 A 180 DÍAS</t>
  </si>
  <si>
    <t>v.DE 181 A 360 DÍAS</t>
  </si>
  <si>
    <t>v.MÁS DE 360 DÍAS</t>
  </si>
  <si>
    <t>CARTERA DE CRÉDITO PRODUCTIVO VENCIDA</t>
  </si>
  <si>
    <t>w.DE 1 A 30 DÍAS</t>
  </si>
  <si>
    <t>w.DE 31 A 90 DÍAS</t>
  </si>
  <si>
    <t>w.DE 91 A 180 DÍAS</t>
  </si>
  <si>
    <t>w.DE 181 A 360 DÍAS</t>
  </si>
  <si>
    <t>w.MÁS DE 360 DÍAS</t>
  </si>
  <si>
    <t>CARTERA DE CRÉDITO COMERCIAL ORDINARIO VENCIDA</t>
  </si>
  <si>
    <t>x.DE 1 A 30 DÍAS</t>
  </si>
  <si>
    <t>x.DE 31 A 90 DÍAS</t>
  </si>
  <si>
    <t>x.DE 91 A 180 DÍAS</t>
  </si>
  <si>
    <t>x.DE 181 A 360 DÍAS</t>
  </si>
  <si>
    <t>x.MÁS DE 360 DÍAS</t>
  </si>
  <si>
    <t>CARTERA DE CONSUMO ORDINARIO VENCIDA</t>
  </si>
  <si>
    <t>CARTERA DE VIVIENDA DE INTERÉS PUBLICO VENCIDA</t>
  </si>
  <si>
    <t>p.DE 91 A 360 DÍAS</t>
  </si>
  <si>
    <t>q.DE 91 A 180 DÍAS</t>
  </si>
  <si>
    <t>q.DE 181 A 360 DÍAS</t>
  </si>
  <si>
    <t>s.MÁS DE 180 DÍAS</t>
  </si>
  <si>
    <t>t.De 1 a 30 días</t>
  </si>
  <si>
    <t>t.De 31 a 90 días</t>
  </si>
  <si>
    <t>t.De 91 a 360 DÍAS</t>
  </si>
  <si>
    <t>t.MAS DE 360 DÍAS</t>
  </si>
  <si>
    <t>u.DE 1 A 30 DÍAS</t>
  </si>
  <si>
    <t>u.DE 31 A 90 DÍAS</t>
  </si>
  <si>
    <t>u.DE 91 A 180 DÍAS</t>
  </si>
  <si>
    <t>u.DE 181 A 360 DÍAS</t>
  </si>
  <si>
    <t>u.MÁS DE 360 DÍAS</t>
  </si>
  <si>
    <t>y.De 1 a 30 días</t>
  </si>
  <si>
    <t>y.De 31 a 90 días</t>
  </si>
  <si>
    <t>y.De 91 a  360 DÍAS</t>
  </si>
  <si>
    <t xml:space="preserve">y.MÁS DE 360 DÍAS </t>
  </si>
  <si>
    <t>z.DE 1 A 30 DÍAS</t>
  </si>
  <si>
    <t>z.DE 31 A 90 DÍAS</t>
  </si>
  <si>
    <t>z.DE 91 A 180 DÍAS</t>
  </si>
  <si>
    <t>z.DE 181 A 360 DÍAS</t>
  </si>
  <si>
    <t>z.MÁS DE 360 DÍAS</t>
  </si>
  <si>
    <t>CARTERA DE CRÉDITO EDUCATIVO VENCIDA</t>
  </si>
  <si>
    <t>TOTAL CARTERA IMPRODUCTIVA</t>
  </si>
  <si>
    <t>TOTAL CARTERA BRUTA</t>
  </si>
  <si>
    <t>TOTAL CARTERA NETA</t>
  </si>
  <si>
    <t xml:space="preserve">  </t>
  </si>
  <si>
    <t xml:space="preserve">   </t>
  </si>
  <si>
    <t>Nombre de Cuenta</t>
  </si>
  <si>
    <t>COD CONTABLE</t>
  </si>
  <si>
    <t xml:space="preserve">    </t>
  </si>
  <si>
    <t>SECTOR FINANCIERO DE MUTUALISTAS</t>
  </si>
  <si>
    <t>AZUAY</t>
  </si>
  <si>
    <t>IMBABURA</t>
  </si>
  <si>
    <t>AMBATO</t>
  </si>
  <si>
    <t>110215</t>
  </si>
  <si>
    <t>1102</t>
  </si>
  <si>
    <t>110205</t>
  </si>
  <si>
    <t>110210</t>
  </si>
  <si>
    <t>130715</t>
  </si>
  <si>
    <t>170115</t>
  </si>
  <si>
    <t>170410</t>
  </si>
  <si>
    <t>170415</t>
  </si>
  <si>
    <t>170305</t>
  </si>
  <si>
    <t>170310</t>
  </si>
  <si>
    <t>170490</t>
  </si>
  <si>
    <t>170405</t>
  </si>
  <si>
    <t>1704</t>
  </si>
  <si>
    <t>170105</t>
  </si>
  <si>
    <t>1703</t>
  </si>
  <si>
    <t>170420</t>
  </si>
  <si>
    <t>170425</t>
  </si>
  <si>
    <t>170120</t>
  </si>
  <si>
    <t>1701</t>
  </si>
  <si>
    <t>170110</t>
  </si>
  <si>
    <t>170525</t>
  </si>
  <si>
    <t>179920</t>
  </si>
  <si>
    <t>179905</t>
  </si>
  <si>
    <t>1903</t>
  </si>
  <si>
    <t>190250</t>
  </si>
  <si>
    <t>190305</t>
  </si>
  <si>
    <t>190310</t>
  </si>
  <si>
    <t>190260</t>
  </si>
  <si>
    <t>190605</t>
  </si>
  <si>
    <t>261090</t>
  </si>
  <si>
    <t>2906</t>
  </si>
  <si>
    <t>32</t>
  </si>
  <si>
    <t>3201</t>
  </si>
  <si>
    <t>330120</t>
  </si>
  <si>
    <t>510105</t>
  </si>
  <si>
    <t>711205</t>
  </si>
  <si>
    <t>711215</t>
  </si>
  <si>
    <t>711220</t>
  </si>
  <si>
    <t>7112</t>
  </si>
  <si>
    <t>711210</t>
  </si>
  <si>
    <t>710125</t>
  </si>
  <si>
    <t>710120</t>
  </si>
  <si>
    <t>710115</t>
  </si>
  <si>
    <t>Suma de VALOR</t>
  </si>
  <si>
    <t>SUFICIENCIA PATRIMONIAL</t>
  </si>
  <si>
    <t>ESTRUCTURA Y CALIDAD DE ACTIVOS</t>
  </si>
  <si>
    <t>COBERTURA DE PROVISIONES PARA CARTERA IMPRODUCTIVA</t>
  </si>
  <si>
    <t>EFICIENCIA MICROECONOMICA</t>
  </si>
  <si>
    <t>RENTABILIDAD</t>
  </si>
  <si>
    <t>INTERMEDIACION FINANCIERA</t>
  </si>
  <si>
    <t>EFICIENCIA FINANCIERA</t>
  </si>
  <si>
    <t>RENDIMIENTO DE LA CARTERA</t>
  </si>
  <si>
    <t>VULNERABILIDAD DEL PATRIMONIO</t>
  </si>
  <si>
    <t>PROPIEDADES Y EQUIPO</t>
  </si>
  <si>
    <t>OPERACIONES INTERFINANCIERAS</t>
  </si>
  <si>
    <t>OTROS PASIVOS</t>
  </si>
  <si>
    <t>FONDOS DISPONIBLES</t>
  </si>
  <si>
    <t>INVERSIONES</t>
  </si>
  <si>
    <t>CUENTAS POR COBRAR</t>
  </si>
  <si>
    <t>OTROS ACTIVOS</t>
  </si>
  <si>
    <t>OBLIGACIONES INMEDIATAS</t>
  </si>
  <si>
    <t>CUENTAS POR PAGAR</t>
  </si>
  <si>
    <t>OTROS APORTES PATRIMONIALES</t>
  </si>
  <si>
    <t>Sector Financiero Popular y Solidario</t>
  </si>
  <si>
    <t>Reporte financiero comparativo de Mutualistas</t>
  </si>
  <si>
    <t>La información presentada en este reporte estadístico es de exclusiva responsabilidad de las entidades supervisadas por la SEPS. La Superintendencia se reserva el derecho de actualizar la misma al momento de recibir nueva información o en caso de reproceso de información.</t>
  </si>
  <si>
    <t>Concepto</t>
  </si>
  <si>
    <t>Gráfico / Tabla</t>
  </si>
  <si>
    <r>
      <t xml:space="preserve">Fuente: </t>
    </r>
    <r>
      <rPr>
        <sz val="8"/>
        <color indexed="8"/>
        <rFont val="Calibri"/>
        <family val="2"/>
        <scheme val="minor"/>
      </rPr>
      <t>SEPS - Sistema de Acopio integral - Estructura de estados financieros mensuales (B11)</t>
    </r>
  </si>
  <si>
    <r>
      <t>Elaborado por:</t>
    </r>
    <r>
      <rPr>
        <sz val="8"/>
        <color indexed="8"/>
        <rFont val="Calibri"/>
        <family val="2"/>
        <scheme val="minor"/>
      </rPr>
      <t xml:space="preserve"> Dirección Nacional de Estadísticas y Estudios de la EPS y SFPS</t>
    </r>
  </si>
  <si>
    <t>FECHA</t>
  </si>
  <si>
    <t>Caja</t>
  </si>
  <si>
    <t>Efectivo</t>
  </si>
  <si>
    <t>Caja chica</t>
  </si>
  <si>
    <t>Depósitos para encaje</t>
  </si>
  <si>
    <t>Banco Central del Ecuador</t>
  </si>
  <si>
    <t>Banco Ban Ecuador</t>
  </si>
  <si>
    <t>Otras entidades financieras</t>
  </si>
  <si>
    <t>Bancos y otras instituciones financieras</t>
  </si>
  <si>
    <t>Bancos e instituciones financieras locales</t>
  </si>
  <si>
    <t>Bancos e instituciones financieras del exterior</t>
  </si>
  <si>
    <t>Instituciones del sector financiero popular y solidario</t>
  </si>
  <si>
    <t>Efectos de cobro inmediato</t>
  </si>
  <si>
    <t>Remesas en tránsito</t>
  </si>
  <si>
    <t>Del país</t>
  </si>
  <si>
    <t>Del exterior</t>
  </si>
  <si>
    <t>Fondos interfinancieros vendidos</t>
  </si>
  <si>
    <t>Bancos</t>
  </si>
  <si>
    <t>Otras instituciones del sistema financiero</t>
  </si>
  <si>
    <t>Operaciones de reporto con instituciones financieras</t>
  </si>
  <si>
    <t>Instituciones financieras públicas</t>
  </si>
  <si>
    <t>(Provisión para operaciones interfinancieras y de reporto)</t>
  </si>
  <si>
    <t>(Provisión fondos interfinancieros vendidos)</t>
  </si>
  <si>
    <t>(Provisión para operaciones de reporto con instituciones financieras)</t>
  </si>
  <si>
    <t>A valor razonable con cambios en el estado de resultados de entidades del sector privado y sector financiero popular y solidario</t>
  </si>
  <si>
    <t>De 1 a 30 días sector privado</t>
  </si>
  <si>
    <t>De 31 a 90 días sector privado</t>
  </si>
  <si>
    <t>De 91 a 180 días sector privado</t>
  </si>
  <si>
    <t>De 181 a 360 días sector privado</t>
  </si>
  <si>
    <t>De más de 360 días sector privado</t>
  </si>
  <si>
    <t>De 1 a 30 días sector financiero popular y solidario</t>
  </si>
  <si>
    <t>De 31 a 90 días sector financiero popular y solidario</t>
  </si>
  <si>
    <t>De 91 a 180 días sector financiero popular y solidario</t>
  </si>
  <si>
    <t>De 181 a 360 días sector financiero popular y solidario</t>
  </si>
  <si>
    <t>De más de 360 días sector financiero popular y solidario</t>
  </si>
  <si>
    <t>A valor razonable con cambios en el estado de resultados del Estado o de entidades del sector público</t>
  </si>
  <si>
    <t>De 1 a 30 días</t>
  </si>
  <si>
    <t>De 31 a 90 días</t>
  </si>
  <si>
    <t>De 91 a 180 días</t>
  </si>
  <si>
    <t>De 181 a 360 días</t>
  </si>
  <si>
    <t>De más de 360 días</t>
  </si>
  <si>
    <t>Disponibles para la venta de entidades del sector privado y sector financiero popular y solidario</t>
  </si>
  <si>
    <t>Disponibles para la venta del Estado o de entidades del sector público</t>
  </si>
  <si>
    <t>Mantenidas hasta su vencimiento de entidades del sector privado y sector financiero popular y solidario</t>
  </si>
  <si>
    <t>De 181 días a 1 año sector privado</t>
  </si>
  <si>
    <t>De 1 a 3 años sector privado</t>
  </si>
  <si>
    <t>De 3 a 5 años sector privado</t>
  </si>
  <si>
    <t>De 5 a 10 años sector privado</t>
  </si>
  <si>
    <t>De más de 10 años sector privado</t>
  </si>
  <si>
    <t>De 181 días a 1 año sector financiero popular y solidario</t>
  </si>
  <si>
    <t>De 1 a 3 años sector financiero popular y solidario</t>
  </si>
  <si>
    <t>De 3 a 5 años sector financiero popular y solidario</t>
  </si>
  <si>
    <t>De 5 a 10 años sector financiero popular y solidario</t>
  </si>
  <si>
    <t>De más de 10 años sector financiero popular y solidario</t>
  </si>
  <si>
    <t>Mantenidas hasta su vencimiento del Estado o de entidades del sector público</t>
  </si>
  <si>
    <t>De 181 días a 1 año</t>
  </si>
  <si>
    <t>De 1 a 3 años</t>
  </si>
  <si>
    <t>De 3 a 5 años</t>
  </si>
  <si>
    <t>De 5 a 10 años</t>
  </si>
  <si>
    <t>De más de 10 años</t>
  </si>
  <si>
    <t>De disponibilidad restringida</t>
  </si>
  <si>
    <t>Entregadas para operaciones de reporto</t>
  </si>
  <si>
    <t>Depósitos sujetos a restricción</t>
  </si>
  <si>
    <t>Títulos valores para encaje</t>
  </si>
  <si>
    <t>Entregados en garantía</t>
  </si>
  <si>
    <t>Otros</t>
  </si>
  <si>
    <t>(Provisión para inversiones)</t>
  </si>
  <si>
    <t>(Provisión por deterioro en valuación de inversiones)</t>
  </si>
  <si>
    <t>(Provisión general para inversiones)</t>
  </si>
  <si>
    <t>CARTERA DE CRÉDITOS</t>
  </si>
  <si>
    <t>Cartera de créditos comercial prioritario por vencer</t>
  </si>
  <si>
    <t>Cartera de créditos de consumo prioritario por vencer</t>
  </si>
  <si>
    <t>Cartera de crédito inmobiliario por vencer</t>
  </si>
  <si>
    <t>Cartera de microcrédito por vencer</t>
  </si>
  <si>
    <t>Cartera de crédito comercial ordinario por vencer</t>
  </si>
  <si>
    <t>Cartera de créditos de consumo ordinario por vencer</t>
  </si>
  <si>
    <t>Cartera de crédito de vivienda de interés público por vencer</t>
  </si>
  <si>
    <t>Cartera de créditos comercial prioritario refinanciada por vencer</t>
  </si>
  <si>
    <t>Cartera de créditos de consumo prioritario refinanciada por vencer</t>
  </si>
  <si>
    <t>Cartera de crédito inmobiliario refinanciada por vencer</t>
  </si>
  <si>
    <t>Cartera de microcrédito refinanciada por vencer</t>
  </si>
  <si>
    <t>Cartera de crédito comercial ordinario refinanciada por vencer</t>
  </si>
  <si>
    <t>Cartera de créditos de consumo ordinario refinanciada por vencer</t>
  </si>
  <si>
    <t>Cartera de crédito de vivienda de interés público refinanciada por vencer</t>
  </si>
  <si>
    <t>Cartera de créditos comercial prioritario reestructurada por vencer</t>
  </si>
  <si>
    <t>Cartera de créditos de consumo prioritario reestructurada por vencer</t>
  </si>
  <si>
    <t>Cartera de crédito inmobiliario reestructurada por vencer</t>
  </si>
  <si>
    <t>Cartera de microcrédito reestructurada por vencer</t>
  </si>
  <si>
    <t>Cartera de crédito comercial ordinario reestructurada por vencer</t>
  </si>
  <si>
    <t>Cartera de créditos de consumo ordinario reestructurada por vencer</t>
  </si>
  <si>
    <t>Cartera de crédito de vivienda de interés público reestructurada por vencer</t>
  </si>
  <si>
    <t>Cartera de créditos comercial prioritario que no devenga intereses</t>
  </si>
  <si>
    <t>Cartera de créditos de consumo prioritario que no devenga intereses</t>
  </si>
  <si>
    <t>Cartera de crédito inmobiliario que no devenga intereses</t>
  </si>
  <si>
    <t>Cartera de microcrédito que no devenga intereses</t>
  </si>
  <si>
    <t>Cartera de crédito comercial ordinario que no devenga intereses</t>
  </si>
  <si>
    <t>Cartera de créditos de consumo ordinario que no devenga intereses</t>
  </si>
  <si>
    <t>Cartera de crédito de vivienda de interés público que no devenga intereses</t>
  </si>
  <si>
    <t>Cartera de créditos comercial prioritario refinanciada que no devenga intereses</t>
  </si>
  <si>
    <t>Cartera de créditos de consumo prioritario refinanciada que no devenga intereses</t>
  </si>
  <si>
    <t>Cartera de crédito inmobiliario refinanciada que no devenga intereses</t>
  </si>
  <si>
    <t>Cartera microcrédito refinanciada que no devenga intereses</t>
  </si>
  <si>
    <t>Cartera de crédito comercial ordinario refinanciada que no devenga intereses</t>
  </si>
  <si>
    <t>Cartera de créditos de consumo ordinario refinanciada que no devenga intereses</t>
  </si>
  <si>
    <t>Cartera de crédito de vivienda de interés público refinanciada que no devenga intereses</t>
  </si>
  <si>
    <t>Cartera de créditos comercial prioritario reestructurada que no devenga intereses</t>
  </si>
  <si>
    <t>Cartera de créditos de consumo prioritario reestructurada que no devenga intereses</t>
  </si>
  <si>
    <t>Cartera de crédito inmobiliario reestructurada que no devenga intereses</t>
  </si>
  <si>
    <t>Cartera microcrédito reestructurada que no devenga intereses</t>
  </si>
  <si>
    <t>Cartera de crédito comercial ordinario reestructurada que no devenga intereses</t>
  </si>
  <si>
    <t>Cartera de créditos de consumo ordinario reestructurada que no devenga intereses</t>
  </si>
  <si>
    <t>Cartera de crédito de vivienda de interés público reestructurada que no devenga intereses</t>
  </si>
  <si>
    <t>Cartera de créditos comercial prioritario vencida</t>
  </si>
  <si>
    <t>Cartera de créditos de consumo prioritario vencida</t>
  </si>
  <si>
    <t>De 181 a 270 días</t>
  </si>
  <si>
    <t>De más de 270 días</t>
  </si>
  <si>
    <t>Cartera de crédito inmobiliario vencida</t>
  </si>
  <si>
    <t>De 91 a 270 días</t>
  </si>
  <si>
    <t>De 271 a 360 días</t>
  </si>
  <si>
    <t>De 361 a 720 días</t>
  </si>
  <si>
    <t>De más de 720 días</t>
  </si>
  <si>
    <t>Cartera de microcrédito vencida</t>
  </si>
  <si>
    <t>Cartera de crédito comercial ordinario vencida</t>
  </si>
  <si>
    <t>Cartera de créditos de consumo ordinario vencida</t>
  </si>
  <si>
    <t>Cartera de crédito de vivienda de interés público vencida</t>
  </si>
  <si>
    <t>Cartera de créditos comercial prioritario refinanciada vencida</t>
  </si>
  <si>
    <t>Cartera de créditos de consumo prioritario refinanciada vencida</t>
  </si>
  <si>
    <t>Cartera de crédito inmobiliario refinanciada vencida</t>
  </si>
  <si>
    <t>Cartera de microcrédito refinanciada vencida</t>
  </si>
  <si>
    <t>Cartera de crédito comercial ordinario refinanciada vencida</t>
  </si>
  <si>
    <t>Cartera de créditos de consumo ordinario refinanciada vencida</t>
  </si>
  <si>
    <t>Cartera de crédito de vivienda de interés público refinanciada vencida</t>
  </si>
  <si>
    <t>Cartera de créditos comercial prioritario reestructurada vencida</t>
  </si>
  <si>
    <t>Cartera de créditos de consumo prioritario reestructurada vencida</t>
  </si>
  <si>
    <t>Cartera de crédito inmobiliario reestructurada vencida</t>
  </si>
  <si>
    <t>Cartera de microcrédito reestructurada vencida</t>
  </si>
  <si>
    <t>Cartera de crédito comercial ordinario reestructurada vencida</t>
  </si>
  <si>
    <t>Cartera de créditos de consumo ordinario reestructurada vencida</t>
  </si>
  <si>
    <t>Cartera de crédito de vivienda de interés público reestructurada vencida</t>
  </si>
  <si>
    <t>Cartera de crédito educativo por vencer</t>
  </si>
  <si>
    <t>Cartera de crédito educativo refinanciada por vencer</t>
  </si>
  <si>
    <t>Cartera de crédito educativo reestructurada por vencer</t>
  </si>
  <si>
    <t>Cartera de crédito educativo que no devenga intereses</t>
  </si>
  <si>
    <t>Cartera de crédito educativo refinanciada que no devenga intereses</t>
  </si>
  <si>
    <t>Cartera de crédito educativo reestructurada que no devenga intereses</t>
  </si>
  <si>
    <t>Cartera de crédito educativo vencida</t>
  </si>
  <si>
    <t>Cartera de crédito educativo refinanciada vencida</t>
  </si>
  <si>
    <t>Cartera de crédito educativo reestructurada vencida</t>
  </si>
  <si>
    <t>(Provisiones para créditos incobrables)</t>
  </si>
  <si>
    <t>(Cartera de créditos comercial prioritario)</t>
  </si>
  <si>
    <t>(Cartera de créditos de consumo prioritario)</t>
  </si>
  <si>
    <t>(Cartera de crédito inmobiliario)</t>
  </si>
  <si>
    <t>(Cartera de microcréditos)</t>
  </si>
  <si>
    <t>(Cartera de crédito comercial ordinario)</t>
  </si>
  <si>
    <t>(Cartera de crédito de consumo ordinario)</t>
  </si>
  <si>
    <t>(Cartera de crédito de vivienda de interés público)</t>
  </si>
  <si>
    <t>(Cartera de créditos refinanciada)</t>
  </si>
  <si>
    <t>(Cartera de créditos reestructurada)</t>
  </si>
  <si>
    <t>(Cartera de créditos educativo)</t>
  </si>
  <si>
    <t>(Provisión genérica por tecnología crediticia)</t>
  </si>
  <si>
    <t>(Provisión  anti cíclica)</t>
  </si>
  <si>
    <t>(Provisiones no reversadas por requerimiento normativo)</t>
  </si>
  <si>
    <t>(Provision genérica voluntaria)</t>
  </si>
  <si>
    <t>DEUDORES POR ACEPTACIÓN</t>
  </si>
  <si>
    <t>Dentro del plazo</t>
  </si>
  <si>
    <t>Después del plazo</t>
  </si>
  <si>
    <t>Intereses por cobrar de operaciones interfinancieras</t>
  </si>
  <si>
    <t>Interfinacieras vendidas</t>
  </si>
  <si>
    <t>Intereses por cobrar inversiones</t>
  </si>
  <si>
    <t>A valor razonable con cambios en el estado de resultados</t>
  </si>
  <si>
    <t>Disponibles para la venta</t>
  </si>
  <si>
    <t>Mantenidas hasta el vencimiento</t>
  </si>
  <si>
    <t>Intereses por cobrar de cartera de créditos</t>
  </si>
  <si>
    <t>Cartera de créditos comercial prioritario</t>
  </si>
  <si>
    <t>Cartera de créditos de consumo prioritario</t>
  </si>
  <si>
    <t>Cartera de crédito inmobiliario</t>
  </si>
  <si>
    <t>Cartera de microcrédito</t>
  </si>
  <si>
    <t>Cartera de crédito comercial ordinario</t>
  </si>
  <si>
    <t>Cartera de crédito de consumo ordinario</t>
  </si>
  <si>
    <t>Cartera de crédito de vivienda de interés público</t>
  </si>
  <si>
    <t>Cartera de crédito educativo</t>
  </si>
  <si>
    <t>Cartera de créditos refinanciada</t>
  </si>
  <si>
    <t>Cartera de créditos reestructurada</t>
  </si>
  <si>
    <t>Otros intereses por cobrar</t>
  </si>
  <si>
    <t>Comisiones por cobrar</t>
  </si>
  <si>
    <t>Operaciones contingentes</t>
  </si>
  <si>
    <t>Otras</t>
  </si>
  <si>
    <t>Rendimientos por cobrar de fideicomisos mercantiles</t>
  </si>
  <si>
    <t>Anticipo para adquisición de acciones</t>
  </si>
  <si>
    <t>Inversiones vencidas</t>
  </si>
  <si>
    <t>Pagos por cuenta de socios</t>
  </si>
  <si>
    <t>Intereses</t>
  </si>
  <si>
    <t>Comisiones</t>
  </si>
  <si>
    <t>Gastos por operaciones contingentes</t>
  </si>
  <si>
    <t>Seguros</t>
  </si>
  <si>
    <t>Impuestos</t>
  </si>
  <si>
    <t>Gastos judiciales</t>
  </si>
  <si>
    <t>Intereses reestructurados por cobrar</t>
  </si>
  <si>
    <t>Intereses de cartera de créditos comercial prioritario</t>
  </si>
  <si>
    <t>Intereses de cartera de créditos de consumo prioritario</t>
  </si>
  <si>
    <t>Intereses de cartera de crédito inmobiliario</t>
  </si>
  <si>
    <t>Intereses de cartera de microcrédito</t>
  </si>
  <si>
    <t>Intereses de cartera de crédito comercial ordinario</t>
  </si>
  <si>
    <t>Intereses de cartera de crédito de consumo ordinario</t>
  </si>
  <si>
    <t>Intereses de cartera de crédito de vivienda de interés público</t>
  </si>
  <si>
    <t>Intereses de cartera de crédito educativo</t>
  </si>
  <si>
    <t>Cuentas  por cobrar por cartera de vivienda vendida al fideicomiso de titularización</t>
  </si>
  <si>
    <t>Cuentas por cobrar varias</t>
  </si>
  <si>
    <t>Anticipos al personal</t>
  </si>
  <si>
    <t>Préstamos de fondo de reserva</t>
  </si>
  <si>
    <t>Cheques protestados y rechazados</t>
  </si>
  <si>
    <t>Arrendamientos</t>
  </si>
  <si>
    <t>Establecimientos afiliados</t>
  </si>
  <si>
    <t>Por venta de bienes y acciones</t>
  </si>
  <si>
    <t>Juicios ejecutivos en proceso</t>
  </si>
  <si>
    <t>Emisión y renovación de tarjetas de crédito</t>
  </si>
  <si>
    <t>(Provisión para cuentas por cobrar)</t>
  </si>
  <si>
    <t>(Provisión para intereses y comisiones por cobrar)</t>
  </si>
  <si>
    <t>(Provisión para otras cuentas por cobrar)</t>
  </si>
  <si>
    <t>BIENES REALIZABLES, ADJUDICADOS POR PAGO, DE ARRENDAMIENTO MERCANTIL Y NO UTILIZADOS POR LA INSTITUCIÓN</t>
  </si>
  <si>
    <t>Bienes Realizables</t>
  </si>
  <si>
    <t>Terrenos</t>
  </si>
  <si>
    <t>Obras de Urbanización</t>
  </si>
  <si>
    <t>Obras de Edificación</t>
  </si>
  <si>
    <t>Viviendas y otras obras terminadas</t>
  </si>
  <si>
    <t>Bienes adjudicados por pago</t>
  </si>
  <si>
    <t>Edificios y otros locales</t>
  </si>
  <si>
    <t>Mobiliario, maquinaria y equipo</t>
  </si>
  <si>
    <t>Unidades de transporte</t>
  </si>
  <si>
    <t>Derechos fiduciarios</t>
  </si>
  <si>
    <t>Bienes por arrendar</t>
  </si>
  <si>
    <t>Adquiridos</t>
  </si>
  <si>
    <t>Importaciones en tránsito</t>
  </si>
  <si>
    <t>Bienes recuperados</t>
  </si>
  <si>
    <t>Inmuebles</t>
  </si>
  <si>
    <t>Muebles, enseres y equipos de oficina</t>
  </si>
  <si>
    <t>Equipos de computación</t>
  </si>
  <si>
    <t>Equipos de construcción</t>
  </si>
  <si>
    <t>Bienes arrendados</t>
  </si>
  <si>
    <t>(Depreciación de bienes arrendados)</t>
  </si>
  <si>
    <t>Bienes no utilizados por la institución</t>
  </si>
  <si>
    <t>Edificios</t>
  </si>
  <si>
    <t>Otros locales</t>
  </si>
  <si>
    <t>Remodelaciones en curso</t>
  </si>
  <si>
    <t>(Depreciación de bienes no utilizados por la institución)</t>
  </si>
  <si>
    <t>(Provisión para bienes realizables, adjudicados por pago y recuperados)</t>
  </si>
  <si>
    <t>(Provisión para bienes realizables)</t>
  </si>
  <si>
    <t>(Provisión para bienes adjudicados)</t>
  </si>
  <si>
    <t>(Provisión por deterioro para bienes no utilizados por la institución)</t>
  </si>
  <si>
    <t>(Provisión para bienes por acuerdos concordatorios)</t>
  </si>
  <si>
    <t>Construcciones y remodelaciones en curso</t>
  </si>
  <si>
    <t>(Depreciación acumulada)</t>
  </si>
  <si>
    <t>(Edificios)</t>
  </si>
  <si>
    <t>(Otros locales)</t>
  </si>
  <si>
    <t>(Muebles, enseres y equipos de oficina)</t>
  </si>
  <si>
    <t>(Equipos de computación)</t>
  </si>
  <si>
    <t>(Unidades de transporte)</t>
  </si>
  <si>
    <t>(Equipos de construcción)</t>
  </si>
  <si>
    <t>(Otros)</t>
  </si>
  <si>
    <t>Inversiones en acciones y participaciones</t>
  </si>
  <si>
    <t>En subsidiarias y afiliadas</t>
  </si>
  <si>
    <t>En otras instituciones financieras</t>
  </si>
  <si>
    <t>En compañías</t>
  </si>
  <si>
    <t>En compañías de servicios auxiliares del sistema financiero</t>
  </si>
  <si>
    <t>Cartera de créditos por vencer</t>
  </si>
  <si>
    <t>Cartera de créditos refinanciada por vencer</t>
  </si>
  <si>
    <t>Cartera de créditos reestructurada por vencer</t>
  </si>
  <si>
    <t>Cartera de créditos que no devenga intereses</t>
  </si>
  <si>
    <t>Cartera de créditos refinanciada que no devenga intereses</t>
  </si>
  <si>
    <t>Cartera de créditos reestructurada que no devenga intereses</t>
  </si>
  <si>
    <t>Cartera de créditos vencida</t>
  </si>
  <si>
    <t>Cartera de créditos refinanciada vencida</t>
  </si>
  <si>
    <t>Cartera de créditos reestructurada vencida</t>
  </si>
  <si>
    <t>Fondos de liquidez</t>
  </si>
  <si>
    <t>Otras inversiones en participaciones</t>
  </si>
  <si>
    <t>Proyectos inmobiliarios en numerario</t>
  </si>
  <si>
    <t>Proyectos inmobiliarios en bienes</t>
  </si>
  <si>
    <t>Gastos y pagos anticipados</t>
  </si>
  <si>
    <t>Anticipos a terceros</t>
  </si>
  <si>
    <t>(Amortización de gastos anticipados)</t>
  </si>
  <si>
    <t>Gastos diferidos</t>
  </si>
  <si>
    <t>Gastos de constitución y organización</t>
  </si>
  <si>
    <t>Gastos de instalación</t>
  </si>
  <si>
    <t>Estudios</t>
  </si>
  <si>
    <t>Programas de computación</t>
  </si>
  <si>
    <t>Gastos de adecuación</t>
  </si>
  <si>
    <t>Plusvalía mercantil</t>
  </si>
  <si>
    <t>(Amortización acumulada gastos diferidos)</t>
  </si>
  <si>
    <t>Materiales, mercaderías e insumos</t>
  </si>
  <si>
    <t>Materiales de construcción</t>
  </si>
  <si>
    <t>Proveeduría</t>
  </si>
  <si>
    <t>Transferencias internas</t>
  </si>
  <si>
    <t>Derechos Fiduciarios recibidos por resolución del sector financiero popular y solidario</t>
  </si>
  <si>
    <t>De activos de instituciones financieras inviables</t>
  </si>
  <si>
    <t>De recursos provenientes de la COSEDE</t>
  </si>
  <si>
    <t>Impuesto al valor agregado – IVA</t>
  </si>
  <si>
    <t>Otros impuestos</t>
  </si>
  <si>
    <t>Depósitos en garantía y para importaciones</t>
  </si>
  <si>
    <t>Faltantes de caja</t>
  </si>
  <si>
    <t>Varias</t>
  </si>
  <si>
    <t>(Provisión para otros activos irrecuperables)</t>
  </si>
  <si>
    <t>(Provisión para valuación de inversiones en acciones y participaciones)</t>
  </si>
  <si>
    <t>(Provisión para valuación de derechos fiduciarios)</t>
  </si>
  <si>
    <t>(Provisión para otros activos)</t>
  </si>
  <si>
    <t>OBLIGACIONES CON EL PÚBLICO</t>
  </si>
  <si>
    <t>Depósitos a la vista</t>
  </si>
  <si>
    <t>Depósitos de ahorro</t>
  </si>
  <si>
    <t>Otros depósitos</t>
  </si>
  <si>
    <t>Fondos de tarjetahabientes</t>
  </si>
  <si>
    <t>Depósitos por confirmar</t>
  </si>
  <si>
    <t>Depósitos de cuenta básica</t>
  </si>
  <si>
    <t>Operaciones de reporto</t>
  </si>
  <si>
    <t>Operaciones de reporto financiero</t>
  </si>
  <si>
    <t>Operaciones de reporto por confirmar</t>
  </si>
  <si>
    <t>Operaciones de reporto bursátil</t>
  </si>
  <si>
    <t>Depósitos a plazo</t>
  </si>
  <si>
    <t>De más de 361 días</t>
  </si>
  <si>
    <t>Depósitos de garantía</t>
  </si>
  <si>
    <t>Depósitos restringidos</t>
  </si>
  <si>
    <t>Fondos interfinancieros comprados</t>
  </si>
  <si>
    <t>Operaciones por confirmar</t>
  </si>
  <si>
    <t>Giros, transferencias y cobranzas por pagar</t>
  </si>
  <si>
    <t>Giros y transferencias</t>
  </si>
  <si>
    <t>Cobranzas</t>
  </si>
  <si>
    <t>Valores en circulación y cupones por pagar</t>
  </si>
  <si>
    <t>Bonos</t>
  </si>
  <si>
    <t>Obligaciones</t>
  </si>
  <si>
    <t>Otros títulos valores</t>
  </si>
  <si>
    <t>ACEPTACIONES EN CIRCULACIÓN</t>
  </si>
  <si>
    <t>Intereses por pagar</t>
  </si>
  <si>
    <t>Depósitos en garantía</t>
  </si>
  <si>
    <t>Obligaciones financieras</t>
  </si>
  <si>
    <t>Comisiones por pagar</t>
  </si>
  <si>
    <t>Obligaciones patronales</t>
  </si>
  <si>
    <t>Remuneraciones</t>
  </si>
  <si>
    <t>Beneficios Sociales</t>
  </si>
  <si>
    <t>Aportes al IESS</t>
  </si>
  <si>
    <t>Fondo de reserva IESS</t>
  </si>
  <si>
    <t>Participación a empleados</t>
  </si>
  <si>
    <t>Gastos de responsabilidad, residencia y representación</t>
  </si>
  <si>
    <t>Retenciones</t>
  </si>
  <si>
    <t>Retenciones fiscales</t>
  </si>
  <si>
    <t>Otras retenciones</t>
  </si>
  <si>
    <t>Contribuciones, impuestos y multas</t>
  </si>
  <si>
    <t>Impuesto a la renta</t>
  </si>
  <si>
    <t>Multas</t>
  </si>
  <si>
    <t>Otras contribuciones e impuestos</t>
  </si>
  <si>
    <t>Proveedores</t>
  </si>
  <si>
    <t>Obligaciones por compra de cartera</t>
  </si>
  <si>
    <t>Garantías crediticias subrogadas pendientes de recuperación</t>
  </si>
  <si>
    <t>Créditos comerciales</t>
  </si>
  <si>
    <t>Contingentes</t>
  </si>
  <si>
    <t>Cuentas por pagar a establecimientos afiliados</t>
  </si>
  <si>
    <t>Provisiones para aceptaciones y operaciones contingentes</t>
  </si>
  <si>
    <t>Cuentas por pagar varias</t>
  </si>
  <si>
    <t>Excedentes por pagar</t>
  </si>
  <si>
    <t>Cheques girados no cobrados</t>
  </si>
  <si>
    <t>Otras cuentas por pagar</t>
  </si>
  <si>
    <t>Sobregiros</t>
  </si>
  <si>
    <t>Obligaciones con instituciones financieras del país y sector financiero popular y solidario</t>
  </si>
  <si>
    <t>Obligaciones con instituciones financieras del exterior</t>
  </si>
  <si>
    <t>Obligaciones con entidades financieras del sector público</t>
  </si>
  <si>
    <t>Obligaciones con organismos multilaterales</t>
  </si>
  <si>
    <t>Préstamos subordinados</t>
  </si>
  <si>
    <t>Obligaciones con el fondo de liquidez del sector financiero popular y solidario</t>
  </si>
  <si>
    <t>Por crédito automático</t>
  </si>
  <si>
    <t>Por necesidades extraordinarias de liquidez</t>
  </si>
  <si>
    <t>Por otros créditos del Fondo de Liquidez</t>
  </si>
  <si>
    <t>Otras obligaciones</t>
  </si>
  <si>
    <t>VALORES EN CIRCULACIÓN</t>
  </si>
  <si>
    <t>Bonos emitidos por entidades financieras de la economía popular y solidaria</t>
  </si>
  <si>
    <t>Emitidas por instituciones financieras privadas y del sector financiero popular y solidario.</t>
  </si>
  <si>
    <t>Prima o descuento en colocación de valores en circulación</t>
  </si>
  <si>
    <t>Ingresos recibidos por anticipado</t>
  </si>
  <si>
    <t>Rentas recibidas por anticipado</t>
  </si>
  <si>
    <t>Afiliaciones y renovaciones</t>
  </si>
  <si>
    <t>Consignación para pago de obligaciones</t>
  </si>
  <si>
    <t>Ingresos por valuación de bienes realizables entregados</t>
  </si>
  <si>
    <t>Minusvalía mercantil (Badwill)</t>
  </si>
  <si>
    <t>Sobrantes de caja</t>
  </si>
  <si>
    <t>Varios</t>
  </si>
  <si>
    <t>Aportes de socios</t>
  </si>
  <si>
    <t>Prima o descuento en colocación de certificados de aportación</t>
  </si>
  <si>
    <t>Fondo Irrepartible de Reserva Legal</t>
  </si>
  <si>
    <t>Reserva Legal Irrepartible</t>
  </si>
  <si>
    <t>Donaciones</t>
  </si>
  <si>
    <t>Utilidades o excedentes acumulados de la Reserva Irrepartible</t>
  </si>
  <si>
    <t>Generales</t>
  </si>
  <si>
    <t>Especiales</t>
  </si>
  <si>
    <t>Revalorización del patrimonio</t>
  </si>
  <si>
    <t>Por resultados no operativos</t>
  </si>
  <si>
    <t>SUPERÁVIT POR VALUACIONES</t>
  </si>
  <si>
    <t>Superávit por valuación de propiedades, equipo y otros</t>
  </si>
  <si>
    <t>Superávit por valuación de inversiones en acciones</t>
  </si>
  <si>
    <t>Valuación de inversiones en instrumentos financieros</t>
  </si>
  <si>
    <t>Utilidades o excedentes acumuladas</t>
  </si>
  <si>
    <t>(Pérdidas acumuladas)</t>
  </si>
  <si>
    <t>Utilidad o excedente del ejercicio</t>
  </si>
  <si>
    <t>(Pérdida del ejercicio)</t>
  </si>
  <si>
    <t>Fondos financieros comprados</t>
  </si>
  <si>
    <t>Obligaciones con instituciones financieras del país y del sector popular y solidario</t>
  </si>
  <si>
    <t>Valores en circulación y obligaciones convertibles en acciones</t>
  </si>
  <si>
    <t>Otros intereses</t>
  </si>
  <si>
    <t>Por operaciones de permuta financiera</t>
  </si>
  <si>
    <t>Servicios fiduciarios</t>
  </si>
  <si>
    <t>PÉRDIDAS FINANCIERAS</t>
  </si>
  <si>
    <t>En valuación de inversiones</t>
  </si>
  <si>
    <t>En venta de activos productivos</t>
  </si>
  <si>
    <t>En venta de inversiones</t>
  </si>
  <si>
    <t>En venta de cartera de créditos</t>
  </si>
  <si>
    <t>Pérdidas por fideicomiso mercantil</t>
  </si>
  <si>
    <t>Prima de inversiones en títulos valores</t>
  </si>
  <si>
    <t>Primas en cartera comprada</t>
  </si>
  <si>
    <t>Crédito comercial prioritario</t>
  </si>
  <si>
    <t>Crédito comercial ordinario</t>
  </si>
  <si>
    <t>Crédito de consumo prioritario</t>
  </si>
  <si>
    <t>Crédito de consumo ordinario</t>
  </si>
  <si>
    <t>Crédito inmobiliario</t>
  </si>
  <si>
    <t>Crédito de vivienda de interés público</t>
  </si>
  <si>
    <t>Microcrédito</t>
  </si>
  <si>
    <t>Crédito educativo</t>
  </si>
  <si>
    <t>Bienes realizables, adjudicados por pago y de arrendamiento mercantil</t>
  </si>
  <si>
    <t>Operaciones interfinancieras y de reporto</t>
  </si>
  <si>
    <t>GASTOS DE OPERACIÓN</t>
  </si>
  <si>
    <t>Gastos de personal</t>
  </si>
  <si>
    <t>Remuneraciones mensuales</t>
  </si>
  <si>
    <t>Gastos de representación, residencia y responsabilidad</t>
  </si>
  <si>
    <t>Impuesto a la renta del personal</t>
  </si>
  <si>
    <t>Pensiones y jubilaciones</t>
  </si>
  <si>
    <t>Honorarios</t>
  </si>
  <si>
    <t>Directores</t>
  </si>
  <si>
    <t>Honorarios profesionales</t>
  </si>
  <si>
    <t>Servicios varios</t>
  </si>
  <si>
    <t>Movilización, fletes y embalajes</t>
  </si>
  <si>
    <t>Servicios de guardianía</t>
  </si>
  <si>
    <t>Publicidad y propaganda</t>
  </si>
  <si>
    <t>Servicios básicos</t>
  </si>
  <si>
    <t>Otros servicios</t>
  </si>
  <si>
    <t>Impuestos, contribuciones y multas</t>
  </si>
  <si>
    <t>Impuestos Fiscales</t>
  </si>
  <si>
    <t>Impuestos Municipales</t>
  </si>
  <si>
    <t>Aportes a la SEPS</t>
  </si>
  <si>
    <t>Aportes al COSEDE por prima fija</t>
  </si>
  <si>
    <t>Aportes al COSEDE por prima variable</t>
  </si>
  <si>
    <t>Multas y otras sanciones</t>
  </si>
  <si>
    <t>Impuestos y aportes para otros organismos e instituciones</t>
  </si>
  <si>
    <t>Depreciaciones</t>
  </si>
  <si>
    <t>Amortizaciones</t>
  </si>
  <si>
    <t>Gastos anticipados</t>
  </si>
  <si>
    <t>Otros gastos</t>
  </si>
  <si>
    <t>Suministros diversos</t>
  </si>
  <si>
    <t>Mantenimiento y reparaciones</t>
  </si>
  <si>
    <t>OTRAS PÉRDIDAS OPERACIONALES</t>
  </si>
  <si>
    <t>Pérdida en acciones y participaciones</t>
  </si>
  <si>
    <t>Pérdida en venta de bienes realizables y recuperados</t>
  </si>
  <si>
    <t>Pérdida en venta de bienes</t>
  </si>
  <si>
    <t>Pérdida en venta de acciones y participaciones</t>
  </si>
  <si>
    <t>Intereses y comisiones devengados en ejercicios anteriores</t>
  </si>
  <si>
    <t>IMPUESTOS Y PARTICIPACIÓN A EMPLEADOS</t>
  </si>
  <si>
    <t>Depósitos</t>
  </si>
  <si>
    <t>Depósitos en instituciones financieras e instituciones del sector financiero popular y solidario</t>
  </si>
  <si>
    <t>Overnight</t>
  </si>
  <si>
    <t>Fondos interfinancieras vendidos</t>
  </si>
  <si>
    <t>Intereses y descuentos de inversiones en títulos valores</t>
  </si>
  <si>
    <t>Inversiones a valor razonable con cambios en el estado de resultados</t>
  </si>
  <si>
    <t>Intereses y descuentos de cartera de créditos</t>
  </si>
  <si>
    <t>De mora</t>
  </si>
  <si>
    <t>Descuentos en cartera comprada</t>
  </si>
  <si>
    <t>Otros intereses y descuentos</t>
  </si>
  <si>
    <t>Por pagos por cuenta de socios</t>
  </si>
  <si>
    <t>Avales</t>
  </si>
  <si>
    <t>Fianzas</t>
  </si>
  <si>
    <t>Cartas de Crédito</t>
  </si>
  <si>
    <t>Rendimientos por fideicomiso mercantil</t>
  </si>
  <si>
    <t>Arrendamiento financiero</t>
  </si>
  <si>
    <t>Manejo y cobranzas</t>
  </si>
  <si>
    <t>Tarifados con costo máximo</t>
  </si>
  <si>
    <t>Tarifados diferenciados</t>
  </si>
  <si>
    <t>Utilidades en acciones y participaciones</t>
  </si>
  <si>
    <t>Utilidad en venta de bienes realizables y recuperados</t>
  </si>
  <si>
    <t>Utilidad en venta de bienes</t>
  </si>
  <si>
    <t>Utilidad en venta de acciones y participaciones</t>
  </si>
  <si>
    <t>Recuperaciones de activos financieros</t>
  </si>
  <si>
    <t>De activos castigados</t>
  </si>
  <si>
    <t>Reversión de provisiones</t>
  </si>
  <si>
    <t>Devolución de impuestos y multas</t>
  </si>
  <si>
    <t>Intereses y comisiones de ejercicios anteriores</t>
  </si>
  <si>
    <t>Pérdidas y ganancias</t>
  </si>
  <si>
    <t>Otras cuentas contingentes deudoras</t>
  </si>
  <si>
    <t>Avales comunes</t>
  </si>
  <si>
    <t>Avales con garantía de instituciones financieras del exterior</t>
  </si>
  <si>
    <t>Fianzas y garantías</t>
  </si>
  <si>
    <t>Garantías aduaneras</t>
  </si>
  <si>
    <t>Garantías Corporación Financiera Nacional</t>
  </si>
  <si>
    <t>Fianzas con garantía de instituciones financieras del exterior</t>
  </si>
  <si>
    <t>Emitidas por la institución</t>
  </si>
  <si>
    <t>Emitidas por cuenta de la institución</t>
  </si>
  <si>
    <t>Confirmadas</t>
  </si>
  <si>
    <t>Créditos aprobados no desembolsados</t>
  </si>
  <si>
    <t>Compromisos futuros</t>
  </si>
  <si>
    <t>Riesgo asumido por cartera vendida</t>
  </si>
  <si>
    <t>Riesgo asumido en cartera permutada</t>
  </si>
  <si>
    <t>Otros compromisos</t>
  </si>
  <si>
    <t>Valores y bienes propios en poder de terceros</t>
  </si>
  <si>
    <t>En cobranza</t>
  </si>
  <si>
    <t>En custodia</t>
  </si>
  <si>
    <t>Bienes entregados en arrendamiento financiero</t>
  </si>
  <si>
    <t>Cánones en arrendamiento financiero vendidos</t>
  </si>
  <si>
    <t>En comodato</t>
  </si>
  <si>
    <t>Activos propios en poder de terceros entregados en garantía</t>
  </si>
  <si>
    <t>Inversiones a valor razonable  con cambios en el estado de resultados</t>
  </si>
  <si>
    <t>Inversiones disponibles para la venta</t>
  </si>
  <si>
    <t>Inversiones mantenidas hasta el vencimiento</t>
  </si>
  <si>
    <t>Inversiones de disponibilidad restringida</t>
  </si>
  <si>
    <t>Bienes muebles</t>
  </si>
  <si>
    <t>Bienes inmuebles</t>
  </si>
  <si>
    <t>Activos castigados</t>
  </si>
  <si>
    <t>Líneas de crédito no utilizadas</t>
  </si>
  <si>
    <t>Operaciones activas con empresas vinculadas</t>
  </si>
  <si>
    <t>Cartera de créditos y otros activos en demanda judicial</t>
  </si>
  <si>
    <t>Comercial prioritario</t>
  </si>
  <si>
    <t>Consumo prioritario</t>
  </si>
  <si>
    <t>Cartera de créditos comercial ordinario</t>
  </si>
  <si>
    <t>Refinanciada</t>
  </si>
  <si>
    <t>Reestructurada</t>
  </si>
  <si>
    <t>Intereses, comisiones e ingresos en suspenso</t>
  </si>
  <si>
    <t>Contrato de arrendamiento mercantil financiero</t>
  </si>
  <si>
    <t>Canones por recibir</t>
  </si>
  <si>
    <t>Opcion en compra</t>
  </si>
  <si>
    <t>Descuentos concedidos</t>
  </si>
  <si>
    <t>Obligaciones extinguidas por acuerdos concordatorios y otros contratos</t>
  </si>
  <si>
    <t>Cartera de créditos comercial</t>
  </si>
  <si>
    <t>Cartera de créditos de consumo</t>
  </si>
  <si>
    <t>Cartera de créditos inmobiliario</t>
  </si>
  <si>
    <t>Cartera de microcréditos</t>
  </si>
  <si>
    <t>Inversiones por vencimiento</t>
  </si>
  <si>
    <t>Corto plazo</t>
  </si>
  <si>
    <t>Largo plazo</t>
  </si>
  <si>
    <t>Obligaciones extinguidas por otros contratos</t>
  </si>
  <si>
    <t>Cartera entregada para procesos de titularización</t>
  </si>
  <si>
    <t>Cartera de créditos consumo prioritario</t>
  </si>
  <si>
    <t>Cartera de créditos consumo ordinario</t>
  </si>
  <si>
    <t>Cartera de créditos de vivienda de interés público</t>
  </si>
  <si>
    <t>Cartera de créditos para la microempresa</t>
  </si>
  <si>
    <t>Cartera de créditos educativo</t>
  </si>
  <si>
    <t>Otras cuentas de orden deudoras</t>
  </si>
  <si>
    <t>Cobertura de seguros</t>
  </si>
  <si>
    <t>Multas e impuestos en reclamo</t>
  </si>
  <si>
    <t>Títulos por emitir</t>
  </si>
  <si>
    <t>Títulos emitidos no vendidos</t>
  </si>
  <si>
    <t>Títulos propia emisión recomprados</t>
  </si>
  <si>
    <t>Títulos y cupones por incinerar</t>
  </si>
  <si>
    <t>Títulos de inversiones comprados con pacto de reventa</t>
  </si>
  <si>
    <t>Otras cuentas de orden</t>
  </si>
  <si>
    <t>Valores y bienes recibidos de terceros</t>
  </si>
  <si>
    <t>Documentos en garantía</t>
  </si>
  <si>
    <t>Valores fiduciarios en garantía</t>
  </si>
  <si>
    <t>Bienes inmuebles en garantía</t>
  </si>
  <si>
    <t>Otros bienes en garantía</t>
  </si>
  <si>
    <t>En administración</t>
  </si>
  <si>
    <t>Cartera de crédito comercial prioritario en administración</t>
  </si>
  <si>
    <t>Cartera de crédito comercial ordinario en administración</t>
  </si>
  <si>
    <t>Cartera de crédito consumo prioritario  en administración</t>
  </si>
  <si>
    <t>Cartera de crédito consumo ordinario en administración</t>
  </si>
  <si>
    <t>Cartera de crédito de vivienda de interés público en administración</t>
  </si>
  <si>
    <t>Cartera de crédito inmobiliario en administración</t>
  </si>
  <si>
    <t>Cartera de crédito para la microempresa en administración</t>
  </si>
  <si>
    <t>Cartera de crédito educativo en administración</t>
  </si>
  <si>
    <t>Operaciones pasivas con empresas vinculadas</t>
  </si>
  <si>
    <t>Obligaciones interfinancieras</t>
  </si>
  <si>
    <t>Operaciones Pasivas con empresas subsidiarias y afiliadas</t>
  </si>
  <si>
    <t>Depósitos y otras captaciones no cubiertas por  El Fondo de Seguro de Depósito</t>
  </si>
  <si>
    <t>Deficiencia de provisiones</t>
  </si>
  <si>
    <t>Bienes  adjudicados por pago y arrendamiento mercantil</t>
  </si>
  <si>
    <t>Depósitos de entidades del sector público</t>
  </si>
  <si>
    <t>Valores y bienes recibidos en fideicomiso mercantil</t>
  </si>
  <si>
    <t>En garantía</t>
  </si>
  <si>
    <t>Inmobiliarios</t>
  </si>
  <si>
    <t>Capital suscrito no pagado</t>
  </si>
  <si>
    <t>Pasivos adquiridos</t>
  </si>
  <si>
    <t>Orden de prelación</t>
  </si>
  <si>
    <t>Pasivos garantizados conforme a la ley</t>
  </si>
  <si>
    <t>Costas judiciales causadas en interés común de los acreedores</t>
  </si>
  <si>
    <t>Deudas con trabajadores e IESS</t>
  </si>
  <si>
    <t>Impuestos, tasas y contribuciones</t>
  </si>
  <si>
    <t>Obligaciones por depósitos y captaciones del público</t>
  </si>
  <si>
    <t>Otros créditos de acuerdo al orden y forma determinados en el Código Civil</t>
  </si>
  <si>
    <t>Accionistas, administradores y vinculados</t>
  </si>
  <si>
    <t>Provisiones constituidas</t>
  </si>
  <si>
    <t>Provisión cartera refinanciada comercial prioritario</t>
  </si>
  <si>
    <t>Provisión cartera refinanciada consumo prioritario</t>
  </si>
  <si>
    <t>Provisión cartera refinanciada inmobiliaria</t>
  </si>
  <si>
    <t>Provisión cartera refinanciada microcrédito</t>
  </si>
  <si>
    <t>Provisión cartera refinanciada comercial ordinario</t>
  </si>
  <si>
    <t>Provisión cartera reestructurada comercial prioritario</t>
  </si>
  <si>
    <t>Provisión cartera reestructurada consumo prioritario</t>
  </si>
  <si>
    <t>Provisión cartera reestructurada inmobiliaria</t>
  </si>
  <si>
    <t>Provisión cartera reestructurada microcrédito</t>
  </si>
  <si>
    <t>Provisión cartera reestructurada comercial ordinario</t>
  </si>
  <si>
    <t>Provisión genérica por tecnología crediticia cartera de consumo prioritario</t>
  </si>
  <si>
    <t>Provisión genérica por tecnología crediticia cartera de microcrédito</t>
  </si>
  <si>
    <t>Provisión genérica por tecnología crediticia cartera de crédito educativo</t>
  </si>
  <si>
    <t>Provisión genérica voluntaria cartera comercial prioritaria</t>
  </si>
  <si>
    <t>Provisión genérica voluntaria cartera consumo prioritario</t>
  </si>
  <si>
    <t>Provisión genérica voluntaria cartera inmobiliaria</t>
  </si>
  <si>
    <t>Provisión genérica voluntaria cartera microcrédito</t>
  </si>
  <si>
    <t>Provisión genérica voluntaria cartera comercial ordinaria</t>
  </si>
  <si>
    <t>Provisión genérica voluntaria cartera refinanciada</t>
  </si>
  <si>
    <t>Provisión genérica voluntaria cartera reestructurada</t>
  </si>
  <si>
    <t>Provisión cartera refinanciada de consumo ordinario</t>
  </si>
  <si>
    <t>Provisión cartera refinanciada de vivienda de interés público</t>
  </si>
  <si>
    <t>Provisión cartera refinanciada educativo</t>
  </si>
  <si>
    <t>Provisión cartera reestructurada de consumo ordinario</t>
  </si>
  <si>
    <t>Provisión cartera reestructurada de vivienda de interés público</t>
  </si>
  <si>
    <t>Provisión cartera reestructurada educativo</t>
  </si>
  <si>
    <t>Provisión genérica por  tecnología crediticia cartera de consumo ordinario</t>
  </si>
  <si>
    <t>Provisión genérica voluntaria cartera de consumo ordinario</t>
  </si>
  <si>
    <t>Provisión genérica voluntaria cartera de vivienda de interés público</t>
  </si>
  <si>
    <t>Provisión genérica voluntaria cartera de crédito educativo</t>
  </si>
  <si>
    <t>Depósitos o captaciones constituidos como garantía de préstamos</t>
  </si>
  <si>
    <t>Cartera comercial prioritario</t>
  </si>
  <si>
    <t>Cartera de consumo prioritario</t>
  </si>
  <si>
    <t>Cartera de créditos de consumo ordinario</t>
  </si>
  <si>
    <t>Intereses pagados por depósitos o captaciones constituidos como garantía de préstamos</t>
  </si>
  <si>
    <t>Operaciones de financiamiento afianzadas</t>
  </si>
  <si>
    <t>Otras cuentas de orden acreedoras</t>
  </si>
  <si>
    <t>Cartas de crédito avisadas</t>
  </si>
  <si>
    <t>Créditos aprobados no instrumentados</t>
  </si>
  <si>
    <t xml:space="preserve">SOLVENCIA </t>
  </si>
  <si>
    <t>SOLVENCIA PATRIMONIAL</t>
  </si>
  <si>
    <t>Suma de VALOR2</t>
  </si>
  <si>
    <r>
      <t xml:space="preserve">Responsable: </t>
    </r>
    <r>
      <rPr>
        <sz val="8"/>
        <color theme="1"/>
        <rFont val="Calibri"/>
        <family val="2"/>
        <scheme val="minor"/>
      </rPr>
      <t>sonia.garcia@seps.gob.ec</t>
    </r>
  </si>
  <si>
    <r>
      <t xml:space="preserve">Aprobación: </t>
    </r>
    <r>
      <rPr>
        <sz val="8"/>
        <color theme="1"/>
        <rFont val="Calibri"/>
        <family val="2"/>
        <scheme val="minor"/>
      </rPr>
      <t>luis.padilla@seps.gob.ec</t>
    </r>
  </si>
  <si>
    <t>LIQUIDEZ CORRIENTE</t>
  </si>
  <si>
    <t>PICHINCHA</t>
  </si>
  <si>
    <t>VT_TOTAL MUTUALISTAS</t>
  </si>
  <si>
    <t>5290</t>
  </si>
  <si>
    <t>7108</t>
  </si>
  <si>
    <t>Cartera comprada a entidades en liquidación o adquirida por procesos de fusión</t>
  </si>
  <si>
    <t>710805</t>
  </si>
  <si>
    <t>Provisión diferida cartera comprada a entidades en liquidación o adquirida por procesos de fusión</t>
  </si>
  <si>
    <t>710810</t>
  </si>
  <si>
    <t>Saldo cartera comprada a entidades en liquidación o adquirida por procesos de fusión</t>
  </si>
  <si>
    <t>719050</t>
  </si>
  <si>
    <t>Prima en compra de cartera</t>
  </si>
  <si>
    <t>7405</t>
  </si>
  <si>
    <t>Descuentos en compras de cartera</t>
  </si>
  <si>
    <t>740505</t>
  </si>
  <si>
    <t>Descuento en compra de cartera a entidades en liquidación</t>
  </si>
  <si>
    <t>740510</t>
  </si>
  <si>
    <t>Descuento en compra de cartera a entidades activas</t>
  </si>
  <si>
    <r>
      <t xml:space="preserve">Revisión: </t>
    </r>
    <r>
      <rPr>
        <sz val="8"/>
        <color theme="1"/>
        <rFont val="Calibri"/>
        <family val="2"/>
        <scheme val="minor"/>
      </rPr>
      <t>jose.carvajal@seps.gob.ec</t>
    </r>
  </si>
  <si>
    <t>La SEPS como una entidad técnica de supervisión y control de las organizaciones de la economía popular y solidaria, con personalidad jurídica de derecho público y autonomía administrativa y financiera, que busca el desarrollo, estabilidad, solidez y correcto funcionamiento del sector económico popular y solidario. 
Presenta el boletín financiero correspondiente a las mututalistas, utilizando estructuras de estados financieros remitida a la SEPS, vizualisando la información desde diciembre 2018 a febrero 2019. Con la finalidad de generar estadísticas relevantes que permitan visualizar el sistema financiero de la economia popular y solidaria.
La información presentada en este reporte estadístico es de exclusiva responsabilidad de las cooperativas de ahorro y crédito supervisadas por la SEPS. La Superintendencia se reserva el derecho de actualizar la misma al momento de recibir nueva información o  en caso de reproceso de información.</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</si>
</sst>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43" formatCode="_ * #,##0.00_ ;_ * \-#,##0.00_ ;_ * &quot;-&quot;??_ ;_ @_ "/>
    <numFmt numFmtId="164" formatCode="_(&quot;$&quot;\ * #,##0.00_);_(&quot;$&quot;\ * \(#,##0.00\);_(&quot;$&quot;\ * &quot;-&quot;??_);_(@_)"/>
    <numFmt numFmtId="165" formatCode="_(* #,##0.00_);_(* \(#,##0.00\);_(* &quot;-&quot;??_);_(@_)"/>
    <numFmt numFmtId="166" formatCode="_-* #,##0.00\ _€_-;\-* #,##0.00\ _€_-;_-* &quot;-&quot;??\ _€_-;_-@_-"/>
    <numFmt numFmtId="167" formatCode="dd\ &quot;de&quot;\ mmmm\ &quot;de&quot;\ yyyy"/>
    <numFmt numFmtId="168" formatCode="dd/mm/yyyy"/>
  </numFmts>
  <fonts count="47"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b/>
      <sz val="11"/>
      <name val="Calibri"/>
      <family val="2"/>
      <scheme val="minor"/>
    </font>
    <font>
      <sz val="11"/>
      <name val="Calibri"/>
      <family val="2"/>
      <scheme val="minor"/>
    </font>
    <font>
      <u/>
      <sz val="10"/>
      <color indexed="12"/>
      <name val="Arial"/>
      <family val="2"/>
    </font>
    <font>
      <sz val="11"/>
      <color theme="1"/>
      <name val="Times New Roman"/>
      <family val="1"/>
    </font>
    <font>
      <b/>
      <sz val="14"/>
      <color theme="1"/>
      <name val="Times New Roman"/>
      <family val="1"/>
    </font>
    <font>
      <b/>
      <sz val="8"/>
      <color indexed="8"/>
      <name val="Times New Roman"/>
      <family val="1"/>
    </font>
    <font>
      <b/>
      <sz val="8"/>
      <color theme="1"/>
      <name val="Times New Roman"/>
      <family val="1"/>
    </font>
    <font>
      <sz val="11"/>
      <color theme="0"/>
      <name val="Times New Roman"/>
      <family val="1"/>
    </font>
    <font>
      <b/>
      <sz val="20"/>
      <color theme="1"/>
      <name val="Calibri"/>
      <family val="2"/>
      <scheme val="minor"/>
    </font>
    <font>
      <b/>
      <sz val="11"/>
      <color theme="1"/>
      <name val="Calibri"/>
      <family val="2"/>
    </font>
    <font>
      <i/>
      <sz val="22"/>
      <color rgb="FFFF0000"/>
      <name val="Calibri"/>
      <family val="2"/>
      <scheme val="minor"/>
    </font>
    <font>
      <b/>
      <sz val="14"/>
      <color theme="4" tint="-0.499984740745262"/>
      <name val="Calibri"/>
      <family val="2"/>
      <scheme val="minor"/>
    </font>
    <font>
      <sz val="12"/>
      <color theme="4" tint="-0.499984740745262"/>
      <name val="Calibri"/>
      <family val="2"/>
      <scheme val="minor"/>
    </font>
    <font>
      <b/>
      <sz val="11"/>
      <color theme="4" tint="-0.499984740745262"/>
      <name val="Calibri"/>
      <family val="2"/>
      <scheme val="minor"/>
    </font>
    <font>
      <b/>
      <sz val="12"/>
      <color indexed="56"/>
      <name val="Arial"/>
      <family val="2"/>
    </font>
    <font>
      <sz val="11"/>
      <name val="Calibri"/>
      <family val="2"/>
    </font>
    <font>
      <b/>
      <sz val="12"/>
      <color theme="1"/>
      <name val="Calibri"/>
      <family val="2"/>
      <scheme val="minor"/>
    </font>
    <font>
      <sz val="12"/>
      <color theme="0"/>
      <name val="Calibri"/>
      <family val="2"/>
      <scheme val="minor"/>
    </font>
    <font>
      <sz val="12"/>
      <color indexed="12"/>
      <name val="Calibri"/>
      <family val="2"/>
      <scheme val="minor"/>
    </font>
    <font>
      <sz val="12"/>
      <color theme="1"/>
      <name val="Calibri"/>
      <family val="2"/>
      <scheme val="minor"/>
    </font>
    <font>
      <sz val="9"/>
      <color theme="1"/>
      <name val="Calibri"/>
      <family val="2"/>
      <scheme val="minor"/>
    </font>
    <font>
      <b/>
      <sz val="8"/>
      <color indexed="8"/>
      <name val="Calibri"/>
      <family val="2"/>
      <scheme val="minor"/>
    </font>
    <font>
      <sz val="8"/>
      <color indexed="8"/>
      <name val="Calibri"/>
      <family val="2"/>
      <scheme val="minor"/>
    </font>
    <font>
      <b/>
      <sz val="8"/>
      <color theme="1"/>
      <name val="Calibri"/>
      <family val="2"/>
      <scheme val="minor"/>
    </font>
    <font>
      <sz val="8"/>
      <color theme="1"/>
      <name val="Calibri"/>
      <family val="2"/>
      <scheme val="minor"/>
    </font>
    <font>
      <u/>
      <sz val="12"/>
      <color indexed="12"/>
      <name val="Calibri"/>
      <family val="2"/>
      <scheme val="minor"/>
    </font>
    <font>
      <sz val="13"/>
      <color theme="1"/>
      <name val="Calibri"/>
      <family val="2"/>
      <scheme val="minor"/>
    </font>
    <font>
      <b/>
      <sz val="11"/>
      <color indexed="8"/>
      <name val="Calibri"/>
      <family val="2"/>
      <scheme val="minor"/>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bgColor indexed="64"/>
      </patternFill>
    </fill>
    <fill>
      <patternFill patternType="solid">
        <fgColor theme="4"/>
        <bgColor indexed="64"/>
      </patternFill>
    </fill>
    <fill>
      <patternFill patternType="solid">
        <fgColor theme="4" tint="0.79998168889431442"/>
        <bgColor theme="4" tint="0.79998168889431442"/>
      </patternFill>
    </fill>
  </fills>
  <borders count="2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thin">
        <color indexed="64"/>
      </bottom>
      <diagonal/>
    </border>
    <border>
      <left/>
      <right style="thin">
        <color indexed="64"/>
      </right>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top/>
      <bottom style="thin">
        <color theme="4" tint="0.39997558519241921"/>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medium">
        <color indexed="44"/>
      </bottom>
      <diagonal/>
    </border>
    <border>
      <left/>
      <right/>
      <top style="medium">
        <color indexed="44"/>
      </top>
      <bottom/>
      <diagonal/>
    </border>
    <border>
      <left/>
      <right/>
      <top style="medium">
        <color indexed="44"/>
      </top>
      <bottom style="medium">
        <color indexed="44"/>
      </bottom>
      <diagonal/>
    </border>
  </borders>
  <cellStyleXfs count="48">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applyNumberFormat="0" applyFill="0" applyBorder="0" applyAlignment="0" applyProtection="0"/>
    <xf numFmtId="165" fontId="1" fillId="0" borderId="0" applyFont="0" applyFill="0" applyBorder="0" applyAlignment="0" applyProtection="0"/>
    <xf numFmtId="9" fontId="1" fillId="0" borderId="0" applyFont="0" applyFill="0" applyBorder="0" applyAlignment="0" applyProtection="0"/>
    <xf numFmtId="0" fontId="21" fillId="0" borderId="0" applyNumberFormat="0" applyFill="0" applyBorder="0" applyAlignment="0" applyProtection="0">
      <alignment vertical="top"/>
      <protection locked="0"/>
    </xf>
    <xf numFmtId="164" fontId="1" fillId="0" borderId="0" applyFont="0" applyFill="0" applyBorder="0" applyAlignment="0" applyProtection="0"/>
    <xf numFmtId="43" fontId="1" fillId="0" borderId="0" applyFont="0" applyFill="0" applyBorder="0" applyAlignment="0" applyProtection="0"/>
  </cellStyleXfs>
  <cellXfs count="165">
    <xf numFmtId="0" fontId="0" fillId="0" borderId="0" xfId="0"/>
    <xf numFmtId="0" fontId="0" fillId="0" borderId="0" xfId="0" pivotButton="1"/>
    <xf numFmtId="0" fontId="0" fillId="0" borderId="0" xfId="0" applyNumberFormat="1"/>
    <xf numFmtId="0" fontId="0" fillId="0" borderId="0" xfId="0" applyAlignment="1">
      <alignment horizontal="left"/>
    </xf>
    <xf numFmtId="15" fontId="0" fillId="0" borderId="0" xfId="0" applyNumberFormat="1"/>
    <xf numFmtId="0" fontId="19" fillId="0" borderId="0" xfId="42" applyFont="1" applyBorder="1"/>
    <xf numFmtId="0" fontId="20" fillId="0" borderId="0" xfId="42" applyFont="1" applyBorder="1"/>
    <xf numFmtId="0" fontId="1" fillId="0" borderId="0" xfId="0" applyFont="1" applyBorder="1"/>
    <xf numFmtId="0" fontId="0" fillId="33" borderId="0" xfId="0" applyFill="1" applyBorder="1"/>
    <xf numFmtId="0" fontId="16" fillId="0" borderId="10" xfId="0" applyFont="1" applyBorder="1"/>
    <xf numFmtId="0" fontId="22" fillId="0" borderId="0" xfId="0" applyFont="1"/>
    <xf numFmtId="0" fontId="23" fillId="0" borderId="0" xfId="0" applyFont="1" applyAlignment="1">
      <alignment horizontal="center"/>
    </xf>
    <xf numFmtId="0" fontId="22" fillId="0" borderId="0" xfId="0" applyFont="1" applyFill="1"/>
    <xf numFmtId="0" fontId="24" fillId="0" borderId="0" xfId="0" applyFont="1" applyFill="1" applyBorder="1" applyAlignment="1">
      <alignment horizontal="left"/>
    </xf>
    <xf numFmtId="0" fontId="25" fillId="0" borderId="0" xfId="0" applyFont="1" applyAlignment="1">
      <alignment horizontal="justify" wrapText="1"/>
    </xf>
    <xf numFmtId="165" fontId="0" fillId="0" borderId="0" xfId="43" applyFont="1"/>
    <xf numFmtId="0" fontId="0" fillId="0" borderId="18" xfId="0" applyBorder="1"/>
    <xf numFmtId="0" fontId="0" fillId="0" borderId="19" xfId="0" applyBorder="1"/>
    <xf numFmtId="0" fontId="0" fillId="0" borderId="20" xfId="0" applyBorder="1"/>
    <xf numFmtId="0" fontId="0" fillId="0" borderId="12" xfId="0" applyBorder="1"/>
    <xf numFmtId="0" fontId="0" fillId="0" borderId="0" xfId="0" applyBorder="1"/>
    <xf numFmtId="0" fontId="0" fillId="0" borderId="11" xfId="0" applyBorder="1"/>
    <xf numFmtId="0" fontId="0" fillId="0" borderId="13" xfId="0" applyBorder="1"/>
    <xf numFmtId="0" fontId="0" fillId="0" borderId="10" xfId="0" applyBorder="1"/>
    <xf numFmtId="0" fontId="0" fillId="0" borderId="15" xfId="0" applyBorder="1"/>
    <xf numFmtId="0" fontId="0" fillId="0" borderId="0" xfId="0" applyBorder="1" applyAlignment="1">
      <alignment horizontal="center" wrapText="1"/>
    </xf>
    <xf numFmtId="0" fontId="27" fillId="0" borderId="0" xfId="0" applyFont="1" applyAlignment="1">
      <alignment horizontal="center" wrapText="1"/>
    </xf>
    <xf numFmtId="0" fontId="0" fillId="0" borderId="17" xfId="0" applyBorder="1"/>
    <xf numFmtId="0" fontId="0" fillId="0" borderId="14" xfId="0" applyBorder="1"/>
    <xf numFmtId="0" fontId="0" fillId="0" borderId="12" xfId="0" applyFill="1" applyBorder="1"/>
    <xf numFmtId="0" fontId="0" fillId="0" borderId="13" xfId="0" applyFill="1" applyBorder="1"/>
    <xf numFmtId="9" fontId="0" fillId="0" borderId="14" xfId="44" applyFont="1" applyBorder="1"/>
    <xf numFmtId="164" fontId="0" fillId="0" borderId="14" xfId="46" applyFont="1" applyBorder="1"/>
    <xf numFmtId="9" fontId="0" fillId="0" borderId="0" xfId="44" applyFont="1" applyBorder="1"/>
    <xf numFmtId="164" fontId="0" fillId="0" borderId="17" xfId="46" applyFont="1" applyBorder="1"/>
    <xf numFmtId="9" fontId="0" fillId="0" borderId="17" xfId="44" applyFont="1" applyBorder="1"/>
    <xf numFmtId="0" fontId="28" fillId="35" borderId="22" xfId="0" applyFont="1" applyFill="1" applyBorder="1"/>
    <xf numFmtId="0" fontId="28" fillId="0" borderId="22" xfId="0" applyFont="1" applyBorder="1"/>
    <xf numFmtId="0" fontId="28" fillId="0" borderId="0" xfId="0" applyFont="1"/>
    <xf numFmtId="0" fontId="28" fillId="35" borderId="0" xfId="0" applyFont="1" applyFill="1"/>
    <xf numFmtId="0" fontId="0" fillId="0" borderId="0" xfId="0" applyAlignment="1">
      <alignment horizontal="center"/>
    </xf>
    <xf numFmtId="164" fontId="0" fillId="0" borderId="0" xfId="46" applyFont="1" applyBorder="1" applyAlignment="1">
      <alignment vertical="center"/>
    </xf>
    <xf numFmtId="164" fontId="0" fillId="0" borderId="10" xfId="46" applyFont="1" applyBorder="1" applyAlignment="1">
      <alignment vertical="center"/>
    </xf>
    <xf numFmtId="0" fontId="0" fillId="0" borderId="0" xfId="0" applyAlignment="1">
      <alignment horizontal="center" wrapText="1"/>
    </xf>
    <xf numFmtId="0" fontId="16" fillId="0" borderId="18" xfId="0" applyFont="1" applyBorder="1" applyAlignment="1">
      <alignment horizontal="center"/>
    </xf>
    <xf numFmtId="0" fontId="16" fillId="0" borderId="19" xfId="0" applyFont="1" applyBorder="1" applyAlignment="1">
      <alignment horizontal="center" vertical="center"/>
    </xf>
    <xf numFmtId="0" fontId="16" fillId="0" borderId="20" xfId="0" applyFont="1" applyBorder="1" applyAlignment="1">
      <alignment horizontal="center"/>
    </xf>
    <xf numFmtId="0" fontId="16" fillId="0" borderId="12" xfId="0" applyFont="1" applyBorder="1" applyAlignment="1">
      <alignment horizontal="center"/>
    </xf>
    <xf numFmtId="0" fontId="16" fillId="0" borderId="13" xfId="0" applyFont="1" applyBorder="1" applyAlignment="1">
      <alignment horizontal="center"/>
    </xf>
    <xf numFmtId="0" fontId="29" fillId="0" borderId="11" xfId="0" applyFont="1" applyBorder="1" applyAlignment="1">
      <alignment horizontal="center"/>
    </xf>
    <xf numFmtId="0" fontId="29" fillId="0" borderId="15" xfId="0" applyFont="1" applyBorder="1" applyAlignment="1">
      <alignment horizontal="center"/>
    </xf>
    <xf numFmtId="0" fontId="28" fillId="35" borderId="12" xfId="0" applyFont="1" applyFill="1" applyBorder="1"/>
    <xf numFmtId="0" fontId="28" fillId="35" borderId="13" xfId="0" applyFont="1" applyFill="1" applyBorder="1"/>
    <xf numFmtId="4" fontId="16" fillId="0" borderId="0" xfId="0" applyNumberFormat="1" applyFont="1"/>
    <xf numFmtId="14" fontId="26" fillId="0" borderId="0" xfId="0" applyNumberFormat="1" applyFont="1"/>
    <xf numFmtId="0" fontId="32" fillId="0" borderId="0" xfId="42" applyFont="1" applyFill="1" applyAlignment="1"/>
    <xf numFmtId="0" fontId="33" fillId="0" borderId="26" xfId="4" applyFont="1" applyBorder="1" applyAlignment="1">
      <alignment vertical="center"/>
    </xf>
    <xf numFmtId="0" fontId="35" fillId="0" borderId="28" xfId="0" applyFont="1" applyBorder="1" applyAlignment="1">
      <alignment horizontal="center"/>
    </xf>
    <xf numFmtId="0" fontId="36" fillId="34" borderId="0" xfId="0" applyFont="1" applyFill="1" applyAlignment="1">
      <alignment horizontal="left" indent="1"/>
    </xf>
    <xf numFmtId="0" fontId="37" fillId="34" borderId="0" xfId="45" applyFont="1" applyFill="1" applyAlignment="1" applyProtection="1">
      <alignment horizontal="center"/>
    </xf>
    <xf numFmtId="0" fontId="38" fillId="0" borderId="0" xfId="0" applyFont="1" applyAlignment="1">
      <alignment horizontal="left" indent="1"/>
    </xf>
    <xf numFmtId="0" fontId="37" fillId="0" borderId="0" xfId="45" applyFont="1" applyAlignment="1" applyProtection="1">
      <alignment horizontal="center"/>
    </xf>
    <xf numFmtId="0" fontId="0" fillId="0" borderId="0" xfId="0" applyFont="1"/>
    <xf numFmtId="0" fontId="40" fillId="0" borderId="0" xfId="0" applyFont="1" applyFill="1" applyBorder="1" applyAlignment="1"/>
    <xf numFmtId="0" fontId="0" fillId="0" borderId="0" xfId="0" applyFont="1" applyBorder="1" applyAlignment="1">
      <alignment vertical="center"/>
    </xf>
    <xf numFmtId="0" fontId="40" fillId="0" borderId="0" xfId="0" applyFont="1" applyFill="1" applyBorder="1" applyAlignment="1">
      <alignment horizontal="left"/>
    </xf>
    <xf numFmtId="0" fontId="42" fillId="0" borderId="0" xfId="0" applyFont="1" applyAlignment="1">
      <alignment horizontal="justify" wrapText="1"/>
    </xf>
    <xf numFmtId="0" fontId="44" fillId="0" borderId="0" xfId="45" applyFont="1" applyAlignment="1" applyProtection="1"/>
    <xf numFmtId="0" fontId="1" fillId="0" borderId="0" xfId="0" applyFont="1"/>
    <xf numFmtId="0" fontId="20" fillId="0" borderId="0" xfId="0" applyFont="1"/>
    <xf numFmtId="0" fontId="17" fillId="0" borderId="0" xfId="0" applyFont="1"/>
    <xf numFmtId="0" fontId="1" fillId="0" borderId="0" xfId="0" applyFont="1" applyFill="1"/>
    <xf numFmtId="0" fontId="3" fillId="0" borderId="0" xfId="2" applyFont="1" applyBorder="1"/>
    <xf numFmtId="0" fontId="45" fillId="0" borderId="0" xfId="0" applyFont="1" applyAlignment="1">
      <alignment horizontal="center" vertical="top" wrapText="1"/>
    </xf>
    <xf numFmtId="0" fontId="46" fillId="0" borderId="0" xfId="42" applyFont="1" applyAlignment="1">
      <alignment vertical="center"/>
    </xf>
    <xf numFmtId="0" fontId="0" fillId="0" borderId="0" xfId="0" applyFont="1" applyAlignment="1">
      <alignment horizontal="center" vertical="center"/>
    </xf>
    <xf numFmtId="0" fontId="16" fillId="0" borderId="0" xfId="0" applyFont="1"/>
    <xf numFmtId="0" fontId="0" fillId="0" borderId="0" xfId="0" applyFont="1" applyAlignment="1">
      <alignment horizontal="center" vertical="center" wrapText="1"/>
    </xf>
    <xf numFmtId="0" fontId="46" fillId="0" borderId="0" xfId="42" applyFont="1" applyAlignment="1">
      <alignment horizontal="center" vertical="center"/>
    </xf>
    <xf numFmtId="0" fontId="0" fillId="0" borderId="0" xfId="0" applyFont="1" applyAlignment="1">
      <alignment vertical="center" wrapText="1"/>
    </xf>
    <xf numFmtId="14" fontId="0" fillId="0" borderId="0" xfId="0" applyNumberFormat="1" applyFont="1"/>
    <xf numFmtId="0" fontId="16" fillId="0" borderId="0" xfId="0" applyFont="1" applyAlignment="1"/>
    <xf numFmtId="14" fontId="16" fillId="0" borderId="0" xfId="0" applyNumberFormat="1" applyFont="1"/>
    <xf numFmtId="14" fontId="0" fillId="0" borderId="0" xfId="0" applyNumberFormat="1" applyFont="1" applyAlignment="1">
      <alignment wrapText="1"/>
    </xf>
    <xf numFmtId="4" fontId="0" fillId="0" borderId="0" xfId="0" applyNumberFormat="1" applyFont="1" applyAlignment="1">
      <alignment horizontal="center" vertical="center" wrapText="1"/>
    </xf>
    <xf numFmtId="4" fontId="0" fillId="0" borderId="0" xfId="0" applyNumberFormat="1" applyFont="1"/>
    <xf numFmtId="0" fontId="0" fillId="0" borderId="0" xfId="0" applyFont="1" applyAlignment="1">
      <alignment horizontal="center"/>
    </xf>
    <xf numFmtId="0" fontId="35" fillId="34" borderId="14" xfId="0" applyFont="1" applyFill="1" applyBorder="1" applyAlignment="1">
      <alignment horizontal="center" vertical="center"/>
    </xf>
    <xf numFmtId="0" fontId="35" fillId="34" borderId="14" xfId="0" applyFont="1" applyFill="1" applyBorder="1" applyAlignment="1">
      <alignment horizontal="left" vertical="center"/>
    </xf>
    <xf numFmtId="4" fontId="0" fillId="0" borderId="14" xfId="0" applyNumberFormat="1" applyBorder="1"/>
    <xf numFmtId="4" fontId="0" fillId="0" borderId="17" xfId="0" applyNumberFormat="1" applyBorder="1"/>
    <xf numFmtId="10" fontId="0" fillId="0" borderId="15" xfId="0" applyNumberFormat="1" applyBorder="1"/>
    <xf numFmtId="10" fontId="0" fillId="0" borderId="24" xfId="0" applyNumberFormat="1" applyBorder="1"/>
    <xf numFmtId="0" fontId="0" fillId="0" borderId="23" xfId="0" applyBorder="1" applyAlignment="1">
      <alignment horizontal="left"/>
    </xf>
    <xf numFmtId="0" fontId="0" fillId="0" borderId="13" xfId="0" applyBorder="1" applyAlignment="1">
      <alignment horizontal="left"/>
    </xf>
    <xf numFmtId="0" fontId="39" fillId="0" borderId="0" xfId="0" applyFont="1" applyFill="1" applyBorder="1" applyAlignment="1">
      <alignment horizontal="left" vertical="center" wrapText="1"/>
    </xf>
    <xf numFmtId="0" fontId="42" fillId="0" borderId="0" xfId="0" applyFont="1" applyAlignment="1">
      <alignment horizontal="justify" wrapText="1"/>
    </xf>
    <xf numFmtId="0" fontId="0" fillId="0" borderId="18" xfId="0" pivotButton="1" applyFont="1" applyBorder="1"/>
    <xf numFmtId="0" fontId="0" fillId="0" borderId="19" xfId="0" applyFont="1" applyBorder="1"/>
    <xf numFmtId="0" fontId="0" fillId="0" borderId="19" xfId="0" pivotButton="1" applyFont="1" applyBorder="1"/>
    <xf numFmtId="0" fontId="0" fillId="0" borderId="20" xfId="0" applyFont="1" applyBorder="1"/>
    <xf numFmtId="0" fontId="0" fillId="0" borderId="12" xfId="0" applyFont="1" applyBorder="1"/>
    <xf numFmtId="0" fontId="0" fillId="0" borderId="0" xfId="0" applyFont="1" applyBorder="1"/>
    <xf numFmtId="14" fontId="0" fillId="0" borderId="0" xfId="0" applyNumberFormat="1" applyFont="1" applyBorder="1"/>
    <xf numFmtId="0" fontId="0" fillId="0" borderId="11" xfId="0" applyFont="1" applyBorder="1"/>
    <xf numFmtId="0" fontId="0" fillId="0" borderId="12" xfId="0" pivotButton="1" applyFont="1" applyBorder="1" applyAlignment="1">
      <alignment horizontal="center" vertical="center" wrapText="1"/>
    </xf>
    <xf numFmtId="0" fontId="0" fillId="0" borderId="0" xfId="0" pivotButton="1" applyFont="1" applyBorder="1" applyAlignment="1">
      <alignment horizontal="center" vertical="center" wrapText="1"/>
    </xf>
    <xf numFmtId="0" fontId="0" fillId="0" borderId="0" xfId="0" applyFont="1" applyBorder="1" applyAlignment="1"/>
    <xf numFmtId="4" fontId="0" fillId="0" borderId="18" xfId="0" applyNumberFormat="1" applyFont="1" applyBorder="1"/>
    <xf numFmtId="4" fontId="0" fillId="0" borderId="19" xfId="0" applyNumberFormat="1" applyFont="1" applyBorder="1"/>
    <xf numFmtId="4" fontId="0" fillId="0" borderId="20" xfId="0" applyNumberFormat="1" applyFont="1" applyBorder="1"/>
    <xf numFmtId="4" fontId="0" fillId="0" borderId="12" xfId="0" applyNumberFormat="1" applyFont="1" applyBorder="1"/>
    <xf numFmtId="4" fontId="0" fillId="0" borderId="0" xfId="0" applyNumberFormat="1" applyFont="1" applyBorder="1"/>
    <xf numFmtId="4" fontId="0" fillId="0" borderId="11" xfId="0" applyNumberFormat="1" applyFont="1" applyBorder="1"/>
    <xf numFmtId="0" fontId="0" fillId="0" borderId="10" xfId="0" applyFont="1" applyBorder="1"/>
    <xf numFmtId="0" fontId="0" fillId="0" borderId="10" xfId="0" applyFont="1" applyBorder="1" applyAlignment="1"/>
    <xf numFmtId="4" fontId="0" fillId="0" borderId="13" xfId="0" applyNumberFormat="1" applyFont="1" applyBorder="1"/>
    <xf numFmtId="4" fontId="0" fillId="0" borderId="10" xfId="0" applyNumberFormat="1" applyFont="1" applyBorder="1"/>
    <xf numFmtId="4" fontId="0" fillId="0" borderId="15" xfId="0" applyNumberFormat="1" applyFont="1" applyBorder="1"/>
    <xf numFmtId="0" fontId="16" fillId="0" borderId="12" xfId="0" applyFont="1" applyBorder="1" applyAlignment="1">
      <alignment horizontal="left"/>
    </xf>
    <xf numFmtId="0" fontId="16" fillId="0" borderId="13" xfId="0" applyFont="1" applyBorder="1" applyAlignment="1">
      <alignment horizontal="left"/>
    </xf>
    <xf numFmtId="0" fontId="0" fillId="0" borderId="18" xfId="0" applyFont="1" applyBorder="1"/>
    <xf numFmtId="15" fontId="0" fillId="0" borderId="0" xfId="0" applyNumberFormat="1" applyFont="1" applyBorder="1"/>
    <xf numFmtId="0" fontId="0" fillId="0" borderId="12" xfId="0" pivotButton="1" applyFont="1" applyBorder="1" applyAlignment="1">
      <alignment vertical="center" wrapText="1"/>
    </xf>
    <xf numFmtId="0" fontId="0" fillId="0" borderId="12" xfId="0" applyFont="1" applyBorder="1" applyAlignment="1">
      <alignment horizontal="left"/>
    </xf>
    <xf numFmtId="0" fontId="16" fillId="0" borderId="23" xfId="0" applyFont="1" applyBorder="1" applyAlignment="1">
      <alignment horizontal="left"/>
    </xf>
    <xf numFmtId="0" fontId="16" fillId="0" borderId="18" xfId="0" applyFont="1" applyBorder="1" applyAlignment="1">
      <alignment horizontal="left"/>
    </xf>
    <xf numFmtId="4" fontId="16" fillId="0" borderId="25" xfId="0" applyNumberFormat="1" applyFont="1" applyBorder="1"/>
    <xf numFmtId="4" fontId="16" fillId="0" borderId="24" xfId="0" applyNumberFormat="1" applyFont="1" applyBorder="1"/>
    <xf numFmtId="4" fontId="16" fillId="0" borderId="0" xfId="0" applyNumberFormat="1" applyFont="1" applyBorder="1"/>
    <xf numFmtId="4" fontId="16" fillId="0" borderId="11" xfId="0" applyNumberFormat="1" applyFont="1" applyBorder="1"/>
    <xf numFmtId="4" fontId="16" fillId="0" borderId="19" xfId="0" applyNumberFormat="1" applyFont="1" applyBorder="1"/>
    <xf numFmtId="4" fontId="16" fillId="0" borderId="20" xfId="0" applyNumberFormat="1" applyFont="1" applyBorder="1"/>
    <xf numFmtId="4" fontId="16" fillId="0" borderId="10" xfId="0" applyNumberFormat="1" applyFont="1" applyBorder="1"/>
    <xf numFmtId="4" fontId="16" fillId="0" borderId="15" xfId="0" applyNumberFormat="1" applyFont="1" applyBorder="1"/>
    <xf numFmtId="0" fontId="0" fillId="0" borderId="18" xfId="0" applyFont="1" applyBorder="1" applyAlignment="1">
      <alignment wrapText="1"/>
    </xf>
    <xf numFmtId="0" fontId="0" fillId="0" borderId="12" xfId="0" applyFont="1" applyBorder="1" applyAlignment="1">
      <alignment wrapText="1"/>
    </xf>
    <xf numFmtId="168" fontId="0" fillId="0" borderId="0" xfId="0" applyNumberFormat="1" applyFont="1" applyBorder="1" applyAlignment="1">
      <alignment wrapText="1"/>
    </xf>
    <xf numFmtId="168" fontId="0" fillId="0" borderId="11" xfId="0" applyNumberFormat="1" applyFont="1" applyBorder="1" applyAlignment="1">
      <alignment wrapText="1"/>
    </xf>
    <xf numFmtId="0" fontId="0" fillId="0" borderId="16" xfId="0" applyFont="1" applyBorder="1" applyAlignment="1">
      <alignment horizontal="left"/>
    </xf>
    <xf numFmtId="0" fontId="16" fillId="0" borderId="16" xfId="0" applyFont="1" applyBorder="1" applyAlignment="1">
      <alignment horizontal="left"/>
    </xf>
    <xf numFmtId="10" fontId="0" fillId="0" borderId="0" xfId="0" applyNumberFormat="1" applyFont="1" applyBorder="1"/>
    <xf numFmtId="10" fontId="0" fillId="0" borderId="11" xfId="0" applyNumberFormat="1" applyFont="1" applyBorder="1"/>
    <xf numFmtId="0" fontId="0" fillId="0" borderId="16" xfId="0" applyFont="1" applyFill="1" applyBorder="1" applyAlignment="1">
      <alignment horizontal="left"/>
    </xf>
    <xf numFmtId="10" fontId="0" fillId="0" borderId="0" xfId="0" applyNumberFormat="1" applyFont="1" applyFill="1" applyBorder="1"/>
    <xf numFmtId="10" fontId="0" fillId="0" borderId="11" xfId="0" applyNumberFormat="1" applyFont="1" applyFill="1" applyBorder="1"/>
    <xf numFmtId="0" fontId="0" fillId="0" borderId="17" xfId="0" applyFont="1" applyBorder="1" applyAlignment="1">
      <alignment horizontal="left"/>
    </xf>
    <xf numFmtId="10" fontId="0" fillId="0" borderId="10" xfId="0" applyNumberFormat="1" applyFont="1" applyBorder="1"/>
    <xf numFmtId="10" fontId="0" fillId="0" borderId="15" xfId="0" applyNumberFormat="1" applyFont="1" applyBorder="1"/>
    <xf numFmtId="10" fontId="0" fillId="0" borderId="0" xfId="0" applyNumberFormat="1" applyFont="1" applyFill="1" applyBorder="1" applyAlignment="1"/>
    <xf numFmtId="0" fontId="34" fillId="0" borderId="27" xfId="45" applyFont="1" applyBorder="1" applyAlignment="1" applyProtection="1">
      <alignment horizontal="justify" vertical="center" wrapText="1"/>
    </xf>
    <xf numFmtId="0" fontId="39" fillId="0" borderId="0" xfId="0" applyFont="1" applyFill="1" applyBorder="1" applyAlignment="1">
      <alignment horizontal="left" vertical="center" wrapText="1"/>
    </xf>
    <xf numFmtId="0" fontId="30" fillId="0" borderId="0" xfId="0" applyFont="1" applyAlignment="1">
      <alignment horizontal="center"/>
    </xf>
    <xf numFmtId="167" fontId="31" fillId="0" borderId="0" xfId="0" applyNumberFormat="1" applyFont="1" applyAlignment="1">
      <alignment horizontal="center"/>
    </xf>
    <xf numFmtId="0" fontId="3" fillId="0" borderId="1" xfId="2" applyFont="1"/>
    <xf numFmtId="0" fontId="0" fillId="0" borderId="0" xfId="0" applyFont="1" applyAlignment="1">
      <alignment horizontal="center" vertical="center" wrapText="1"/>
    </xf>
    <xf numFmtId="0" fontId="1" fillId="0" borderId="0" xfId="0" applyFont="1" applyAlignment="1">
      <alignment horizontal="center" vertical="center" wrapText="1"/>
    </xf>
    <xf numFmtId="0" fontId="27" fillId="0" borderId="0" xfId="0" applyFont="1" applyAlignment="1">
      <alignment horizontal="center" wrapText="1"/>
    </xf>
    <xf numFmtId="0" fontId="0" fillId="0" borderId="12" xfId="0" applyBorder="1" applyAlignment="1">
      <alignment horizontal="center" wrapText="1"/>
    </xf>
    <xf numFmtId="0" fontId="0" fillId="0" borderId="0" xfId="0" applyBorder="1" applyAlignment="1">
      <alignment horizontal="center" wrapText="1"/>
    </xf>
    <xf numFmtId="0" fontId="0" fillId="0" borderId="11" xfId="0" applyBorder="1" applyAlignment="1">
      <alignment horizontal="center" wrapText="1"/>
    </xf>
    <xf numFmtId="0" fontId="0" fillId="0" borderId="18" xfId="0" applyBorder="1" applyAlignment="1">
      <alignment horizontal="center"/>
    </xf>
    <xf numFmtId="0" fontId="0" fillId="0" borderId="19" xfId="0" applyBorder="1" applyAlignment="1">
      <alignment horizontal="center"/>
    </xf>
    <xf numFmtId="0" fontId="0" fillId="0" borderId="20" xfId="0" applyBorder="1" applyAlignment="1">
      <alignment horizontal="center"/>
    </xf>
    <xf numFmtId="0" fontId="0" fillId="0" borderId="21" xfId="0" applyBorder="1" applyAlignment="1">
      <alignment horizontal="center" wrapText="1"/>
    </xf>
  </cellXfs>
  <cellStyles count="48">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ANCLAS,REZONES Y SUS PARTES,DE FUNDICION,DE HIERRO O DE ACERO" xfId="42"/>
    <cellStyle name="Buena" xfId="6" builtinId="26" customBuiltin="1"/>
    <cellStyle name="Cálculo" xfId="11" builtinId="22" customBuiltin="1"/>
    <cellStyle name="Celda de comprobación" xfId="13" builtinId="23" customBuiltin="1"/>
    <cellStyle name="Celda vinculada" xfId="12" builtinId="24" customBuiltin="1"/>
    <cellStyle name="Encabezado 1" xfId="2" builtinId="16"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Hipervínculo" xfId="45" builtinId="8"/>
    <cellStyle name="Incorrecto" xfId="7" builtinId="27" customBuiltin="1"/>
    <cellStyle name="Millares" xfId="43" builtinId="3"/>
    <cellStyle name="Millares 2" xfId="47"/>
    <cellStyle name="Moneda" xfId="46" builtinId="4"/>
    <cellStyle name="Neutral" xfId="8" builtinId="28" customBuiltin="1"/>
    <cellStyle name="Normal" xfId="0" builtinId="0"/>
    <cellStyle name="Notas" xfId="15" builtinId="10" customBuiltin="1"/>
    <cellStyle name="Porcentaje" xfId="44" builtinId="5"/>
    <cellStyle name="Salida" xfId="10" builtinId="21" customBuiltin="1"/>
    <cellStyle name="Texto de advertencia" xfId="14" builtinId="11" customBuiltin="1"/>
    <cellStyle name="Texto explicativo" xfId="16" builtinId="53" customBuiltin="1"/>
    <cellStyle name="Título" xfId="1" builtinId="15" customBuiltin="1"/>
    <cellStyle name="Título 2" xfId="3" builtinId="17" customBuiltin="1"/>
    <cellStyle name="Título 3" xfId="4" builtinId="18" customBuiltin="1"/>
    <cellStyle name="Total" xfId="17" builtinId="25" customBuiltin="1"/>
  </cellStyles>
  <dxfs count="1247">
    <dxf>
      <numFmt numFmtId="165" formatCode="_(* #,##0.00_);_(* \(#,##0.00\);_(* &quot;-&quot;??_);_(@_)"/>
    </dxf>
    <dxf>
      <numFmt numFmtId="165" formatCode="_(* #,##0.00_);_(* \(#,##0.00\);_(* &quot;-&quot;??_);_(@_)"/>
    </dxf>
    <dxf>
      <numFmt numFmtId="165" formatCode="_(* #,##0.00_);_(* \(#,##0.00\);_(* &quot;-&quot;??_);_(@_)"/>
    </dxf>
    <dxf>
      <font>
        <b/>
        <i val="0"/>
        <strike val="0"/>
        <condense val="0"/>
        <extend val="0"/>
        <outline val="0"/>
        <shadow val="0"/>
        <u val="none"/>
        <vertAlign val="baseline"/>
        <sz val="11"/>
        <color theme="1"/>
        <name val="Calibri"/>
        <scheme val="none"/>
      </font>
    </dxf>
    <dxf>
      <font>
        <b/>
        <i val="0"/>
        <strike val="0"/>
        <condense val="0"/>
        <extend val="0"/>
        <outline val="0"/>
        <shadow val="0"/>
        <u val="none"/>
        <vertAlign val="baseline"/>
        <sz val="11"/>
        <color theme="1"/>
        <name val="Calibri"/>
        <scheme val="none"/>
      </font>
    </dxf>
    <dxf>
      <font>
        <b/>
        <i val="0"/>
        <strike val="0"/>
        <condense val="0"/>
        <extend val="0"/>
        <outline val="0"/>
        <shadow val="0"/>
        <u val="none"/>
        <vertAlign val="baseline"/>
        <sz val="11"/>
        <color theme="1"/>
        <name val="Calibri"/>
        <scheme val="none"/>
      </font>
      <border diagonalUp="0" diagonalDown="0">
        <left/>
        <right/>
        <top/>
        <bottom style="thin">
          <color theme="4" tint="0.39997558519241921"/>
        </bottom>
        <vertical/>
        <horizontal/>
      </border>
    </dxf>
    <dxf>
      <font>
        <b/>
        <i val="0"/>
        <strike val="0"/>
        <condense val="0"/>
        <extend val="0"/>
        <outline val="0"/>
        <shadow val="0"/>
        <u val="none"/>
        <vertAlign val="baseline"/>
        <sz val="11"/>
        <color theme="1"/>
        <name val="Calibri"/>
        <scheme val="none"/>
      </font>
      <fill>
        <patternFill patternType="solid">
          <fgColor theme="4" tint="0.79998168889431442"/>
          <bgColor theme="4" tint="0.79998168889431442"/>
        </patternFill>
      </fill>
    </dxf>
    <dxf>
      <numFmt numFmtId="14" formatCode="0.00%"/>
      <alignment horizontal="general" vertical="bottom" textRotation="0" wrapText="0" indent="0" justifyLastLine="0" shrinkToFit="0" readingOrder="0"/>
    </dxf>
    <dxf>
      <fill>
        <patternFill patternType="none">
          <bgColor auto="1"/>
        </patternFill>
      </fill>
    </dxf>
    <dxf>
      <numFmt numFmtId="14" formatCode="0.00%"/>
    </dxf>
    <dxf>
      <fill>
        <patternFill patternType="none">
          <bgColor auto="1"/>
        </patternFill>
      </fill>
    </dxf>
    <dxf>
      <numFmt numFmtId="13" formatCode="0%"/>
    </dxf>
    <dxf>
      <fill>
        <patternFill patternType="solid">
          <bgColor rgb="FFFFFF00"/>
        </patternFill>
      </fill>
    </dxf>
    <dxf>
      <font>
        <b/>
      </font>
    </dxf>
    <dxf>
      <font>
        <b/>
      </font>
    </dxf>
    <dxf>
      <font>
        <b/>
      </font>
    </dxf>
    <dxf>
      <font>
        <b/>
      </font>
    </dxf>
    <dxf>
      <font>
        <b/>
      </font>
    </dxf>
    <dxf>
      <font>
        <b/>
      </font>
    </dxf>
    <dxf>
      <font>
        <b/>
      </font>
    </dxf>
    <dxf>
      <font>
        <b/>
      </font>
    </dxf>
    <dxf>
      <font>
        <b/>
      </font>
    </dxf>
    <dxf>
      <font>
        <b/>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b/>
      </font>
    </dxf>
    <dxf>
      <font>
        <b/>
      </font>
    </dxf>
    <dxf>
      <fill>
        <patternFill patternType="none">
          <bgColor auto="1"/>
        </patternFill>
      </fill>
    </dxf>
    <dxf>
      <fill>
        <patternFill patternType="none">
          <bgColor auto="1"/>
        </patternFill>
      </fill>
    </dxf>
    <dxf>
      <font>
        <b val="0"/>
        <i val="0"/>
        <strike val="0"/>
        <condense val="0"/>
        <extend val="0"/>
        <outline val="0"/>
        <shadow val="0"/>
        <u val="none"/>
        <vertAlign val="baseline"/>
        <sz val="11"/>
        <color theme="1"/>
        <name val="Calibri"/>
        <scheme val="minor"/>
      </font>
    </dxf>
    <dxf>
      <alignment horizontal="center" readingOrder="0"/>
    </dxf>
    <dxf>
      <alignment vertical="center" readingOrder="0"/>
    </dxf>
    <dxf>
      <alignment wrapText="1" readingOrder="0"/>
    </dxf>
    <dxf>
      <border>
        <right style="thin">
          <color indexed="64"/>
        </right>
      </border>
    </dxf>
    <dxf>
      <border>
        <right style="thin">
          <color indexed="64"/>
        </right>
      </border>
    </dxf>
    <dxf>
      <border>
        <right style="thin">
          <color indexed="64"/>
        </right>
      </border>
    </dxf>
    <dxf>
      <border>
        <left style="thin">
          <color indexed="64"/>
        </left>
        <right style="thin">
          <color indexed="64"/>
        </right>
        <top style="thin">
          <color indexed="64"/>
        </top>
        <bottom style="thin">
          <color indexed="64"/>
        </bottom>
      </border>
    </dxf>
    <dxf>
      <numFmt numFmtId="14" formatCode="0.00%"/>
    </dxf>
    <dxf>
      <border>
        <left style="thin">
          <color indexed="64"/>
        </left>
        <bottom style="thin">
          <color indexed="64"/>
        </bottom>
      </border>
    </dxf>
    <dxf>
      <border>
        <left style="thin">
          <color indexed="64"/>
        </left>
        <top style="thin">
          <color indexed="64"/>
        </top>
        <bottom style="thin">
          <color indexed="64"/>
        </bottom>
        <horizontal style="thin">
          <color indexed="64"/>
        </horizontal>
      </border>
    </dxf>
    <dxf>
      <border>
        <right style="thin">
          <color indexed="64"/>
        </right>
        <bottom style="thin">
          <color indexed="64"/>
        </bottom>
        <horizontal style="thin">
          <color indexed="64"/>
        </horizontal>
      </border>
    </dxf>
    <dxf>
      <border>
        <left style="thin">
          <color indexed="64"/>
        </left>
        <right style="thin">
          <color indexed="64"/>
        </right>
        <bottom style="thin">
          <color indexed="64"/>
        </bottom>
        <horizontal style="thin">
          <color indexed="64"/>
        </horizontal>
      </border>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alignment wrapText="1" readingOrder="0"/>
    </dxf>
    <dxf>
      <alignment wrapText="1" readingOrder="0"/>
    </dxf>
    <dxf>
      <numFmt numFmtId="168" formatCode="dd/mm/yyyy"/>
    </dxf>
    <dxf>
      <alignment wrapText="1" readingOrder="0"/>
    </dxf>
    <dxf>
      <alignment horizontal="center" readingOrder="0"/>
    </dxf>
    <dxf>
      <alignment vertical="center" readingOrder="0"/>
    </dxf>
    <dxf>
      <numFmt numFmtId="4" formatCode="#,##0.00"/>
    </dxf>
    <dxf>
      <border>
        <top style="thin">
          <color indexed="64"/>
        </top>
      </border>
    </dxf>
    <dxf>
      <border>
        <top style="thin">
          <color indexed="64"/>
        </top>
        <bottom style="thin">
          <color indexed="64"/>
        </bottom>
      </border>
    </dxf>
    <dxf>
      <border>
        <top style="thin">
          <color indexed="64"/>
        </top>
        <bottom style="thin">
          <color indexed="64"/>
        </bottom>
      </border>
    </dxf>
    <dxf>
      <border>
        <top style="thin">
          <color indexed="64"/>
        </top>
        <bottom style="thin">
          <color indexed="64"/>
        </bottom>
      </border>
    </dxf>
    <dxf>
      <font>
        <b/>
      </font>
    </dxf>
    <dxf>
      <font>
        <b/>
      </font>
    </dxf>
    <dxf>
      <font>
        <b/>
      </font>
    </dxf>
    <dxf>
      <font>
        <b/>
      </font>
    </dxf>
    <dxf>
      <font>
        <b/>
      </font>
    </dxf>
    <dxf>
      <font>
        <b/>
      </font>
    </dxf>
    <dxf>
      <border>
        <left style="thin">
          <color indexed="64"/>
        </left>
        <right style="thin">
          <color indexed="64"/>
        </right>
        <top style="thin">
          <color indexed="64"/>
        </top>
        <bottom style="thin">
          <color indexed="64"/>
        </bottom>
      </border>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val="0"/>
      </font>
    </dxf>
    <dxf>
      <font>
        <b/>
      </font>
    </dxf>
    <dxf>
      <font>
        <b/>
      </font>
    </dxf>
    <dxf>
      <font>
        <name val="Calibri"/>
        <scheme val="minor"/>
      </font>
    </dxf>
    <dxf>
      <font>
        <name val="Calibri"/>
        <scheme val="minor"/>
      </font>
    </dxf>
    <dxf>
      <font>
        <name val="Calibri"/>
        <scheme val="minor"/>
      </font>
    </dxf>
    <dxf>
      <font>
        <name val="Calibri"/>
        <scheme val="minor"/>
      </font>
    </dxf>
    <dxf>
      <font>
        <name val="Calibri"/>
        <scheme val="minor"/>
      </font>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border>
        <bottom style="thin">
          <color indexed="64"/>
        </bottom>
      </border>
    </dxf>
    <dxf>
      <numFmt numFmtId="4" formatCode="#,##0.00"/>
    </dxf>
    <dxf>
      <numFmt numFmtId="4" formatCode="#,##0.00"/>
    </dxf>
    <dxf>
      <alignment vertical="center" readingOrder="0"/>
    </dxf>
    <dxf>
      <alignment wrapText="1" readingOrder="0"/>
    </dxf>
    <dxf>
      <border>
        <left style="thin">
          <color indexed="64"/>
        </left>
        <right style="thin">
          <color indexed="64"/>
        </right>
        <top style="thin">
          <color indexed="64"/>
        </top>
        <bottom style="thin">
          <color indexed="64"/>
        </bottom>
      </border>
    </dxf>
    <dxf>
      <font>
        <b/>
      </font>
    </dxf>
    <dxf>
      <font>
        <b/>
      </font>
    </dxf>
    <dxf>
      <font>
        <b/>
      </font>
    </dxf>
    <dxf>
      <font>
        <b/>
      </font>
    </dxf>
    <dxf>
      <font>
        <b/>
      </font>
    </dxf>
    <dxf>
      <font>
        <b/>
      </font>
    </dxf>
    <dxf>
      <font>
        <b/>
      </font>
    </dxf>
    <dxf>
      <font>
        <b/>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alignment horizontal="center" readingOrder="0"/>
    </dxf>
    <dxf>
      <alignment horizontal="center" readingOrder="0"/>
    </dxf>
    <dxf>
      <alignment horizontal="center" readingOrder="0"/>
    </dxf>
    <dxf>
      <alignment horizontal="center" readingOrder="0"/>
    </dxf>
    <dxf>
      <border>
        <left/>
        <right/>
        <top/>
        <bottom/>
      </border>
    </dxf>
    <dxf>
      <numFmt numFmtId="4" formatCode="#,##0.00"/>
    </dxf>
    <dxf>
      <alignment vertical="center" readingOrder="0"/>
    </dxf>
    <dxf>
      <alignment vertical="center" readingOrder="0"/>
    </dxf>
    <dxf>
      <alignment vertical="center" readingOrder="0"/>
    </dxf>
    <dxf>
      <alignment vertical="center" readingOrder="0"/>
    </dxf>
    <dxf>
      <alignment wrapText="1" readingOrder="0"/>
    </dxf>
    <dxf>
      <alignment wrapText="1" readingOrder="0"/>
    </dxf>
    <dxf>
      <alignment wrapText="1" readingOrder="0"/>
    </dxf>
    <dxf>
      <alignment wrapText="1" readingOrder="0"/>
    </dxf>
    <dxf>
      <alignment horizontal="general" readingOrder="0"/>
    </dxf>
    <dxf>
      <font>
        <name val="Times New Roman"/>
        <scheme val="none"/>
      </font>
    </dxf>
    <dxf>
      <numFmt numFmtId="165" formatCode="_(* #,##0.00_);_(* \(#,##0.00\);_(* &quot;-&quot;??_);_(@_)"/>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s>
  <tableStyles count="0" defaultTableStyle="TableStyleMedium2" defaultPivotStyle="PivotStyleLight16"/>
  <colors>
    <mruColors>
      <color rgb="FF0CFC34"/>
      <color rgb="FF892F2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1.xml"/><Relationship Id="rId18" Type="http://schemas.microsoft.com/office/2007/relationships/slicerCache" Target="slicerCaches/slicerCache1.xml"/><Relationship Id="rId26" Type="http://schemas.microsoft.com/office/2007/relationships/slicerCache" Target="slicerCaches/slicerCache9.xml"/><Relationship Id="rId3" Type="http://schemas.openxmlformats.org/officeDocument/2006/relationships/worksheet" Target="worksheets/sheet3.xml"/><Relationship Id="rId21" Type="http://schemas.microsoft.com/office/2007/relationships/slicerCache" Target="slicerCaches/slicerCache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5.xml"/><Relationship Id="rId25" Type="http://schemas.microsoft.com/office/2007/relationships/slicerCache" Target="slicerCaches/slicerCache8.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pivotCacheDefinition" Target="pivotCache/pivotCacheDefinition4.xml"/><Relationship Id="rId20" Type="http://schemas.microsoft.com/office/2007/relationships/slicerCache" Target="slicerCaches/slicerCache3.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7.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pivotCacheDefinition" Target="pivotCache/pivotCacheDefinition3.xml"/><Relationship Id="rId23" Type="http://schemas.microsoft.com/office/2007/relationships/slicerCache" Target="slicerCaches/slicerCache6.xml"/><Relationship Id="rId28" Type="http://schemas.microsoft.com/office/2007/relationships/slicerCache" Target="slicerCaches/slicerCache11.xml"/><Relationship Id="rId10" Type="http://schemas.openxmlformats.org/officeDocument/2006/relationships/worksheet" Target="worksheets/sheet10.xml"/><Relationship Id="rId19" Type="http://schemas.microsoft.com/office/2007/relationships/slicerCache" Target="slicerCaches/slicerCache2.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2.xml"/><Relationship Id="rId22" Type="http://schemas.microsoft.com/office/2007/relationships/slicerCache" Target="slicerCaches/slicerCache5.xml"/><Relationship Id="rId27" Type="http://schemas.microsoft.com/office/2007/relationships/slicerCache" Target="slicerCaches/slicerCache10.xml"/><Relationship Id="rId30" Type="http://schemas.openxmlformats.org/officeDocument/2006/relationships/styles" Target="styles.xml"/><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s-EC" sz="1200" b="1"/>
              <a:t>RANKING</a:t>
            </a:r>
            <a:r>
              <a:rPr lang="es-EC" sz="1200" b="1" baseline="0"/>
              <a:t> DE LAS PRINCIPALES CUENTAS</a:t>
            </a:r>
          </a:p>
          <a:p>
            <a:pPr>
              <a:defRPr sz="1200" b="1"/>
            </a:pPr>
            <a:r>
              <a:rPr lang="es-EC" sz="1200" b="1" baseline="0"/>
              <a:t>(USD millones)</a:t>
            </a:r>
            <a:endParaRPr lang="es-EC" sz="1200" b="1"/>
          </a:p>
        </c:rich>
      </c:tx>
      <c:layout>
        <c:manualLayout>
          <c:xMode val="edge"/>
          <c:yMode val="edge"/>
          <c:x val="0.27515326166178888"/>
          <c:y val="1.4739176062649623E-2"/>
        </c:manualLayout>
      </c:layout>
      <c:overlay val="0"/>
      <c:spPr>
        <a:noFill/>
        <a:ln>
          <a:noFill/>
        </a:ln>
        <a:effectLst/>
      </c:spPr>
      <c:txPr>
        <a:bodyPr rot="0" spcFirstLastPara="1" vertOverflow="ellipsis" vert="horz" wrap="square" anchor="ctr" anchorCtr="1"/>
        <a:lstStyle/>
        <a:p>
          <a:pPr>
            <a:defRPr sz="120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s-EC"/>
        </a:p>
      </c:txPr>
    </c:title>
    <c:autoTitleDeleted val="0"/>
    <c:plotArea>
      <c:layout>
        <c:manualLayout>
          <c:layoutTarget val="inner"/>
          <c:xMode val="edge"/>
          <c:yMode val="edge"/>
          <c:x val="0.13682467491911829"/>
          <c:y val="0.17076089835858385"/>
          <c:w val="0.8128018848482127"/>
          <c:h val="0.74652940277032676"/>
        </c:manualLayout>
      </c:layout>
      <c:barChart>
        <c:barDir val="col"/>
        <c:grouping val="clustered"/>
        <c:varyColors val="0"/>
        <c:ser>
          <c:idx val="0"/>
          <c:order val="0"/>
          <c:tx>
            <c:strRef>
              <c:f>RANKING!$B$11:$C$11</c:f>
              <c:strCache>
                <c:ptCount val="1"/>
                <c:pt idx="0">
                  <c:v>ENTIDAD DÓLARES</c:v>
                </c:pt>
              </c:strCache>
            </c:strRef>
          </c:tx>
          <c:spPr>
            <a:solidFill>
              <a:srgbClr val="A9D18E"/>
            </a:solidFill>
            <a:ln>
              <a:noFill/>
            </a:ln>
            <a:effectLst/>
          </c:spPr>
          <c:invertIfNegative val="1"/>
          <c:dPt>
            <c:idx val="0"/>
            <c:invertIfNegative val="1"/>
            <c:bubble3D val="0"/>
            <c:spPr>
              <a:solidFill>
                <a:schemeClr val="accent2">
                  <a:lumMod val="60000"/>
                  <a:lumOff val="40000"/>
                </a:schemeClr>
              </a:solidFill>
              <a:ln>
                <a:noFill/>
              </a:ln>
              <a:effectLst/>
            </c:spPr>
          </c:dPt>
          <c:dPt>
            <c:idx val="1"/>
            <c:invertIfNegative val="1"/>
            <c:bubble3D val="0"/>
            <c:spPr>
              <a:solidFill>
                <a:schemeClr val="accent2">
                  <a:lumMod val="60000"/>
                  <a:lumOff val="40000"/>
                </a:schemeClr>
              </a:solidFill>
              <a:ln>
                <a:noFill/>
              </a:ln>
              <a:effectLst/>
            </c:spPr>
          </c:dPt>
          <c:dPt>
            <c:idx val="2"/>
            <c:invertIfNegative val="1"/>
            <c:bubble3D val="0"/>
            <c:spPr>
              <a:solidFill>
                <a:schemeClr val="accent2">
                  <a:lumMod val="60000"/>
                  <a:lumOff val="40000"/>
                </a:schemeClr>
              </a:solidFill>
              <a:ln>
                <a:noFill/>
              </a:ln>
              <a:effectLst/>
            </c:spPr>
          </c:dPt>
          <c:dPt>
            <c:idx val="3"/>
            <c:invertIfNegative val="1"/>
            <c:bubble3D val="0"/>
            <c:spPr>
              <a:solidFill>
                <a:schemeClr val="accent2">
                  <a:lumMod val="60000"/>
                  <a:lumOff val="40000"/>
                </a:schemeClr>
              </a:solidFill>
              <a:ln>
                <a:noFill/>
              </a:ln>
              <a:effectLst/>
            </c:spPr>
          </c:dPt>
          <c:dPt>
            <c:idx val="4"/>
            <c:invertIfNegative val="1"/>
            <c:bubble3D val="0"/>
            <c:spPr>
              <a:solidFill>
                <a:schemeClr val="accent2">
                  <a:lumMod val="60000"/>
                  <a:lumOff val="40000"/>
                </a:schemeClr>
              </a:solidFill>
              <a:ln>
                <a:noFill/>
              </a:ln>
              <a:effectLst/>
            </c:spPr>
          </c:dPt>
          <c:dPt>
            <c:idx val="5"/>
            <c:invertIfNegative val="1"/>
            <c:bubble3D val="0"/>
            <c:spPr>
              <a:solidFill>
                <a:schemeClr val="accent2">
                  <a:lumMod val="40000"/>
                  <a:lumOff val="60000"/>
                </a:schemeClr>
              </a:solidFill>
              <a:ln>
                <a:noFill/>
              </a:ln>
              <a:effectLst/>
            </c:spPr>
          </c:dPt>
          <c:dPt>
            <c:idx val="6"/>
            <c:invertIfNegative val="1"/>
            <c:bubble3D val="0"/>
            <c:spPr>
              <a:solidFill>
                <a:schemeClr val="accent2">
                  <a:lumMod val="40000"/>
                  <a:lumOff val="60000"/>
                </a:schemeClr>
              </a:solidFill>
              <a:ln>
                <a:noFill/>
              </a:ln>
              <a:effectLst/>
            </c:spPr>
          </c:dPt>
          <c:dPt>
            <c:idx val="7"/>
            <c:invertIfNegative val="1"/>
            <c:bubble3D val="0"/>
            <c:spPr>
              <a:solidFill>
                <a:schemeClr val="accent2">
                  <a:lumMod val="40000"/>
                  <a:lumOff val="60000"/>
                </a:schemeClr>
              </a:solidFill>
              <a:ln>
                <a:noFill/>
              </a:ln>
              <a:effectLst/>
            </c:spPr>
          </c:dPt>
          <c:dPt>
            <c:idx val="8"/>
            <c:invertIfNegative val="1"/>
            <c:bubble3D val="0"/>
            <c:spPr>
              <a:solidFill>
                <a:schemeClr val="accent2">
                  <a:lumMod val="40000"/>
                  <a:lumOff val="60000"/>
                </a:schemeClr>
              </a:solidFill>
              <a:ln>
                <a:noFill/>
              </a:ln>
              <a:effectLst/>
            </c:spPr>
          </c:dPt>
          <c:dPt>
            <c:idx val="9"/>
            <c:invertIfNegative val="1"/>
            <c:bubble3D val="0"/>
            <c:spPr>
              <a:solidFill>
                <a:schemeClr val="accent2">
                  <a:lumMod val="40000"/>
                  <a:lumOff val="60000"/>
                </a:schemeClr>
              </a:solidFill>
              <a:ln>
                <a:noFill/>
              </a:ln>
              <a:effectLst/>
            </c:spPr>
          </c:dPt>
          <c:dPt>
            <c:idx val="10"/>
            <c:invertIfNegative val="1"/>
            <c:bubble3D val="0"/>
            <c:spPr>
              <a:solidFill>
                <a:schemeClr val="accent1">
                  <a:lumMod val="60000"/>
                  <a:lumOff val="40000"/>
                </a:schemeClr>
              </a:solidFill>
              <a:ln>
                <a:noFill/>
              </a:ln>
              <a:effectLst/>
            </c:spPr>
          </c:dPt>
          <c:dPt>
            <c:idx val="11"/>
            <c:invertIfNegative val="1"/>
            <c:bubble3D val="0"/>
            <c:spPr>
              <a:solidFill>
                <a:schemeClr val="accent1">
                  <a:lumMod val="40000"/>
                  <a:lumOff val="60000"/>
                </a:schemeClr>
              </a:solidFill>
              <a:ln>
                <a:noFill/>
              </a:ln>
              <a:effectLst/>
            </c:spPr>
          </c:dPt>
          <c:dPt>
            <c:idx val="12"/>
            <c:invertIfNegative val="1"/>
            <c:bubble3D val="0"/>
            <c:spPr>
              <a:solidFill>
                <a:schemeClr val="accent1">
                  <a:lumMod val="40000"/>
                  <a:lumOff val="60000"/>
                </a:schemeClr>
              </a:solidFill>
              <a:ln>
                <a:noFill/>
              </a:ln>
              <a:effectLst/>
            </c:spPr>
          </c:dPt>
          <c:dPt>
            <c:idx val="13"/>
            <c:invertIfNegative val="1"/>
            <c:bubble3D val="0"/>
            <c:spPr>
              <a:solidFill>
                <a:schemeClr val="accent1">
                  <a:lumMod val="40000"/>
                  <a:lumOff val="60000"/>
                </a:schemeClr>
              </a:solidFill>
              <a:ln>
                <a:noFill/>
              </a:ln>
              <a:effectLst/>
            </c:spPr>
          </c:dPt>
          <c:dPt>
            <c:idx val="14"/>
            <c:invertIfNegative val="1"/>
            <c:bubble3D val="0"/>
            <c:spPr>
              <a:solidFill>
                <a:schemeClr val="accent1">
                  <a:lumMod val="40000"/>
                  <a:lumOff val="60000"/>
                </a:schemeClr>
              </a:solidFill>
              <a:ln>
                <a:noFill/>
              </a:ln>
              <a:effectLst/>
            </c:spPr>
          </c:dPt>
          <c:dPt>
            <c:idx val="15"/>
            <c:invertIfNegative val="1"/>
            <c:bubble3D val="0"/>
            <c:spPr>
              <a:solidFill>
                <a:schemeClr val="accent1">
                  <a:lumMod val="40000"/>
                  <a:lumOff val="60000"/>
                </a:schemeClr>
              </a:solidFill>
              <a:ln>
                <a:noFill/>
              </a:ln>
              <a:effectLst/>
            </c:spPr>
          </c:dPt>
          <c:dPt>
            <c:idx val="16"/>
            <c:invertIfNegative val="1"/>
            <c:bubble3D val="0"/>
            <c:spPr>
              <a:solidFill>
                <a:schemeClr val="accent1">
                  <a:lumMod val="40000"/>
                  <a:lumOff val="60000"/>
                </a:schemeClr>
              </a:solidFill>
              <a:ln>
                <a:noFill/>
              </a:ln>
              <a:effectLst/>
            </c:spPr>
          </c:dPt>
          <c:dPt>
            <c:idx val="17"/>
            <c:invertIfNegative val="1"/>
            <c:bubble3D val="0"/>
            <c:spPr>
              <a:solidFill>
                <a:schemeClr val="accent1">
                  <a:lumMod val="40000"/>
                  <a:lumOff val="60000"/>
                </a:schemeClr>
              </a:solidFill>
              <a:ln>
                <a:noFill/>
              </a:ln>
              <a:effectLst/>
            </c:spPr>
          </c:dPt>
          <c:dPt>
            <c:idx val="18"/>
            <c:invertIfNegative val="1"/>
            <c:bubble3D val="0"/>
            <c:spPr>
              <a:solidFill>
                <a:schemeClr val="accent1">
                  <a:lumMod val="40000"/>
                  <a:lumOff val="60000"/>
                </a:schemeClr>
              </a:solidFill>
              <a:ln>
                <a:noFill/>
              </a:ln>
              <a:effectLst/>
            </c:spPr>
          </c:dPt>
          <c:dPt>
            <c:idx val="19"/>
            <c:invertIfNegative val="1"/>
            <c:bubble3D val="0"/>
            <c:spPr>
              <a:solidFill>
                <a:schemeClr val="accent1">
                  <a:lumMod val="40000"/>
                  <a:lumOff val="60000"/>
                </a:schemeClr>
              </a:solidFill>
              <a:ln>
                <a:noFill/>
              </a:ln>
              <a:effectLst/>
            </c:spPr>
          </c:dPt>
          <c:dPt>
            <c:idx val="20"/>
            <c:invertIfNegative val="1"/>
            <c:bubble3D val="0"/>
            <c:spPr>
              <a:solidFill>
                <a:schemeClr val="accent1">
                  <a:lumMod val="40000"/>
                  <a:lumOff val="60000"/>
                </a:schemeClr>
              </a:solidFill>
              <a:ln>
                <a:noFill/>
              </a:ln>
              <a:effectLst/>
            </c:spPr>
          </c:dPt>
          <c:dPt>
            <c:idx val="21"/>
            <c:invertIfNegative val="1"/>
            <c:bubble3D val="0"/>
            <c:spPr>
              <a:solidFill>
                <a:schemeClr val="accent1">
                  <a:lumMod val="40000"/>
                  <a:lumOff val="60000"/>
                </a:schemeClr>
              </a:solidFill>
              <a:ln>
                <a:noFill/>
              </a:ln>
              <a:effectLst/>
            </c:spPr>
          </c:dPt>
          <c:dPt>
            <c:idx val="22"/>
            <c:invertIfNegative val="1"/>
            <c:bubble3D val="0"/>
            <c:spPr>
              <a:solidFill>
                <a:schemeClr val="accent1">
                  <a:lumMod val="40000"/>
                  <a:lumOff val="60000"/>
                </a:schemeClr>
              </a:solidFill>
              <a:ln>
                <a:noFill/>
              </a:ln>
              <a:effectLst/>
            </c:spPr>
          </c:dPt>
          <c:dPt>
            <c:idx val="23"/>
            <c:invertIfNegative val="1"/>
            <c:bubble3D val="0"/>
            <c:spPr>
              <a:solidFill>
                <a:schemeClr val="accent1">
                  <a:lumMod val="40000"/>
                  <a:lumOff val="60000"/>
                </a:schemeClr>
              </a:solidFill>
              <a:ln>
                <a:noFill/>
              </a:ln>
              <a:effectLst/>
            </c:spPr>
          </c:dPt>
          <c:dPt>
            <c:idx val="24"/>
            <c:invertIfNegative val="1"/>
            <c:bubble3D val="0"/>
            <c:spPr>
              <a:solidFill>
                <a:schemeClr val="accent1">
                  <a:lumMod val="40000"/>
                  <a:lumOff val="60000"/>
                </a:schemeClr>
              </a:solidFill>
              <a:ln>
                <a:noFill/>
              </a:ln>
              <a:effectLst/>
            </c:spPr>
          </c:dPt>
          <c:dPt>
            <c:idx val="25"/>
            <c:invertIfNegative val="1"/>
            <c:bubble3D val="0"/>
            <c:spPr>
              <a:solidFill>
                <a:schemeClr val="accent1">
                  <a:lumMod val="40000"/>
                  <a:lumOff val="60000"/>
                </a:schemeClr>
              </a:solidFill>
              <a:ln>
                <a:noFill/>
              </a:ln>
              <a:effectLst/>
            </c:spPr>
          </c:dPt>
          <c:cat>
            <c:strRef>
              <c:f>RANKING!$B$13:$B$16</c:f>
              <c:strCache>
                <c:ptCount val="4"/>
                <c:pt idx="0">
                  <c:v>PICHINCHA</c:v>
                </c:pt>
                <c:pt idx="1">
                  <c:v>AZUAY</c:v>
                </c:pt>
                <c:pt idx="2">
                  <c:v>IMBABURA</c:v>
                </c:pt>
                <c:pt idx="3">
                  <c:v>AMBATO</c:v>
                </c:pt>
              </c:strCache>
            </c:strRef>
          </c:cat>
          <c:val>
            <c:numRef>
              <c:f>RANKING!$C$13:$C$16</c:f>
              <c:numCache>
                <c:formatCode>#,##0.00</c:formatCode>
                <c:ptCount val="4"/>
                <c:pt idx="0">
                  <c:v>110273765.04000001</c:v>
                </c:pt>
                <c:pt idx="1">
                  <c:v>16461515.789999999</c:v>
                </c:pt>
                <c:pt idx="2">
                  <c:v>4047225.87</c:v>
                </c:pt>
                <c:pt idx="3">
                  <c:v>3277862.62</c:v>
                </c:pt>
              </c:numCache>
            </c:numRef>
          </c:val>
          <c:extLst>
            <c:ext xmlns:c14="http://schemas.microsoft.com/office/drawing/2007/8/2/chart" uri="{6F2FDCE9-48DA-4B69-8628-5D25D57E5C99}">
              <c14:invertSolidFillFmt>
                <c14:spPr xmlns:c14="http://schemas.microsoft.com/office/drawing/2007/8/2/chart">
                  <a:solidFill>
                    <a:srgbClr val="FFFFFF"/>
                  </a:solidFill>
                  <a:ln>
                    <a:noFill/>
                  </a:ln>
                  <a:effectLst/>
                </c14:spPr>
              </c14:invertSolidFillFmt>
            </c:ext>
          </c:extLst>
        </c:ser>
        <c:dLbls>
          <c:showLegendKey val="0"/>
          <c:showVal val="0"/>
          <c:showCatName val="0"/>
          <c:showSerName val="0"/>
          <c:showPercent val="0"/>
          <c:showBubbleSize val="0"/>
        </c:dLbls>
        <c:gapWidth val="219"/>
        <c:overlap val="-27"/>
        <c:axId val="408478336"/>
        <c:axId val="408479424"/>
      </c:barChart>
      <c:catAx>
        <c:axId val="4084783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Times New Roman" panose="02020603050405020304" pitchFamily="18" charset="0"/>
              </a:defRPr>
            </a:pPr>
            <a:endParaRPr lang="es-EC"/>
          </a:p>
        </c:txPr>
        <c:crossAx val="408479424"/>
        <c:crosses val="autoZero"/>
        <c:auto val="1"/>
        <c:lblAlgn val="ctr"/>
        <c:lblOffset val="100"/>
        <c:noMultiLvlLbl val="0"/>
      </c:catAx>
      <c:valAx>
        <c:axId val="408479424"/>
        <c:scaling>
          <c:orientation val="minMax"/>
        </c:scaling>
        <c:delete val="0"/>
        <c:axPos val="l"/>
        <c:title>
          <c:tx>
            <c:rich>
              <a:bodyPr rot="-5400000" spcFirstLastPara="1" vertOverflow="ellipsis" vert="horz" wrap="square" anchor="ctr" anchorCtr="1"/>
              <a:lstStyle/>
              <a:p>
                <a:pPr>
                  <a:defRPr sz="11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s-EC" sz="1100"/>
                  <a:t>Millones</a:t>
                </a:r>
              </a:p>
            </c:rich>
          </c:tx>
          <c:layout>
            <c:manualLayout>
              <c:xMode val="edge"/>
              <c:yMode val="edge"/>
              <c:x val="1.1145504858460133E-2"/>
              <c:y val="0.36899469244591115"/>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s-EC"/>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s-EC"/>
          </a:p>
        </c:txPr>
        <c:crossAx val="408478336"/>
        <c:crosses val="autoZero"/>
        <c:crossBetween val="between"/>
        <c:dispUnits>
          <c:builtInUnit val="millions"/>
        </c:dispUnits>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latin typeface="Times New Roman" panose="02020603050405020304" pitchFamily="18" charset="0"/>
          <a:cs typeface="Times New Roman" panose="02020603050405020304" pitchFamily="18" charset="0"/>
        </a:defRPr>
      </a:pPr>
      <a:endParaRPr lang="es-EC"/>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0</xdr:col>
      <xdr:colOff>97118</xdr:colOff>
      <xdr:row>0</xdr:row>
      <xdr:rowOff>37353</xdr:rowOff>
    </xdr:from>
    <xdr:to>
      <xdr:col>1</xdr:col>
      <xdr:colOff>3234765</xdr:colOff>
      <xdr:row>4</xdr:row>
      <xdr:rowOff>122981</xdr:rowOff>
    </xdr:to>
    <xdr:pic>
      <xdr:nvPicPr>
        <xdr:cNvPr id="3" name="Imagen 2"/>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7118" y="37353"/>
          <a:ext cx="3518647" cy="83268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xdr:colOff>
      <xdr:row>0</xdr:row>
      <xdr:rowOff>1</xdr:rowOff>
    </xdr:from>
    <xdr:to>
      <xdr:col>3</xdr:col>
      <xdr:colOff>17319</xdr:colOff>
      <xdr:row>3</xdr:row>
      <xdr:rowOff>161102</xdr:rowOff>
    </xdr:to>
    <xdr:pic>
      <xdr:nvPicPr>
        <xdr:cNvPr id="2" name="Imagen 1"/>
        <xdr:cNvPicPr>
          <a:picLocks noChangeAspect="1"/>
        </xdr:cNvPicPr>
      </xdr:nvPicPr>
      <xdr:blipFill rotWithShape="1">
        <a:blip xmlns:r="http://schemas.openxmlformats.org/officeDocument/2006/relationships" r:embed="rId1"/>
        <a:srcRect l="8273" t="10027" r="67273" b="75648"/>
        <a:stretch/>
      </xdr:blipFill>
      <xdr:spPr>
        <a:xfrm>
          <a:off x="1" y="1"/>
          <a:ext cx="2303318" cy="75857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1288977</xdr:colOff>
      <xdr:row>3</xdr:row>
      <xdr:rowOff>88638</xdr:rowOff>
    </xdr:to>
    <xdr:pic>
      <xdr:nvPicPr>
        <xdr:cNvPr id="4"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2518722" cy="660138"/>
        </a:xfrm>
        <a:prstGeom prst="rect">
          <a:avLst/>
        </a:prstGeom>
      </xdr:spPr>
    </xdr:pic>
    <xdr:clientData/>
  </xdr:twoCellAnchor>
  <xdr:twoCellAnchor>
    <xdr:from>
      <xdr:col>1</xdr:col>
      <xdr:colOff>4204607</xdr:colOff>
      <xdr:row>7</xdr:row>
      <xdr:rowOff>27214</xdr:rowOff>
    </xdr:from>
    <xdr:to>
      <xdr:col>4</xdr:col>
      <xdr:colOff>1619250</xdr:colOff>
      <xdr:row>8</xdr:row>
      <xdr:rowOff>163286</xdr:rowOff>
    </xdr:to>
    <xdr:sp macro="" textlink="">
      <xdr:nvSpPr>
        <xdr:cNvPr id="8" name="CuadroTexto 7"/>
        <xdr:cNvSpPr txBox="1"/>
      </xdr:nvSpPr>
      <xdr:spPr>
        <a:xfrm>
          <a:off x="5429250" y="1360714"/>
          <a:ext cx="3401786" cy="3265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C" sz="1200" b="1"/>
            <a:t>*Seleccione una o varias opciones</a:t>
          </a:r>
        </a:p>
      </xdr:txBody>
    </xdr:sp>
    <xdr:clientData/>
  </xdr:twoCellAnchor>
  <xdr:twoCellAnchor editAs="oneCell">
    <xdr:from>
      <xdr:col>4</xdr:col>
      <xdr:colOff>324531</xdr:colOff>
      <xdr:row>0</xdr:row>
      <xdr:rowOff>186419</xdr:rowOff>
    </xdr:from>
    <xdr:to>
      <xdr:col>5</xdr:col>
      <xdr:colOff>438831</xdr:colOff>
      <xdr:row>7</xdr:row>
      <xdr:rowOff>19958</xdr:rowOff>
    </xdr:to>
    <mc:AlternateContent xmlns:mc="http://schemas.openxmlformats.org/markup-compatibility/2006" xmlns:a14="http://schemas.microsoft.com/office/drawing/2010/main">
      <mc:Choice Requires="a14">
        <xdr:graphicFrame macro="">
          <xdr:nvGraphicFramePr>
            <xdr:cNvPr id="2" name="RAZON SOCIAL"/>
            <xdr:cNvGraphicFramePr/>
          </xdr:nvGraphicFramePr>
          <xdr:xfrm>
            <a:off x="0" y="0"/>
            <a:ext cx="0" cy="0"/>
          </xdr:xfrm>
          <a:graphic>
            <a:graphicData uri="http://schemas.microsoft.com/office/drawing/2010/slicer">
              <sle:slicer xmlns:sle="http://schemas.microsoft.com/office/drawing/2010/slicer" name="RAZON SOCIAL"/>
            </a:graphicData>
          </a:graphic>
        </xdr:graphicFrame>
      </mc:Choice>
      <mc:Fallback xmlns="">
        <xdr:sp macro="" textlink="">
          <xdr:nvSpPr>
            <xdr:cNvPr id="0" name=""/>
            <xdr:cNvSpPr>
              <a:spLocks noTextEdit="1"/>
            </xdr:cNvSpPr>
          </xdr:nvSpPr>
          <xdr:spPr>
            <a:xfrm>
              <a:off x="7515906" y="186419"/>
              <a:ext cx="1828800" cy="1167039"/>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1</xdr:col>
      <xdr:colOff>4400550</xdr:colOff>
      <xdr:row>0</xdr:row>
      <xdr:rowOff>187780</xdr:rowOff>
    </xdr:from>
    <xdr:to>
      <xdr:col>4</xdr:col>
      <xdr:colOff>242207</xdr:colOff>
      <xdr:row>7</xdr:row>
      <xdr:rowOff>19958</xdr:rowOff>
    </xdr:to>
    <mc:AlternateContent xmlns:mc="http://schemas.openxmlformats.org/markup-compatibility/2006" xmlns:a14="http://schemas.microsoft.com/office/drawing/2010/main">
      <mc:Choice Requires="a14">
        <xdr:graphicFrame macro="">
          <xdr:nvGraphicFramePr>
            <xdr:cNvPr id="3" name="FECHA "/>
            <xdr:cNvGraphicFramePr/>
          </xdr:nvGraphicFramePr>
          <xdr:xfrm>
            <a:off x="0" y="0"/>
            <a:ext cx="0" cy="0"/>
          </xdr:xfrm>
          <a:graphic>
            <a:graphicData uri="http://schemas.microsoft.com/office/drawing/2010/slicer">
              <sle:slicer xmlns:sle="http://schemas.microsoft.com/office/drawing/2010/slicer" name="FECHA "/>
            </a:graphicData>
          </a:graphic>
        </xdr:graphicFrame>
      </mc:Choice>
      <mc:Fallback xmlns="">
        <xdr:sp macro="" textlink="">
          <xdr:nvSpPr>
            <xdr:cNvPr id="0" name=""/>
            <xdr:cNvSpPr>
              <a:spLocks noTextEdit="1"/>
            </xdr:cNvSpPr>
          </xdr:nvSpPr>
          <xdr:spPr>
            <a:xfrm>
              <a:off x="5625193" y="187780"/>
              <a:ext cx="1828800" cy="1159328"/>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1783936</xdr:colOff>
      <xdr:row>3</xdr:row>
      <xdr:rowOff>88638</xdr:rowOff>
    </xdr:to>
    <xdr:pic>
      <xdr:nvPicPr>
        <xdr:cNvPr id="3" name="Imagen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2523824" cy="660138"/>
        </a:xfrm>
        <a:prstGeom prst="rect">
          <a:avLst/>
        </a:prstGeom>
      </xdr:spPr>
    </xdr:pic>
    <xdr:clientData/>
  </xdr:twoCellAnchor>
  <xdr:twoCellAnchor editAs="absolute">
    <xdr:from>
      <xdr:col>4</xdr:col>
      <xdr:colOff>796018</xdr:colOff>
      <xdr:row>0</xdr:row>
      <xdr:rowOff>133804</xdr:rowOff>
    </xdr:from>
    <xdr:to>
      <xdr:col>6</xdr:col>
      <xdr:colOff>462643</xdr:colOff>
      <xdr:row>6</xdr:row>
      <xdr:rowOff>106590</xdr:rowOff>
    </xdr:to>
    <mc:AlternateContent xmlns:mc="http://schemas.openxmlformats.org/markup-compatibility/2006" xmlns:a14="http://schemas.microsoft.com/office/drawing/2010/main">
      <mc:Choice Requires="a14">
        <xdr:graphicFrame macro="">
          <xdr:nvGraphicFramePr>
            <xdr:cNvPr id="6" name="RAZÓN SOCIAL"/>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RAZÓN SOCIAL"/>
            </a:graphicData>
          </a:graphic>
        </xdr:graphicFrame>
      </mc:Choice>
      <mc:Fallback xmlns="">
        <xdr:sp macro="" textlink="">
          <xdr:nvSpPr>
            <xdr:cNvPr id="0" name=""/>
            <xdr:cNvSpPr>
              <a:spLocks noTextEdit="1"/>
            </xdr:cNvSpPr>
          </xdr:nvSpPr>
          <xdr:spPr>
            <a:xfrm>
              <a:off x="8021411" y="133804"/>
              <a:ext cx="4678135" cy="1115786"/>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absolute">
    <xdr:from>
      <xdr:col>3</xdr:col>
      <xdr:colOff>500290</xdr:colOff>
      <xdr:row>0</xdr:row>
      <xdr:rowOff>120651</xdr:rowOff>
    </xdr:from>
    <xdr:to>
      <xdr:col>4</xdr:col>
      <xdr:colOff>625930</xdr:colOff>
      <xdr:row>6</xdr:row>
      <xdr:rowOff>90714</xdr:rowOff>
    </xdr:to>
    <mc:AlternateContent xmlns:mc="http://schemas.openxmlformats.org/markup-compatibility/2006" xmlns:a14="http://schemas.microsoft.com/office/drawing/2010/main">
      <mc:Choice Requires="a14">
        <xdr:graphicFrame macro="">
          <xdr:nvGraphicFramePr>
            <xdr:cNvPr id="7" name="FEC_CORTE"/>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FEC_CORTE"/>
            </a:graphicData>
          </a:graphic>
        </xdr:graphicFrame>
      </mc:Choice>
      <mc:Fallback xmlns="">
        <xdr:sp macro="" textlink="">
          <xdr:nvSpPr>
            <xdr:cNvPr id="0" name=""/>
            <xdr:cNvSpPr>
              <a:spLocks noTextEdit="1"/>
            </xdr:cNvSpPr>
          </xdr:nvSpPr>
          <xdr:spPr>
            <a:xfrm>
              <a:off x="6011183" y="120651"/>
              <a:ext cx="1840140" cy="1113063"/>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xdr:from>
      <xdr:col>3</xdr:col>
      <xdr:colOff>421822</xdr:colOff>
      <xdr:row>6</xdr:row>
      <xdr:rowOff>136071</xdr:rowOff>
    </xdr:from>
    <xdr:to>
      <xdr:col>5</xdr:col>
      <xdr:colOff>394608</xdr:colOff>
      <xdr:row>8</xdr:row>
      <xdr:rowOff>81643</xdr:rowOff>
    </xdr:to>
    <xdr:sp macro="" textlink="">
      <xdr:nvSpPr>
        <xdr:cNvPr id="8" name="CuadroTexto 7"/>
        <xdr:cNvSpPr txBox="1"/>
      </xdr:nvSpPr>
      <xdr:spPr>
        <a:xfrm>
          <a:off x="5932715" y="1279071"/>
          <a:ext cx="3401786" cy="3265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C" sz="1200" b="1"/>
            <a:t>*Seleccione una o varias opciones</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2523824</xdr:colOff>
      <xdr:row>3</xdr:row>
      <xdr:rowOff>88638</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2523824" cy="660138"/>
        </a:xfrm>
        <a:prstGeom prst="rect">
          <a:avLst/>
        </a:prstGeom>
      </xdr:spPr>
    </xdr:pic>
    <xdr:clientData/>
  </xdr:twoCellAnchor>
  <xdr:twoCellAnchor editAs="absolute">
    <xdr:from>
      <xdr:col>1</xdr:col>
      <xdr:colOff>1306737</xdr:colOff>
      <xdr:row>0</xdr:row>
      <xdr:rowOff>178707</xdr:rowOff>
    </xdr:from>
    <xdr:to>
      <xdr:col>3</xdr:col>
      <xdr:colOff>666750</xdr:colOff>
      <xdr:row>7</xdr:row>
      <xdr:rowOff>40820</xdr:rowOff>
    </xdr:to>
    <mc:AlternateContent xmlns:mc="http://schemas.openxmlformats.org/markup-compatibility/2006" xmlns:a14="http://schemas.microsoft.com/office/drawing/2010/main">
      <mc:Choice Requires="a14">
        <xdr:graphicFrame macro="">
          <xdr:nvGraphicFramePr>
            <xdr:cNvPr id="3" name="NOM_RAZON_SOCIAL"/>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NOM_RAZON_SOCIAL"/>
            </a:graphicData>
          </a:graphic>
        </xdr:graphicFrame>
      </mc:Choice>
      <mc:Fallback xmlns="">
        <xdr:sp macro="" textlink="">
          <xdr:nvSpPr>
            <xdr:cNvPr id="0" name=""/>
            <xdr:cNvSpPr>
              <a:spLocks noTextEdit="1"/>
            </xdr:cNvSpPr>
          </xdr:nvSpPr>
          <xdr:spPr>
            <a:xfrm>
              <a:off x="7729309" y="178707"/>
              <a:ext cx="4215494" cy="1195613"/>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absolute">
    <xdr:from>
      <xdr:col>0</xdr:col>
      <xdr:colOff>5681435</xdr:colOff>
      <xdr:row>0</xdr:row>
      <xdr:rowOff>174172</xdr:rowOff>
    </xdr:from>
    <xdr:to>
      <xdr:col>1</xdr:col>
      <xdr:colOff>1062718</xdr:colOff>
      <xdr:row>7</xdr:row>
      <xdr:rowOff>29482</xdr:rowOff>
    </xdr:to>
    <mc:AlternateContent xmlns:mc="http://schemas.openxmlformats.org/markup-compatibility/2006" xmlns:a14="http://schemas.microsoft.com/office/drawing/2010/main">
      <mc:Choice Requires="a14">
        <xdr:graphicFrame macro="">
          <xdr:nvGraphicFramePr>
            <xdr:cNvPr id="6" name="FEC_CORTE 2"/>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FEC_CORTE 2"/>
            </a:graphicData>
          </a:graphic>
        </xdr:graphicFrame>
      </mc:Choice>
      <mc:Fallback xmlns="">
        <xdr:sp macro="" textlink="">
          <xdr:nvSpPr>
            <xdr:cNvPr id="0" name=""/>
            <xdr:cNvSpPr>
              <a:spLocks noTextEdit="1"/>
            </xdr:cNvSpPr>
          </xdr:nvSpPr>
          <xdr:spPr>
            <a:xfrm>
              <a:off x="5681435" y="174172"/>
              <a:ext cx="1803854" cy="118881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xdr:from>
      <xdr:col>0</xdr:col>
      <xdr:colOff>5592536</xdr:colOff>
      <xdr:row>7</xdr:row>
      <xdr:rowOff>81643</xdr:rowOff>
    </xdr:from>
    <xdr:to>
      <xdr:col>2</xdr:col>
      <xdr:colOff>68036</xdr:colOff>
      <xdr:row>9</xdr:row>
      <xdr:rowOff>27215</xdr:rowOff>
    </xdr:to>
    <xdr:sp macro="" textlink="">
      <xdr:nvSpPr>
        <xdr:cNvPr id="7" name="CuadroTexto 6"/>
        <xdr:cNvSpPr txBox="1"/>
      </xdr:nvSpPr>
      <xdr:spPr>
        <a:xfrm>
          <a:off x="5592536" y="1415143"/>
          <a:ext cx="3401786" cy="3265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C" sz="1200" b="1"/>
            <a:t>*Seleccione una o varias opciones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433914</xdr:colOff>
      <xdr:row>10</xdr:row>
      <xdr:rowOff>24738</xdr:rowOff>
    </xdr:from>
    <xdr:to>
      <xdr:col>13</xdr:col>
      <xdr:colOff>31751</xdr:colOff>
      <xdr:row>26</xdr:row>
      <xdr:rowOff>116418</xdr:rowOff>
    </xdr:to>
    <xdr:graphicFrame macro="">
      <xdr:nvGraphicFramePr>
        <xdr:cNvPr id="2" name="Gráfico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0</xdr:colOff>
      <xdr:row>0</xdr:row>
      <xdr:rowOff>0</xdr:rowOff>
    </xdr:from>
    <xdr:to>
      <xdr:col>2</xdr:col>
      <xdr:colOff>494545</xdr:colOff>
      <xdr:row>3</xdr:row>
      <xdr:rowOff>88638</xdr:rowOff>
    </xdr:to>
    <xdr:pic>
      <xdr:nvPicPr>
        <xdr:cNvPr id="6" name="Imagen 5"/>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0"/>
          <a:ext cx="2523824" cy="660138"/>
        </a:xfrm>
        <a:prstGeom prst="rect">
          <a:avLst/>
        </a:prstGeom>
      </xdr:spPr>
    </xdr:pic>
    <xdr:clientData/>
  </xdr:twoCellAnchor>
  <xdr:twoCellAnchor editAs="oneCell">
    <xdr:from>
      <xdr:col>5</xdr:col>
      <xdr:colOff>593725</xdr:colOff>
      <xdr:row>0</xdr:row>
      <xdr:rowOff>111125</xdr:rowOff>
    </xdr:from>
    <xdr:to>
      <xdr:col>8</xdr:col>
      <xdr:colOff>140230</xdr:colOff>
      <xdr:row>6</xdr:row>
      <xdr:rowOff>114300</xdr:rowOff>
    </xdr:to>
    <mc:AlternateContent xmlns:mc="http://schemas.openxmlformats.org/markup-compatibility/2006" xmlns:a14="http://schemas.microsoft.com/office/drawing/2010/main">
      <mc:Choice Requires="a14">
        <xdr:graphicFrame macro="">
          <xdr:nvGraphicFramePr>
            <xdr:cNvPr id="8" name="FECHA"/>
            <xdr:cNvGraphicFramePr/>
          </xdr:nvGraphicFramePr>
          <xdr:xfrm>
            <a:off x="0" y="0"/>
            <a:ext cx="0" cy="0"/>
          </xdr:xfrm>
          <a:graphic>
            <a:graphicData uri="http://schemas.microsoft.com/office/drawing/2010/slicer">
              <sle:slicer xmlns:sle="http://schemas.microsoft.com/office/drawing/2010/slicer" name="FECHA"/>
            </a:graphicData>
          </a:graphic>
        </xdr:graphicFrame>
      </mc:Choice>
      <mc:Fallback xmlns="">
        <xdr:sp macro="" textlink="">
          <xdr:nvSpPr>
            <xdr:cNvPr id="0" name=""/>
            <xdr:cNvSpPr>
              <a:spLocks noTextEdit="1"/>
            </xdr:cNvSpPr>
          </xdr:nvSpPr>
          <xdr:spPr>
            <a:xfrm>
              <a:off x="6346825" y="111125"/>
              <a:ext cx="1908705" cy="1069975"/>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8</xdr:col>
      <xdr:colOff>158750</xdr:colOff>
      <xdr:row>0</xdr:row>
      <xdr:rowOff>76200</xdr:rowOff>
    </xdr:from>
    <xdr:to>
      <xdr:col>12</xdr:col>
      <xdr:colOff>412751</xdr:colOff>
      <xdr:row>6</xdr:row>
      <xdr:rowOff>107949</xdr:rowOff>
    </xdr:to>
    <mc:AlternateContent xmlns:mc="http://schemas.openxmlformats.org/markup-compatibility/2006" xmlns:a14="http://schemas.microsoft.com/office/drawing/2010/main">
      <mc:Choice Requires="a14">
        <xdr:graphicFrame macro="">
          <xdr:nvGraphicFramePr>
            <xdr:cNvPr id="7" name="CUENTA"/>
            <xdr:cNvGraphicFramePr/>
          </xdr:nvGraphicFramePr>
          <xdr:xfrm>
            <a:off x="0" y="0"/>
            <a:ext cx="0" cy="0"/>
          </xdr:xfrm>
          <a:graphic>
            <a:graphicData uri="http://schemas.microsoft.com/office/drawing/2010/slicer">
              <sle:slicer xmlns:sle="http://schemas.microsoft.com/office/drawing/2010/slicer" name="CUENTA"/>
            </a:graphicData>
          </a:graphic>
        </xdr:graphicFrame>
      </mc:Choice>
      <mc:Fallback xmlns="">
        <xdr:sp macro="" textlink="">
          <xdr:nvSpPr>
            <xdr:cNvPr id="0" name=""/>
            <xdr:cNvSpPr>
              <a:spLocks noTextEdit="1"/>
            </xdr:cNvSpPr>
          </xdr:nvSpPr>
          <xdr:spPr>
            <a:xfrm>
              <a:off x="8274050" y="76200"/>
              <a:ext cx="3403601" cy="1098549"/>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2273793</xdr:colOff>
      <xdr:row>3</xdr:row>
      <xdr:rowOff>88638</xdr:rowOff>
    </xdr:to>
    <xdr:pic>
      <xdr:nvPicPr>
        <xdr:cNvPr id="5" name="Imagen 4"/>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2523824" cy="660138"/>
        </a:xfrm>
        <a:prstGeom prst="rect">
          <a:avLst/>
        </a:prstGeom>
      </xdr:spPr>
    </xdr:pic>
    <xdr:clientData/>
  </xdr:twoCellAnchor>
  <xdr:twoCellAnchor editAs="absolute">
    <xdr:from>
      <xdr:col>3</xdr:col>
      <xdr:colOff>320221</xdr:colOff>
      <xdr:row>0</xdr:row>
      <xdr:rowOff>126547</xdr:rowOff>
    </xdr:from>
    <xdr:to>
      <xdr:col>5</xdr:col>
      <xdr:colOff>27215</xdr:colOff>
      <xdr:row>6</xdr:row>
      <xdr:rowOff>122464</xdr:rowOff>
    </xdr:to>
    <mc:AlternateContent xmlns:mc="http://schemas.openxmlformats.org/markup-compatibility/2006" xmlns:a14="http://schemas.microsoft.com/office/drawing/2010/main">
      <mc:Choice Requires="a14">
        <xdr:graphicFrame macro="">
          <xdr:nvGraphicFramePr>
            <xdr:cNvPr id="3" name="NOM_RAZON_SOCIAL 5"/>
            <xdr:cNvGraphicFramePr>
              <a:graphicFrameLocks/>
            </xdr:cNvGraphicFramePr>
          </xdr:nvGraphicFramePr>
          <xdr:xfrm>
            <a:off x="0" y="0"/>
            <a:ext cx="0" cy="0"/>
          </xdr:xfrm>
          <a:graphic>
            <a:graphicData uri="http://schemas.microsoft.com/office/drawing/2010/slicer">
              <sle:slicer xmlns:sle="http://schemas.microsoft.com/office/drawing/2010/slicer" name="NOM_RAZON_SOCIAL 5"/>
            </a:graphicData>
          </a:graphic>
        </xdr:graphicFrame>
      </mc:Choice>
      <mc:Fallback xmlns="">
        <xdr:sp macro="" textlink="">
          <xdr:nvSpPr>
            <xdr:cNvPr id="0" name=""/>
            <xdr:cNvSpPr>
              <a:spLocks noTextEdit="1"/>
            </xdr:cNvSpPr>
          </xdr:nvSpPr>
          <xdr:spPr>
            <a:xfrm>
              <a:off x="8334828" y="126547"/>
              <a:ext cx="4331153" cy="1138917"/>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absolute">
    <xdr:from>
      <xdr:col>2</xdr:col>
      <xdr:colOff>454</xdr:colOff>
      <xdr:row>0</xdr:row>
      <xdr:rowOff>124280</xdr:rowOff>
    </xdr:from>
    <xdr:to>
      <xdr:col>3</xdr:col>
      <xdr:colOff>105683</xdr:colOff>
      <xdr:row>6</xdr:row>
      <xdr:rowOff>117930</xdr:rowOff>
    </xdr:to>
    <mc:AlternateContent xmlns:mc="http://schemas.openxmlformats.org/markup-compatibility/2006" xmlns:a14="http://schemas.microsoft.com/office/drawing/2010/main">
      <mc:Choice Requires="a14">
        <xdr:graphicFrame macro="">
          <xdr:nvGraphicFramePr>
            <xdr:cNvPr id="6" name="FEC_CORTE 1"/>
            <xdr:cNvGraphicFramePr>
              <a:graphicFrameLocks noChangeAspect="1"/>
            </xdr:cNvGraphicFramePr>
          </xdr:nvGraphicFramePr>
          <xdr:xfrm>
            <a:off x="0" y="0"/>
            <a:ext cx="0" cy="0"/>
          </xdr:xfrm>
          <a:graphic>
            <a:graphicData uri="http://schemas.microsoft.com/office/drawing/2010/slicer">
              <sle:slicer xmlns:sle="http://schemas.microsoft.com/office/drawing/2010/slicer" name="FEC_CORTE 1"/>
            </a:graphicData>
          </a:graphic>
        </xdr:graphicFrame>
      </mc:Choice>
      <mc:Fallback xmlns="">
        <xdr:sp macro="" textlink="">
          <xdr:nvSpPr>
            <xdr:cNvPr id="0" name=""/>
            <xdr:cNvSpPr>
              <a:spLocks noTextEdit="1"/>
            </xdr:cNvSpPr>
          </xdr:nvSpPr>
          <xdr:spPr>
            <a:xfrm>
              <a:off x="6300561" y="124280"/>
              <a:ext cx="1819729" cy="113665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xdr:from>
      <xdr:col>1</xdr:col>
      <xdr:colOff>6027964</xdr:colOff>
      <xdr:row>6</xdr:row>
      <xdr:rowOff>176892</xdr:rowOff>
    </xdr:from>
    <xdr:to>
      <xdr:col>3</xdr:col>
      <xdr:colOff>1660072</xdr:colOff>
      <xdr:row>8</xdr:row>
      <xdr:rowOff>122464</xdr:rowOff>
    </xdr:to>
    <xdr:sp macro="" textlink="">
      <xdr:nvSpPr>
        <xdr:cNvPr id="2" name="CuadroTexto 1"/>
        <xdr:cNvSpPr txBox="1"/>
      </xdr:nvSpPr>
      <xdr:spPr>
        <a:xfrm>
          <a:off x="6272893" y="1319892"/>
          <a:ext cx="3401786" cy="3265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C" sz="1200" b="1"/>
            <a:t>*Seleccione una o varias opciones</a:t>
          </a: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44823</xdr:colOff>
      <xdr:row>3</xdr:row>
      <xdr:rowOff>0</xdr:rowOff>
    </xdr:from>
    <xdr:to>
      <xdr:col>4</xdr:col>
      <xdr:colOff>179293</xdr:colOff>
      <xdr:row>7</xdr:row>
      <xdr:rowOff>78441</xdr:rowOff>
    </xdr:to>
    <mc:AlternateContent xmlns:mc="http://schemas.openxmlformats.org/markup-compatibility/2006" xmlns:a14="http://schemas.microsoft.com/office/drawing/2010/main">
      <mc:Choice Requires="a14">
        <xdr:graphicFrame macro="">
          <xdr:nvGraphicFramePr>
            <xdr:cNvPr id="4" name="NOM_RAZON_SOCIAL 2"/>
            <xdr:cNvGraphicFramePr/>
          </xdr:nvGraphicFramePr>
          <xdr:xfrm>
            <a:off x="0" y="0"/>
            <a:ext cx="0" cy="0"/>
          </xdr:xfrm>
          <a:graphic>
            <a:graphicData uri="http://schemas.microsoft.com/office/drawing/2010/slicer">
              <sle:slicer xmlns:sle="http://schemas.microsoft.com/office/drawing/2010/slicer" name="NOM_RAZON_SOCIAL 2"/>
            </a:graphicData>
          </a:graphic>
        </xdr:graphicFrame>
      </mc:Choice>
      <mc:Fallback xmlns="">
        <xdr:sp macro="" textlink="">
          <xdr:nvSpPr>
            <xdr:cNvPr id="0" name=""/>
            <xdr:cNvSpPr>
              <a:spLocks noTextEdit="1"/>
            </xdr:cNvSpPr>
          </xdr:nvSpPr>
          <xdr:spPr>
            <a:xfrm>
              <a:off x="44823" y="571500"/>
              <a:ext cx="7485529" cy="1423147"/>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file:///\\seps-mv-fileser\Intendencia%20de%20Estadisticas%20y%20Estudios%20y%20Normas%20de%20la%20EPS%20y%20SFPS\Users\pllerena\Desktop\BASES\Estructuras\B11\Reporte\BASE_2016_Plazos%20cartera.xlsx" TargetMode="External"/><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2" Type="http://schemas.openxmlformats.org/officeDocument/2006/relationships/externalLinkPath" Target="BOL_EF_TAB1_MUT.xlsx" TargetMode="External"/><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2" Type="http://schemas.openxmlformats.org/officeDocument/2006/relationships/externalLinkPath" Target="BOL_EF_TAB3_MUT.xlsx" TargetMode="External"/><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2" Type="http://schemas.openxmlformats.org/officeDocument/2006/relationships/externalLinkPath" Target="BOL_EF_TAB2_MUT.xlsx" TargetMode="External"/><Relationship Id="rId1" Type="http://schemas.openxmlformats.org/officeDocument/2006/relationships/pivotCacheRecords" Target="pivotCacheRecords5.xml"/></Relationships>
</file>

<file path=xl/pivotCache/pivotCacheDefinition1.xml><?xml version="1.0" encoding="utf-8"?>
<pivotCacheDefinition xmlns="http://schemas.openxmlformats.org/spreadsheetml/2006/main" xmlns:r="http://schemas.openxmlformats.org/officeDocument/2006/relationships" r:id="rId1" refreshedBy="Llerena Pablo David" refreshedDate="42783.395795717595" createdVersion="5" refreshedVersion="5" minRefreshableVersion="3" recordCount="336">
  <cacheSource type="worksheet">
    <worksheetSource ref="A1:EE337" sheet="Sheet2" r:id="rId2"/>
  </cacheSource>
  <cacheFields count="135">
    <cacheField name="SEGMENTO" numFmtId="0">
      <sharedItems count="1">
        <s v="SEGMENTO 1"/>
      </sharedItems>
    </cacheField>
    <cacheField name="NUM_RUC" numFmtId="0">
      <sharedItems count="28">
        <s v="0190115798001"/>
        <s v="0190155722001"/>
        <s v="0290003288001"/>
        <s v="0390027923001"/>
        <s v="0490001883001"/>
        <s v="0490002669001"/>
        <s v="0590052000001"/>
        <s v="0690045389001"/>
        <s v="0790024656001"/>
        <s v="1090033456001"/>
        <s v="1091720902001"/>
        <s v="1190068389001"/>
        <s v="1690012606001"/>
        <s v="1790093204001"/>
        <s v="1790325083001"/>
        <s v="1790451801001"/>
        <s v="1790501469001"/>
        <s v="1790567699001"/>
        <s v="1790866084001"/>
        <s v="1790979016001"/>
        <s v="1791708040001"/>
        <s v="1890001323001"/>
        <s v="1890003628001"/>
        <s v="1890037646001"/>
        <s v="1890080967001"/>
        <s v="1890141877001"/>
        <s v="11"/>
        <s v="12"/>
      </sharedItems>
    </cacheField>
    <cacheField name="NOM_RAZON_SOCIAL" numFmtId="0">
      <sharedItems count="28">
        <s v="JUVENTUD ECUATORIANA PROGRESISTA LTDA"/>
        <s v="JARDIN AZUAYO LTDA"/>
        <s v="SAN JOSE LTDA"/>
        <s v="DE LA PEQUEÑA EMPRESA BIBLIAN LTDA"/>
        <s v="PABLO MUÑOZ VEGA LTDA"/>
        <s v="TULCAN LTDA"/>
        <s v="DE LA PEQUEÑA EMPRESA DE COTOPAXI LTDA"/>
        <s v="RIOBAMBA LTDA"/>
        <s v="SANTA ROSA LTDA"/>
        <s v="ATUNTAQUI LTDA"/>
        <s v="PILAHUIN TIO LTDA"/>
        <s v="VICENTINA MANUEL ESTEBAN GODOY ORTEGA"/>
        <s v="DE LA PEQUEÑA EMPRESA DE PASTAZA LTDA"/>
        <s v="23 DE JULIO LTDA"/>
        <s v="ANDALUCIA LTDA"/>
        <s v="COOPROGRESO LTDA"/>
        <s v="ALIANZA DEL VALLE LTDA"/>
        <s v="29 DE OCTUBRE LTDA"/>
        <s v="POLICIA NACIONAL LTDA"/>
        <s v="DE LOS SERVIDORES PUBLICOS DEL MINISTE"/>
        <s v="CAJA CENTRAL FINANCOOP"/>
        <s v="OSCUS LTDA"/>
        <s v="SAN FRANCISCO LTDA"/>
        <s v="EL SAGRARIO LTDA"/>
        <s v="CAMARA DE COMERCIO DE AMBATO LTDA"/>
        <s v="MUSHUC RUNA LTDA"/>
        <s v="TOTAL 1ER PISO"/>
        <s v="TOTAL 1ER Y 2DO PISO"/>
      </sharedItems>
    </cacheField>
    <cacheField name="FEC_CORTE" numFmtId="15">
      <sharedItems containsSemiMixedTypes="0" containsNonDate="0" containsDate="1" containsString="0" minDate="2016-01-31T00:00:00" maxDate="2017-01-01T00:00:00" count="12">
        <d v="2016-01-31T00:00:00"/>
        <d v="2016-02-29T00:00:00"/>
        <d v="2016-03-31T00:00:00"/>
        <d v="2016-04-30T00:00:00"/>
        <d v="2016-05-31T00:00:00"/>
        <d v="2016-06-30T00:00:00"/>
        <d v="2016-07-31T00:00:00"/>
        <d v="2016-08-31T00:00:00"/>
        <d v="2016-09-30T00:00:00"/>
        <d v="2016-10-31T00:00:00"/>
        <d v="2016-11-30T00:00:00"/>
        <d v="2016-12-31T00:00:00"/>
      </sharedItems>
    </cacheField>
    <cacheField name="mes" numFmtId="0">
      <sharedItems containsSemiMixedTypes="0" containsString="0" containsNumber="1" containsInteger="1" minValue="1" maxValue="12" count="12">
        <n v="1"/>
        <n v="2"/>
        <n v="3"/>
        <n v="4"/>
        <n v="5"/>
        <n v="6"/>
        <n v="7"/>
        <n v="8"/>
        <n v="9"/>
        <n v="10"/>
        <n v="11"/>
        <n v="12"/>
      </sharedItems>
    </cacheField>
    <cacheField name="A1_DE_1_A_30_DIAS" numFmtId="0">
      <sharedItems containsSemiMixedTypes="0" containsString="0" containsNumber="1" minValue="0" maxValue="11632183.77"/>
    </cacheField>
    <cacheField name="A1_DE_31_A_90DIAS" numFmtId="0">
      <sharedItems containsSemiMixedTypes="0" containsString="0" containsNumber="1" minValue="0" maxValue="16273977.01"/>
    </cacheField>
    <cacheField name="A1_DE_91_A_180_DIAS" numFmtId="0">
      <sharedItems containsSemiMixedTypes="0" containsString="0" containsNumber="1" minValue="0" maxValue="22385923.34"/>
    </cacheField>
    <cacheField name="A1_DE_181_A_360_DIAS" numFmtId="0">
      <sharedItems containsSemiMixedTypes="0" containsString="0" containsNumber="1" minValue="0" maxValue="36016793.75"/>
    </cacheField>
    <cacheField name="A1_DE_MAS_DE_360_DIAS" numFmtId="0">
      <sharedItems containsSemiMixedTypes="0" containsString="0" containsNumber="1" minValue="0" maxValue="79235756.230000004"/>
    </cacheField>
    <cacheField name="A2_DE_1_A_30_DIAS" numFmtId="0">
      <sharedItems containsSemiMixedTypes="0" containsString="0" containsNumber="1" minValue="0" maxValue="438507.78"/>
    </cacheField>
    <cacheField name="A2_DE_31_A_90DIAS" numFmtId="0">
      <sharedItems containsSemiMixedTypes="0" containsString="0" containsNumber="1" minValue="0" maxValue="415729.62"/>
    </cacheField>
    <cacheField name="A2_DE_91_A_180_DIAS" numFmtId="0">
      <sharedItems containsSemiMixedTypes="0" containsString="0" containsNumber="1" minValue="0" maxValue="588679.19999999995"/>
    </cacheField>
    <cacheField name="A2_DE_181_A_360_DIAS" numFmtId="0">
      <sharedItems containsSemiMixedTypes="0" containsString="0" containsNumber="1" minValue="0" maxValue="1060959.96"/>
    </cacheField>
    <cacheField name="A2_DE_MAS_DE_360_DIAS" numFmtId="0">
      <sharedItems containsSemiMixedTypes="0" containsString="0" containsNumber="1" minValue="0" maxValue="4541738.2300000004"/>
    </cacheField>
    <cacheField name="A3_DE_1_A_30_DIAS" numFmtId="0">
      <sharedItems containsSemiMixedTypes="0" containsString="0" containsNumber="1" minValue="0" maxValue="130432"/>
    </cacheField>
    <cacheField name="A3_DE_31_A_90DIAS" numFmtId="0">
      <sharedItems containsSemiMixedTypes="0" containsString="0" containsNumber="1" minValue="0" maxValue="537205.84"/>
    </cacheField>
    <cacheField name="A3_DE_91_A_180_DIAS" numFmtId="0">
      <sharedItems containsSemiMixedTypes="0" containsString="0" containsNumber="1" minValue="0" maxValue="534232.98"/>
    </cacheField>
    <cacheField name="A3_DE_181_A_360_DIAS" numFmtId="0">
      <sharedItems containsSemiMixedTypes="0" containsString="0" containsNumber="1" minValue="0" maxValue="793095.18"/>
    </cacheField>
    <cacheField name="A3_DE_MAS_DE_360_DIAS" numFmtId="0">
      <sharedItems containsSemiMixedTypes="0" containsString="0" containsNumber="1" minValue="0" maxValue="1164824.72"/>
    </cacheField>
    <cacheField name="A4_DE_1_A_30_DIAS" numFmtId="0">
      <sharedItems containsSemiMixedTypes="0" containsString="0" containsNumber="1" minValue="0" maxValue="76674578.530000001"/>
    </cacheField>
    <cacheField name="A4_DE_31_A_90DIAS" numFmtId="0">
      <sharedItems containsSemiMixedTypes="0" containsString="0" containsNumber="1" minValue="0" maxValue="140369122.13999999"/>
    </cacheField>
    <cacheField name="A4_DE_91_A_180_DIAS" numFmtId="0">
      <sharedItems containsSemiMixedTypes="0" containsString="0" containsNumber="1" minValue="0" maxValue="197745262.43000001"/>
    </cacheField>
    <cacheField name="A4_DE_MAS_DE_180_DIAS" numFmtId="0">
      <sharedItems containsSemiMixedTypes="0" containsString="0" containsNumber="1" minValue="0" maxValue="1794175044.29"/>
    </cacheField>
    <cacheField name="A5_DE_1_A_30_DIAS" numFmtId="0">
      <sharedItems containsSemiMixedTypes="0" containsString="0" containsNumber="1" minValue="0" maxValue="7301843.5599999996"/>
    </cacheField>
    <cacheField name="A5_DE_31_A_90DIAS" numFmtId="0">
      <sharedItems containsSemiMixedTypes="0" containsString="0" containsNumber="1" minValue="0" maxValue="8301737.2699999996"/>
    </cacheField>
    <cacheField name="A5_DE_91_A_180_DIAS" numFmtId="0">
      <sharedItems containsSemiMixedTypes="0" containsString="0" containsNumber="1" minValue="0" maxValue="11501439.32"/>
    </cacheField>
    <cacheField name="A5_DE_MAS_DE_180_DIAS" numFmtId="0">
      <sharedItems containsSemiMixedTypes="0" containsString="0" containsNumber="1" minValue="0" maxValue="72602009.370000005"/>
    </cacheField>
    <cacheField name="A6_DE_31_A_90DIAS" numFmtId="0">
      <sharedItems containsSemiMixedTypes="0" containsString="0" containsNumber="1" minValue="0" maxValue="3234919.37"/>
    </cacheField>
    <cacheField name="A6_DE_91_A_180_DIAS" numFmtId="0">
      <sharedItems containsSemiMixedTypes="0" containsString="0" containsNumber="1" minValue="0" maxValue="7606067.6100000003"/>
    </cacheField>
    <cacheField name="A6_DE_181_A_360_DIAS" numFmtId="0">
      <sharedItems containsSemiMixedTypes="0" containsString="0" containsNumber="1" minValue="0" maxValue="7265191.0599999996"/>
    </cacheField>
    <cacheField name="A6_DE_MAS_DE_360_DIAS" numFmtId="0">
      <sharedItems containsSemiMixedTypes="0" containsString="0" containsNumber="1" minValue="0" maxValue="28250171.989999998"/>
    </cacheField>
    <cacheField name="A7_DE_1_A_30_DIAS" numFmtId="0">
      <sharedItems containsSemiMixedTypes="0" containsString="0" containsNumber="1" minValue="0" maxValue="3748839"/>
    </cacheField>
    <cacheField name="A7_DE_31_A_90DIAS" numFmtId="0">
      <sharedItems containsSemiMixedTypes="0" containsString="0" containsNumber="1" minValue="0" maxValue="6770560.9400000004"/>
    </cacheField>
    <cacheField name="A7_DE_181_A_360_DIAS" numFmtId="0">
      <sharedItems containsSemiMixedTypes="0" containsString="0" containsNumber="1" minValue="0" maxValue="29632995.77"/>
    </cacheField>
    <cacheField name="A7_DE_MAS_DE_360_DIAS" numFmtId="0">
      <sharedItems containsSemiMixedTypes="0" containsString="0" containsNumber="1" minValue="0" maxValue="236031570.94"/>
    </cacheField>
    <cacheField name="A8_DE_1_A_30_DIAS" numFmtId="0">
      <sharedItems containsSemiMixedTypes="0" containsString="0" containsNumber="1" minValue="0" maxValue="352260.84"/>
    </cacheField>
    <cacheField name="A8_DE_31_A_90DIAS" numFmtId="0">
      <sharedItems containsSemiMixedTypes="0" containsString="0" containsNumber="1" minValue="0" maxValue="275107.82"/>
    </cacheField>
    <cacheField name="A8_DE_91_A_360_DIAS" numFmtId="0">
      <sharedItems containsSemiMixedTypes="0" containsString="0" containsNumber="1" minValue="0" maxValue="999525.33"/>
    </cacheField>
    <cacheField name="A8_DE_MAS_DE_360_DIAS" numFmtId="0">
      <sharedItems containsSemiMixedTypes="0" containsString="0" containsNumber="1" minValue="0" maxValue="6004829.4800000004"/>
    </cacheField>
    <cacheField name="A9_DE_1_A_30_DIAS" numFmtId="0">
      <sharedItems containsSemiMixedTypes="0" containsString="0" containsNumber="1" minValue="0" maxValue="269743.35999999999"/>
    </cacheField>
    <cacheField name="A9_DE_31_A_90DIAS" numFmtId="0">
      <sharedItems containsSemiMixedTypes="0" containsString="0" containsNumber="1" minValue="0" maxValue="402742.88"/>
    </cacheField>
    <cacheField name="A9_DE_91_A_360_DIAS" numFmtId="0">
      <sharedItems containsSemiMixedTypes="0" containsString="0" containsNumber="1" minValue="0" maxValue="923100.39"/>
    </cacheField>
    <cacheField name="A9_DE_MAS_DE_360_DIAS" numFmtId="0">
      <sharedItems containsSemiMixedTypes="0" containsString="0" containsNumber="1" minValue="0" maxValue="892108.85"/>
    </cacheField>
    <cacheField name="A10_DE_1_A_30_DIAS" numFmtId="0">
      <sharedItems containsSemiMixedTypes="0" containsString="0" containsNumber="1" minValue="0" maxValue="62161488.229999997"/>
    </cacheField>
    <cacheField name="A10_DE_31_A_90DIAS" numFmtId="0">
      <sharedItems containsSemiMixedTypes="0" containsString="0" containsNumber="1" minValue="0" maxValue="108699215.08"/>
    </cacheField>
    <cacheField name="A10_DE_91_A_180_DIAS" numFmtId="0">
      <sharedItems containsSemiMixedTypes="0" containsString="0" containsNumber="1" minValue="0" maxValue="157862905.13999999"/>
    </cacheField>
    <cacheField name="A10_DE_181_A_360_DIAS" numFmtId="0">
      <sharedItems containsSemiMixedTypes="0" containsString="0" containsNumber="1" minValue="0" maxValue="289213153.88"/>
    </cacheField>
    <cacheField name="A10_DE_MAS_DE_360_DIAS" numFmtId="0">
      <sharedItems containsSemiMixedTypes="0" containsString="0" containsNumber="1" minValue="0" maxValue="868571208.13"/>
    </cacheField>
    <cacheField name="A11_DE_1_A_30_DIAS" numFmtId="0">
      <sharedItems containsSemiMixedTypes="0" containsString="0" containsNumber="1" minValue="0" maxValue="9775906.0500000007"/>
    </cacheField>
    <cacheField name="A11_DE_31_A_90DIAS" numFmtId="0">
      <sharedItems containsSemiMixedTypes="0" containsString="0" containsNumber="1" minValue="0" maxValue="10172531.07"/>
    </cacheField>
    <cacheField name="A11_DE_91_A_180_DIAS" numFmtId="0">
      <sharedItems containsSemiMixedTypes="0" containsString="0" containsNumber="1" minValue="0" maxValue="14149705.34"/>
    </cacheField>
    <cacheField name="A11_DE_181_A_360_DIAS" numFmtId="0">
      <sharedItems containsSemiMixedTypes="0" containsString="0" containsNumber="1" minValue="0" maxValue="23404174.949999999"/>
    </cacheField>
    <cacheField name="A11_DE_MAS_DE_360_DIAS" numFmtId="0">
      <sharedItems containsSemiMixedTypes="0" containsString="0" containsNumber="1" minValue="0" maxValue="46996398.710000001"/>
    </cacheField>
    <cacheField name="A12_DE_1_A_30_DIAS" numFmtId="0">
      <sharedItems containsSemiMixedTypes="0" containsString="0" containsNumber="1" minValue="0" maxValue="3779807.74"/>
    </cacheField>
    <cacheField name="A12_DE_31_A_90DIAS" numFmtId="0">
      <sharedItems containsSemiMixedTypes="0" containsString="0" containsNumber="1" minValue="0" maxValue="10070547.199999999"/>
    </cacheField>
    <cacheField name="A12_DE_91_A_180_DIAS" numFmtId="0">
      <sharedItems containsSemiMixedTypes="0" containsString="0" containsNumber="1" minValue="0" maxValue="11235770.07"/>
    </cacheField>
    <cacheField name="A12_DE_181_A_360_DIAS" numFmtId="0">
      <sharedItems containsSemiMixedTypes="0" containsString="0" containsNumber="1" minValue="0" maxValue="15398557.6"/>
    </cacheField>
    <cacheField name="A12_DE_MAS_DE_360_DIAS" numFmtId="0">
      <sharedItems containsSemiMixedTypes="0" containsString="0" containsNumber="1" minValue="0" maxValue="24273149.48"/>
    </cacheField>
    <cacheField name="A13_DE_1_A_30_DIAS" numFmtId="0">
      <sharedItems containsSemiMixedTypes="0" containsString="0" containsNumber="1" minValue="0" maxValue="37896.01"/>
    </cacheField>
    <cacheField name="A13_DE_31_A_90DIAS" numFmtId="0">
      <sharedItems containsSemiMixedTypes="0" containsString="0" containsNumber="1" minValue="0" maxValue="79599.759999999995"/>
    </cacheField>
    <cacheField name="A13_DE_91_A_180_DIAS" numFmtId="0">
      <sharedItems containsSemiMixedTypes="0" containsString="0" containsNumber="1" minValue="0" maxValue="115199.42"/>
    </cacheField>
    <cacheField name="A13_DE_181_A_360_DIAS" numFmtId="0">
      <sharedItems containsSemiMixedTypes="0" containsString="0" containsNumber="1" minValue="0" maxValue="241667.96"/>
    </cacheField>
    <cacheField name="A13_DE_MAS_DE_360_DIAS" numFmtId="0">
      <sharedItems containsSemiMixedTypes="0" containsString="0" containsNumber="1" minValue="0" maxValue="1854878.25"/>
    </cacheField>
    <cacheField name="A14_DE_1_A_30_DIAS" numFmtId="0">
      <sharedItems containsSemiMixedTypes="0" containsString="0" containsNumber="1" containsInteger="1" minValue="0" maxValue="0" count="1">
        <n v="0"/>
      </sharedItems>
    </cacheField>
    <cacheField name="A14_DE_31_A_90DIAS" numFmtId="0">
      <sharedItems containsSemiMixedTypes="0" containsString="0" containsNumber="1" containsInteger="1" minValue="0" maxValue="0" count="1">
        <n v="0"/>
      </sharedItems>
    </cacheField>
    <cacheField name="A14_DE_91_A_180_DIAS" numFmtId="0">
      <sharedItems containsSemiMixedTypes="0" containsString="0" containsNumber="1" containsInteger="1" minValue="0" maxValue="0" count="1">
        <n v="0"/>
      </sharedItems>
    </cacheField>
    <cacheField name="A14_DE_181_A_360_DIAS" numFmtId="0">
      <sharedItems containsSemiMixedTypes="0" containsString="0" containsNumber="1" containsInteger="1" minValue="0" maxValue="0" count="1">
        <n v="0"/>
      </sharedItems>
    </cacheField>
    <cacheField name="A14_DE_MAS_DE_360_DIAS" numFmtId="0">
      <sharedItems containsSemiMixedTypes="0" containsString="0" containsNumber="1" containsInteger="1" minValue="0" maxValue="0" count="1">
        <n v="0"/>
      </sharedItems>
    </cacheField>
    <cacheField name="A15_DE_1_A_30_DIAS" numFmtId="0">
      <sharedItems containsSemiMixedTypes="0" containsString="0" containsNumber="1" containsInteger="1" minValue="0" maxValue="0" count="1">
        <n v="0"/>
      </sharedItems>
    </cacheField>
    <cacheField name="A15_DE_31_A_90DIAS" numFmtId="0">
      <sharedItems containsSemiMixedTypes="0" containsString="0" containsNumber="1" containsInteger="1" minValue="0" maxValue="0" count="1">
        <n v="0"/>
      </sharedItems>
    </cacheField>
    <cacheField name="A15_DE_91_A_180_DIAS" numFmtId="0">
      <sharedItems containsSemiMixedTypes="0" containsString="0" containsNumber="1" containsInteger="1" minValue="0" maxValue="0" count="1">
        <n v="0"/>
      </sharedItems>
    </cacheField>
    <cacheField name="A15_DE_181_A_360_DIAS" numFmtId="0">
      <sharedItems containsSemiMixedTypes="0" containsString="0" containsNumber="1" containsInteger="1" minValue="0" maxValue="0" count="1">
        <n v="0"/>
      </sharedItems>
    </cacheField>
    <cacheField name="A15_DE_MAS_DE_360_DIAS" numFmtId="0">
      <sharedItems containsSemiMixedTypes="0" containsString="0" containsNumber="1" containsInteger="1" minValue="0" maxValue="0" count="1">
        <n v="0"/>
      </sharedItems>
    </cacheField>
    <cacheField name="A16_DE_1_A_30_DIAS" numFmtId="0">
      <sharedItems containsSemiMixedTypes="0" containsString="0" containsNumber="1" minValue="0" maxValue="18080.62"/>
    </cacheField>
    <cacheField name="A16_DE_31_A_90DIAS" numFmtId="0">
      <sharedItems containsSemiMixedTypes="0" containsString="0" containsNumber="1" minValue="0" maxValue="33418.980000000003"/>
    </cacheField>
    <cacheField name="A16_DE_91_A_180_DIAS" numFmtId="0">
      <sharedItems containsSemiMixedTypes="0" containsString="0" containsNumber="1" minValue="0" maxValue="49636.15"/>
    </cacheField>
    <cacheField name="A16_DE_181_A_360_DIAS" numFmtId="0">
      <sharedItems containsSemiMixedTypes="0" containsString="0" containsNumber="1" minValue="0" maxValue="96709.36"/>
    </cacheField>
    <cacheField name="A16_DE_MAS_DE_360_DIAS" numFmtId="0">
      <sharedItems containsSemiMixedTypes="0" containsString="0" containsNumber="1" minValue="0" maxValue="450332.89"/>
    </cacheField>
    <cacheField name="A17_DE_1_A_30_DIAS" numFmtId="0">
      <sharedItems containsSemiMixedTypes="0" containsString="0" containsNumber="1" containsInteger="1" minValue="0" maxValue="0" count="1">
        <n v="0"/>
      </sharedItems>
    </cacheField>
    <cacheField name="A17_DE_31_A_90DIAS" numFmtId="0">
      <sharedItems containsSemiMixedTypes="0" containsString="0" containsNumber="1" containsInteger="1" minValue="0" maxValue="0" count="1">
        <n v="0"/>
      </sharedItems>
    </cacheField>
    <cacheField name="A17_DE_91_A_180_DIAS" numFmtId="0">
      <sharedItems containsSemiMixedTypes="0" containsString="0" containsNumber="1" containsInteger="1" minValue="0" maxValue="0" count="1">
        <n v="0"/>
      </sharedItems>
    </cacheField>
    <cacheField name="A17_DE_181_A_360_DIAS" numFmtId="0">
      <sharedItems containsSemiMixedTypes="0" containsString="0" containsNumber="1" containsInteger="1" minValue="0" maxValue="0" count="1">
        <n v="0"/>
      </sharedItems>
    </cacheField>
    <cacheField name="A17_DE_MAS_DE_360_DIAS" numFmtId="0">
      <sharedItems containsSemiMixedTypes="0" containsString="0" containsNumber="1" containsInteger="1" minValue="0" maxValue="0" count="1">
        <n v="0"/>
      </sharedItems>
    </cacheField>
    <cacheField name="A18_DE_1_A_30_DIAS" numFmtId="0">
      <sharedItems containsSemiMixedTypes="0" containsString="0" containsNumber="1" containsInteger="1" minValue="0" maxValue="0" count="1">
        <n v="0"/>
      </sharedItems>
    </cacheField>
    <cacheField name="A18_DE_31_A_90DIAS" numFmtId="0">
      <sharedItems containsSemiMixedTypes="0" containsString="0" containsNumber="1" containsInteger="1" minValue="0" maxValue="0" count="1">
        <n v="0"/>
      </sharedItems>
    </cacheField>
    <cacheField name="A18_DE_91_A_180_DIAS" numFmtId="0">
      <sharedItems containsSemiMixedTypes="0" containsString="0" containsNumber="1" containsInteger="1" minValue="0" maxValue="0" count="1">
        <n v="0"/>
      </sharedItems>
    </cacheField>
    <cacheField name="A18_DE_181_A_360_DIAS" numFmtId="0">
      <sharedItems containsSemiMixedTypes="0" containsString="0" containsNumber="1" containsInteger="1" minValue="0" maxValue="0" count="1">
        <n v="0"/>
      </sharedItems>
    </cacheField>
    <cacheField name="A18_DE_MAS_DE_360_DIAS" numFmtId="0">
      <sharedItems containsSemiMixedTypes="0" containsString="0" containsNumber="1" containsInteger="1" minValue="0" maxValue="0" count="1">
        <n v="0"/>
      </sharedItems>
    </cacheField>
    <cacheField name="A19_DE_1_A_30_DIAS" numFmtId="0">
      <sharedItems containsSemiMixedTypes="0" containsString="0" containsNumber="1" minValue="0" maxValue="2399710.86"/>
    </cacheField>
    <cacheField name="A19_DE_31_A_90DIAS" numFmtId="0">
      <sharedItems containsSemiMixedTypes="0" containsString="0" containsNumber="1" minValue="0" maxValue="4944302.49"/>
    </cacheField>
    <cacheField name="A19_DE_91_A_180_DIAS" numFmtId="0">
      <sharedItems containsSemiMixedTypes="0" containsString="0" containsNumber="1" minValue="0" maxValue="7362507.0599999996"/>
    </cacheField>
    <cacheField name="A19_DE_181_A_360_DIAS" numFmtId="0">
      <sharedItems containsSemiMixedTypes="0" containsString="0" containsNumber="1" minValue="0" maxValue="15424396.300000001"/>
    </cacheField>
    <cacheField name="A19_DE_MAS_DE_360_DIAS" numFmtId="0">
      <sharedItems containsSemiMixedTypes="0" containsString="0" containsNumber="1" minValue="0" maxValue="91168585.400000006"/>
    </cacheField>
    <cacheField name="A20_DE_1_A_30_DIAS" numFmtId="0">
      <sharedItems containsSemiMixedTypes="0" containsString="0" containsNumber="1" minValue="0" maxValue="29218.54"/>
    </cacheField>
    <cacheField name="A20_DE_31_A_90DIAS" numFmtId="0">
      <sharedItems containsSemiMixedTypes="0" containsString="0" containsNumber="1" minValue="0" maxValue="30315.4"/>
    </cacheField>
    <cacheField name="A20_DE_91_A_180_DIAS" numFmtId="0">
      <sharedItems containsSemiMixedTypes="0" containsString="0" containsNumber="1" minValue="0" maxValue="43209.77"/>
    </cacheField>
    <cacheField name="A20_DE_181_A_360_DIAS" numFmtId="0">
      <sharedItems containsSemiMixedTypes="0" containsString="0" containsNumber="1" minValue="0" maxValue="86715.75"/>
    </cacheField>
    <cacheField name="A20_DE_MAS_DE_360_DIAS" numFmtId="0">
      <sharedItems containsSemiMixedTypes="0" containsString="0" containsNumber="1" minValue="0" maxValue="589047.81000000006"/>
    </cacheField>
    <cacheField name="A21_DE_1_A_30_DIAS" numFmtId="0">
      <sharedItems containsSemiMixedTypes="0" containsString="0" containsNumber="1" minValue="0" maxValue="12756.38" count="29">
        <n v="0"/>
        <n v="225.14"/>
        <n v="147.33000000000001"/>
        <n v="149.19"/>
        <n v="352.96"/>
        <n v="115.27"/>
        <n v="116.57"/>
        <n v="130.11000000000001"/>
        <n v="131.66"/>
        <n v="133.97999999999999"/>
        <n v="56.3"/>
        <n v="1468.13"/>
        <n v="1117.24"/>
        <n v="11161.6"/>
        <n v="2450.06"/>
        <n v="2660.09"/>
        <n v="1631.37"/>
        <n v="116.47"/>
        <n v="1327.32"/>
        <n v="2081.54"/>
        <n v="1067.96"/>
        <n v="1377.27"/>
        <n v="1630.42"/>
        <n v="2795.45"/>
        <n v="3315.25"/>
        <n v="12756.38"/>
        <n v="4104.7700000000004"/>
        <n v="4687.93"/>
        <n v="2118.31"/>
      </sharedItems>
    </cacheField>
    <cacheField name="A21_DE_31_A_90DIAS" numFmtId="0">
      <sharedItems containsSemiMixedTypes="0" containsString="0" containsNumber="1" minValue="0" maxValue="16816.62"/>
    </cacheField>
    <cacheField name="A21_DE_91_A_180_DIAS" numFmtId="0">
      <sharedItems containsSemiMixedTypes="0" containsString="0" containsNumber="1" minValue="0" maxValue="13114.44"/>
    </cacheField>
    <cacheField name="A21_DE_181_A_360_DIAS" numFmtId="0">
      <sharedItems containsSemiMixedTypes="0" containsString="0" containsNumber="1" minValue="0" maxValue="10349.969999999999" count="27">
        <n v="0"/>
        <n v="90.96"/>
        <n v="284.7"/>
        <n v="480.88"/>
        <n v="8218.9"/>
        <n v="91.7"/>
        <n v="66.510000000000005"/>
        <n v="11.89"/>
        <n v="159.24"/>
        <n v="318.02"/>
        <n v="457.18"/>
        <n v="467.39"/>
        <n v="463.38"/>
        <n v="375.47"/>
        <n v="589.27"/>
        <n v="1091.75"/>
        <n v="1378.91"/>
        <n v="1819.57"/>
        <n v="1986.41"/>
        <n v="1830.97"/>
        <n v="1575.99"/>
        <n v="1103.6400000000001"/>
        <n v="1538.15"/>
        <n v="2228.5500000000002"/>
        <n v="2728.29"/>
        <n v="2845.75"/>
        <n v="10349.969999999999"/>
      </sharedItems>
    </cacheField>
    <cacheField name="A21_DE_MAS_DE_360_DIAS" numFmtId="0">
      <sharedItems containsSemiMixedTypes="0" containsString="0" containsNumber="1" minValue="0" maxValue="2843.43" count="14">
        <n v="0"/>
        <n v="11.89"/>
        <n v="159.24"/>
        <n v="318.02"/>
        <n v="4"/>
        <n v="6"/>
        <n v="212.81"/>
        <n v="436.95"/>
        <n v="939.43"/>
        <n v="1857.91"/>
        <n v="2525.41"/>
        <n v="951.32"/>
        <n v="2017.15"/>
        <n v="2843.43"/>
      </sharedItems>
    </cacheField>
    <cacheField name="A22_DE_1_A_30_DIAS" numFmtId="0">
      <sharedItems containsSemiMixedTypes="0" containsString="0" containsNumber="1" containsInteger="1" minValue="0" maxValue="0" count="1">
        <n v="0"/>
      </sharedItems>
    </cacheField>
    <cacheField name="A22_DE_31_A_90DIAS" numFmtId="0">
      <sharedItems containsSemiMixedTypes="0" containsString="0" containsNumber="1" containsInteger="1" minValue="0" maxValue="0" count="1">
        <n v="0"/>
      </sharedItems>
    </cacheField>
    <cacheField name="A22_DE_91_A_360_DIAS" numFmtId="0">
      <sharedItems containsSemiMixedTypes="0" containsString="0" containsNumber="1" containsInteger="1" minValue="0" maxValue="0" count="1">
        <n v="0"/>
      </sharedItems>
    </cacheField>
    <cacheField name="A22_DE_MAS_DE_360_DIAS" numFmtId="0">
      <sharedItems containsSemiMixedTypes="0" containsString="0" containsNumber="1" containsInteger="1" minValue="0" maxValue="0" count="1">
        <n v="0"/>
      </sharedItems>
    </cacheField>
    <cacheField name="A23_DE_1_A_30_DIAS" numFmtId="0">
      <sharedItems containsSemiMixedTypes="0" containsString="0" containsNumber="1" containsInteger="1" minValue="0" maxValue="0" count="1">
        <n v="0"/>
      </sharedItems>
    </cacheField>
    <cacheField name="A23_DE_31_A_90DIAS" numFmtId="0">
      <sharedItems containsSemiMixedTypes="0" containsString="0" containsNumber="1" containsInteger="1" minValue="0" maxValue="0" count="1">
        <n v="0"/>
      </sharedItems>
    </cacheField>
    <cacheField name="A23_DE_91_A_360_DIAS" numFmtId="0">
      <sharedItems containsSemiMixedTypes="0" containsString="0" containsNumber="1" containsInteger="1" minValue="0" maxValue="0" count="1">
        <n v="0"/>
      </sharedItems>
    </cacheField>
    <cacheField name="A23_DE_MAS_DE_360_DIAS" numFmtId="0">
      <sharedItems containsSemiMixedTypes="0" containsString="0" containsNumber="1" containsInteger="1" minValue="0" maxValue="0" count="1">
        <n v="0"/>
      </sharedItems>
    </cacheField>
    <cacheField name="A24_DE_1_A_30_DIAS" numFmtId="0">
      <sharedItems containsSemiMixedTypes="0" containsString="0" containsNumber="1" containsInteger="1" minValue="0" maxValue="0" count="1">
        <n v="0"/>
      </sharedItems>
    </cacheField>
    <cacheField name="A24_DE_31_A_90DIAS" numFmtId="0">
      <sharedItems containsSemiMixedTypes="0" containsString="0" containsNumber="1" containsInteger="1" minValue="0" maxValue="0" count="1">
        <n v="0"/>
      </sharedItems>
    </cacheField>
    <cacheField name="A24_DE_91_A_360_DIAS" numFmtId="0">
      <sharedItems containsSemiMixedTypes="0" containsString="0" containsNumber="1" containsInteger="1" minValue="0" maxValue="0" count="1">
        <n v="0"/>
      </sharedItems>
    </cacheField>
    <cacheField name="A24_DE_MAS_DE_360_DIAS" numFmtId="0">
      <sharedItems containsSemiMixedTypes="0" containsString="0" containsNumber="1" containsInteger="1" minValue="0" maxValue="0" count="1">
        <n v="0"/>
      </sharedItems>
    </cacheField>
    <cacheField name="A25_DE_1_A_30_DIAS" numFmtId="0">
      <sharedItems containsSemiMixedTypes="0" containsString="0" containsNumber="1" containsInteger="1" minValue="0" maxValue="0" count="1">
        <n v="0"/>
      </sharedItems>
    </cacheField>
    <cacheField name="A25_DE_31_A_90DIAS" numFmtId="0">
      <sharedItems containsSemiMixedTypes="0" containsString="0" containsNumber="1" containsInteger="1" minValue="0" maxValue="0" count="1">
        <n v="0"/>
      </sharedItems>
    </cacheField>
    <cacheField name="A25_DE_91_A_180_DIAS" numFmtId="0">
      <sharedItems containsSemiMixedTypes="0" containsString="0" containsNumber="1" containsInteger="1" minValue="0" maxValue="0" count="1">
        <n v="0"/>
      </sharedItems>
    </cacheField>
    <cacheField name="A25_DE_181_A_360_DIAS" numFmtId="0">
      <sharedItems containsSemiMixedTypes="0" containsString="0" containsNumber="1" containsInteger="1" minValue="0" maxValue="0" count="1">
        <n v="0"/>
      </sharedItems>
    </cacheField>
    <cacheField name="A25_DE_MAS_DE_360_DIAS" numFmtId="0">
      <sharedItems containsSemiMixedTypes="0" containsString="0" containsNumber="1" containsInteger="1" minValue="0" maxValue="0" count="1">
        <n v="0"/>
      </sharedItems>
    </cacheField>
    <cacheField name="A26_DE_1_A_30_DIAS" numFmtId="0">
      <sharedItems containsSemiMixedTypes="0" containsString="0" containsNumber="1" containsInteger="1" minValue="0" maxValue="0" count="1">
        <n v="0"/>
      </sharedItems>
    </cacheField>
    <cacheField name="A26_DE_31_A_90DIAS" numFmtId="0">
      <sharedItems containsSemiMixedTypes="0" containsString="0" containsNumber="1" containsInteger="1" minValue="0" maxValue="0" count="1">
        <n v="0"/>
      </sharedItems>
    </cacheField>
    <cacheField name="A26_DE_91_A_180_DIAS" numFmtId="0">
      <sharedItems containsSemiMixedTypes="0" containsString="0" containsNumber="1" containsInteger="1" minValue="0" maxValue="0" count="1">
        <n v="0"/>
      </sharedItems>
    </cacheField>
    <cacheField name="A26_DE_181_A_360_DIAS" numFmtId="0">
      <sharedItems containsSemiMixedTypes="0" containsString="0" containsNumber="1" containsInteger="1" minValue="0" maxValue="0" count="1">
        <n v="0"/>
      </sharedItems>
    </cacheField>
    <cacheField name="A26_DE_MAS_DE_360_DIAS" numFmtId="0">
      <sharedItems containsSemiMixedTypes="0" containsString="0" containsNumber="1" containsInteger="1" minValue="0" maxValue="0" count="1">
        <n v="0"/>
      </sharedItems>
    </cacheField>
    <cacheField name="A27_DE_1_A_30_DIAS" numFmtId="0">
      <sharedItems containsSemiMixedTypes="0" containsString="0" containsNumber="1" containsInteger="1" minValue="0" maxValue="0" count="1">
        <n v="0"/>
      </sharedItems>
    </cacheField>
    <cacheField name="A27_DE_31_A_90DIAS" numFmtId="0">
      <sharedItems containsSemiMixedTypes="0" containsString="0" containsNumber="1" containsInteger="1" minValue="0" maxValue="0" count="1">
        <n v="0"/>
      </sharedItems>
    </cacheField>
    <cacheField name="A27_DE_91_A_180_DIAS" numFmtId="0">
      <sharedItems containsSemiMixedTypes="0" containsString="0" containsNumber="1" containsInteger="1" minValue="0" maxValue="0" count="1">
        <n v="0"/>
      </sharedItems>
    </cacheField>
    <cacheField name="A27_DE_181_A_360_DIAS" numFmtId="0">
      <sharedItems containsSemiMixedTypes="0" containsString="0" containsNumber="1" containsInteger="1" minValue="0" maxValue="0" count="1">
        <n v="0"/>
      </sharedItems>
    </cacheField>
    <cacheField name="A27_DE_MAS_DE_360_DIAS" numFmtId="0">
      <sharedItems containsSemiMixedTypes="0" containsString="0" containsNumber="1" containsInteger="1" minValue="0" maxValue="0" count="1">
        <n v="0"/>
      </sharedItems>
    </cacheField>
    <cacheField name="carte_impr" numFmtId="0">
      <sharedItems containsSemiMixedTypes="0" containsString="0" containsNumber="1" minValue="245230.04" maxValue="321553140.75999999"/>
    </cacheField>
    <cacheField name="A14" numFmtId="0">
      <sharedItems containsSemiMixedTypes="0" containsString="0" containsNumber="1" minValue="11294729.24" maxValue="4118316986.4599991"/>
    </cacheField>
    <cacheField name="A1499" numFmtId="0">
      <sharedItems containsSemiMixedTypes="0" containsString="0" containsNumber="1" minValue="-302081441.04000002" maxValue="-731755.32"/>
    </cacheField>
    <cacheField name="Carte_bruta" numFmtId="0">
      <sharedItems containsSemiMixedTypes="0" containsString="0" containsNumber="1" minValue="12026484.560000001" maxValue="4419051957.5799999"/>
    </cacheField>
  </cacheFields>
  <extLst>
    <ext xmlns:x14="http://schemas.microsoft.com/office/spreadsheetml/2009/9/main" uri="{725AE2AE-9491-48be-B2B4-4EB974FC3084}">
      <x14:pivotCacheDefinition pivotCacheId="10"/>
    </ext>
  </extLst>
</pivotCacheDefinition>
</file>

<file path=xl/pivotCache/pivotCacheDefinition2.xml><?xml version="1.0" encoding="utf-8"?>
<pivotCacheDefinition xmlns="http://schemas.openxmlformats.org/spreadsheetml/2006/main" xmlns:r="http://schemas.openxmlformats.org/officeDocument/2006/relationships" r:id="rId1" refreshedBy="Andrade Dennys Santiago" refreshedDate="43194.720576736108" createdVersion="5" refreshedVersion="5" minRefreshableVersion="3" recordCount="26">
  <cacheSource type="worksheet">
    <worksheetSource name="Tabla1"/>
  </cacheSource>
  <cacheFields count="20">
    <cacheField name="NOM_RAZON_SOCIAL" numFmtId="0">
      <sharedItems containsBlank="1" count="30">
        <s v="23 DE JULIO LTDA"/>
        <s v="29 DE OCTUBRE LTDA"/>
        <s v="ALIANZA DEL VALLE LTDA"/>
        <s v="ANDALUCIA LTDA"/>
        <s v="ATUNTAQUI LTDA"/>
        <s v="CAJA CENTRAL FINANCOOP"/>
        <s v="CAMARA DE COMERCIO DE AMBATO LTDA"/>
        <s v="COOPROGRESO LTDA"/>
        <s v="DE LA PEQUEÑA EMPRESA BIBLIAN LTDA"/>
        <s v="DE LA PEQUEÑA EMPRESA DE COTOPAXI LTDA"/>
        <s v="DE LA PEQUEÑA EMPRESA DE PASTAZA LTDA"/>
        <s v="DE LOS SERVIDORES PUBLICOS DEL MINISTERIO DE EDUCACION Y CULTURA"/>
        <s v="EL SAGRARIO LTDA"/>
        <s v="JARDIN AZUAYO LTDA"/>
        <s v="JUVENTUD ECUATORIANA PROGRESISTA LTDA"/>
        <s v="MUSHUC RUNA LTDA"/>
        <s v="OSCUS LTDA"/>
        <s v="PABLO MUÑOZ VEGA LTDA"/>
        <s v="PILAHUIN TIO LTDA"/>
        <s v="POLICIA NACIONAL LTDA"/>
        <s v="RIOBAMBA LTDA"/>
        <s v="SAN FRANCISCO LTDA"/>
        <s v="SAN JOSE LTDA"/>
        <s v="SANTA ROSA LTDA"/>
        <s v="TULCAN LTDA"/>
        <s v="VICENTINA MANUEL ESTEBAN GODOY ORTEGA LTDA"/>
        <m u="1"/>
        <s v="PRIMER PISO" u="1"/>
        <s v="Total general" u="1"/>
        <s v="SEGUNDO PISO" u="1"/>
      </sharedItems>
    </cacheField>
    <cacheField name="NUM_RUC" numFmtId="0">
      <sharedItems containsBlank="1" count="28">
        <s v="1790093204001"/>
        <s v="1790567699001"/>
        <s v="1790501469001"/>
        <s v="1790325083001"/>
        <s v="1090033456001"/>
        <s v="1791708040001"/>
        <s v="1890080967001"/>
        <s v="1790451801001"/>
        <s v="0390027923001"/>
        <s v="0590052000001"/>
        <s v="1690012606001"/>
        <s v="1790979016001"/>
        <s v="1890037646001"/>
        <s v="0190155722001"/>
        <s v="0190115798001"/>
        <s v="1890141877001"/>
        <s v="1890001323001"/>
        <s v="0490001883001"/>
        <s v="1091720902001"/>
        <s v="1790866084001"/>
        <s v="0690045389001"/>
        <s v="1890003628001"/>
        <s v="0290003288001"/>
        <s v="0790024656001"/>
        <s v="0490002669001"/>
        <s v="1190068389001"/>
        <s v="" u="1"/>
        <m u="1"/>
      </sharedItems>
    </cacheField>
    <cacheField name="Direccin" numFmtId="0">
      <sharedItems containsBlank="1" count="28">
        <s v="SUCRE  E132 JUAN MONTALVO Y TERAN"/>
        <s v="MARISCAL SUCRE  OE6-140  CAÑARIS"/>
        <s v="DUCHICELA S/N  HUANCAVILCA"/>
        <s v="JORGE PIEDRA  OE5-95  AZOGUES"/>
        <s v="RIO AMAZONAS 1217 SUCRE"/>
        <s v="AV. 6 DE DICIEMBRE N33-55 AV. ELOY ALFARO"/>
        <s v="MONTALVO 3-43 ROCAFUERTE"/>
        <s v="AV. MANUEL CÓRDOVA GALARZA  S/N  MARIETA DE VEINTIMILLA 9380"/>
        <s v="MARISCAL SUCRE 3-38 DANIEL MUÑOZ"/>
        <s v="SANCHEZ DE ORELLANA 1544 RAMIREZ FITA"/>
        <s v="Atahualpa S/N GENERAL VILLAMIL"/>
        <s v="EL ORO  N19-22  AV. UNIVERSITARIA"/>
        <s v="SUCRE  S/N QUITO"/>
        <s v="BENIGNO MALO  27638 ENTRE GRAN COLOMBIA Y SIMON BOLIVAR. 9-75 GRAN COLOMBIA"/>
        <s v="AV. ORDOÑEZ LAZO, KM6 SAYAUSÍ SN CENTRO PARROQUIAL SAYAUSI"/>
        <s v="MONTALVO S/N ENTRE JUAN BENIGNO VELA Y Av. CEVALLOS"/>
        <s v="LALAMA  0639 SUCRE Y BOLIVAR"/>
        <s v="COLON   S/N 10 DE AGOSTO"/>
        <s v="SUCRE 11-09 MORALES"/>
        <s v="VOZ ANDES N 42 – 42  AV. AMÉRICA"/>
        <s v="10 DE AGOSTO  S/N  CRISTOBAL COLON"/>
        <s v="MONTALVO   S/N 12 DE NOVIEMBRE"/>
        <s v="CHIMBORAZO 536 TRES DE MARZO"/>
        <s v="CUENCA  S/N  LIBERTAD"/>
        <s v="SUCRE 54061 ATAHUALPA"/>
        <s v="BOLÍVAR  1056 AZUAY"/>
        <s v="" u="1"/>
        <m u="1"/>
      </sharedItems>
    </cacheField>
    <cacheField name="Telfono" numFmtId="0">
      <sharedItems containsBlank="1" count="28">
        <s v="022362191"/>
        <s v="022640509"/>
        <s v="022998600"/>
        <s v="023301920"/>
        <s v="062909399"/>
        <s v="022553117"/>
        <s v="032826057"/>
        <s v="024000900"/>
        <s v="072230836"/>
        <s v="032807900"/>
        <s v="032883042"/>
        <s v="022237782"/>
        <s v="032997999"/>
        <s v="072833255"/>
        <s v="074135000"/>
        <s v="032826810"/>
        <s v="032821131"/>
        <s v="062980382"/>
        <s v="062927234"/>
        <s v="3984999"/>
        <s v="032962431"/>
        <s v="032824270"/>
        <s v="032630297"/>
        <s v="072944190"/>
        <s v="062960404"/>
        <s v="072584800"/>
        <s v="" u="1"/>
        <m u="1"/>
      </sharedItems>
    </cacheField>
    <cacheField name="Email" numFmtId="0">
      <sharedItems containsBlank="1" count="28">
        <s v="lecheverria@coop23dejulio.fin.ec"/>
        <s v="eeguez@29deoctubre.fin.ec"/>
        <s v="jzambrano@alianzadelvalle.fin.ec"/>
        <s v="gerenciageneral@andalucia.fin.ec"/>
        <s v="secretaria@atuntaqui.fin.ec"/>
        <s v="gerencia@financoop.net"/>
        <s v="vvaldez@ccca.fin.ec"/>
        <s v="gerencia@cooprogreso.fin.ec"/>
        <s v="info@cacpebiblian.fin.ec"/>
        <s v="vescobar@cacpeco.com"/>
        <s v="secretariacacpepas@gmail.com"/>
        <s v="vinicioa@cacspmec.fin.ec"/>
        <s v="fvelastegui@elsagrario.fin.ec"/>
        <s v="coopjardinazuayo@jardinazuayo.fin.ec"/>
        <s v="falvear@coopjep.fin.ec"/>
        <s v="contador@mushucruna.com"/>
        <s v="asegura@oscus.coop"/>
        <s v="carlosacosta@cpmv.fin.ec"/>
        <s v="coac@pilahuintio.ec"/>
        <s v="alejandro.rivadeneira@cooperando.fin.ec"/>
        <s v="riobamba@cooprio.fin.ec"/>
        <s v="sistemas1@coac-sanfra.com"/>
        <s v="coopsanjose@andinanet.net"/>
        <s v="secretaria@coopacs.fin.ec"/>
        <s v="info@cooptulcan.com"/>
        <s v="abustos@coopmego.com"/>
        <s v="" u="1"/>
        <m u="1"/>
      </sharedItems>
    </cacheField>
    <cacheField name="NombreGerente" numFmtId="0">
      <sharedItems containsBlank="1" count="27">
        <s v="WALTER EDUARDO AGUIRRE SOSA"/>
        <s v="EGUEZ LUPERA EDWIN CARLOS MARIO"/>
        <s v="CADENA LUCERO HECTOR ROLANDO"/>
        <s v="ORTIZ PAREDES MAURICIO BOLIVAR"/>
        <s v="BENALCAZAR MOLINA RODRIGO SANTIAGO"/>
        <s v="MARIN LUIS  BAUTISTA QUISPE"/>
        <s v="RAMIRO MARCELO  PORTERO LOPEZ"/>
        <s v="MUÑOZ LOPEZ WASHINGTON STALIN"/>
        <s v="GONZALEZ BUSTOS JUAN PABLO"/>
        <s v="VIRGINIA DEL CARMEN ESCOBAR  JACOME"/>
        <s v="ACUÑA CARRASCO EDGAR MAXTRANCEL"/>
        <s v="ANTAMBA GUERRA WASHINGTON VINICIO"/>
        <s v="FREDY PATRICIO VELASTEGUI MORENO"/>
        <s v="URGILES MARTINEZ JUAN CARLOS"/>
        <s v="SALDAÑA AVILA KARINA DEL ROSARIO"/>
        <s v="CHANGO PACHA LUIS ALFONSO"/>
        <s v="GALLEGOS BAYAS FREDDY BLAS"/>
        <s v="CARLOS ALONSO ACOSTA CARRERA"/>
        <s v="ANGEL ESTEBAN MAZABANDA MOPOCITA"/>
        <s v="LASCANO ENRIQUE MILTON"/>
        <s v="MORALES MOROCHO SEGUNDO PEDRO"/>
        <s v="PAREDES LOPEZ ESTUARDO RIQUELMEN"/>
        <s v="CAPUZ CAMACHO CESAR LUIS"/>
        <s v="SOLANO DURAN MANUEL AGUSTIN"/>
        <s v="MOSQUERA LOPEZ MARCO ERIC ORLANDO"/>
        <s v="ALBERTO GEOVANNY BUSTOS PARRA"/>
        <m u="1"/>
      </sharedItems>
    </cacheField>
    <cacheField name="SEGMENTO" numFmtId="0">
      <sharedItems containsSemiMixedTypes="0" containsString="0" containsNumber="1" containsInteger="1" minValue="1" maxValue="1" count="1">
        <n v="1"/>
      </sharedItems>
    </cacheField>
    <cacheField name="ACTIVO" numFmtId="0">
      <sharedItems containsNonDate="0" containsString="0" containsBlank="1"/>
    </cacheField>
    <cacheField name="PASIVO" numFmtId="0">
      <sharedItems containsNonDate="0" containsString="0" containsBlank="1"/>
    </cacheField>
    <cacheField name="PATRIMONIO" numFmtId="0">
      <sharedItems containsNonDate="0" containsString="0" containsBlank="1"/>
    </cacheField>
    <cacheField name="CARTERA POR VENCER" numFmtId="0">
      <sharedItems containsNonDate="0" containsString="0" containsBlank="1"/>
    </cacheField>
    <cacheField name="CARTERA QUE NO DEVENGA INTERES" numFmtId="0">
      <sharedItems containsNonDate="0" containsString="0" containsBlank="1"/>
    </cacheField>
    <cacheField name="CARTERA VENCIDA" numFmtId="0">
      <sharedItems containsNonDate="0" containsString="0" containsBlank="1"/>
    </cacheField>
    <cacheField name="Microcredito2" numFmtId="0">
      <sharedItems containsNonDate="0" containsString="0" containsBlank="1"/>
    </cacheField>
    <cacheField name="Comercial" numFmtId="0">
      <sharedItems containsNonDate="0" containsString="0" containsBlank="1"/>
    </cacheField>
    <cacheField name="Consumo3" numFmtId="0">
      <sharedItems containsNonDate="0" containsString="0" containsBlank="1"/>
    </cacheField>
    <cacheField name="Inmobiliario" numFmtId="0">
      <sharedItems containsNonDate="0" containsString="0" containsBlank="1"/>
    </cacheField>
    <cacheField name="Productivo" numFmtId="0">
      <sharedItems containsNonDate="0" containsString="0" containsBlank="1"/>
    </cacheField>
    <cacheField name="Vivienda4" numFmtId="0">
      <sharedItems containsNonDate="0" containsString="0" containsBlank="1"/>
    </cacheField>
    <cacheField name="Educativo" numFmtId="0">
      <sharedItems containsNonDate="0" containsString="0" containsBlank="1"/>
    </cacheField>
  </cacheFields>
  <extLst>
    <ext xmlns:x14="http://schemas.microsoft.com/office/spreadsheetml/2009/9/main" uri="{725AE2AE-9491-48be-B2B4-4EB974FC3084}">
      <x14:pivotCacheDefinition pivotCacheId="13"/>
    </ext>
  </extLst>
</pivotCacheDefinition>
</file>

<file path=xl/pivotCache/pivotCacheDefinition3.xml><?xml version="1.0" encoding="utf-8"?>
<pivotCacheDefinition xmlns="http://schemas.openxmlformats.org/spreadsheetml/2006/main" xmlns:r="http://schemas.openxmlformats.org/officeDocument/2006/relationships" r:id="rId1" refreshedBy="Garcia Sonia Karina" refreshedDate="43545.65242766204" createdVersion="5" refreshedVersion="5" minRefreshableVersion="3" recordCount="6910">
  <cacheSource type="worksheet">
    <worksheetSource ref="A1:K6911" sheet="BOL_EF_TAB1_MUT" r:id="rId2"/>
  </cacheSource>
  <cacheFields count="11">
    <cacheField name="SEGMENTO" numFmtId="0">
      <sharedItems count="1">
        <s v="SEGMENTO 1 MUTUALISTA"/>
      </sharedItems>
    </cacheField>
    <cacheField name="NUM_RUC" numFmtId="0">
      <sharedItems count="5">
        <s v="0190006247001"/>
        <s v="1090056286001"/>
        <s v="1790075494001"/>
        <s v="1890012015001"/>
        <s v="99"/>
      </sharedItems>
    </cacheField>
    <cacheField name="NOM_RAZON_SOCIAL" numFmtId="0">
      <sharedItems count="5">
        <s v="AZUAY"/>
        <s v="IMBABURA"/>
        <s v="PICHINCHA"/>
        <s v="AMBATO"/>
        <s v="VT_TOTAL MUTUALISTAS"/>
      </sharedItems>
    </cacheField>
    <cacheField name="ESTRUCTURA" numFmtId="0">
      <sharedItems count="1">
        <s v="B11"/>
      </sharedItems>
    </cacheField>
    <cacheField name="FECHA" numFmtId="15">
      <sharedItems containsSemiMixedTypes="0" containsNonDate="0" containsDate="1" containsString="0" minDate="2019-01-31T00:00:00" maxDate="2019-02-01T00:00:00" count="1">
        <d v="2019-01-31T00:00:00"/>
      </sharedItems>
    </cacheField>
    <cacheField name="NOMBRE_CUENTA" numFmtId="0">
      <sharedItems count="669">
        <s v="ACTIVO"/>
        <s v="FONDOS DISPONIBLES"/>
        <s v="Caja"/>
        <s v="Efectivo"/>
        <s v="Caja chica"/>
        <s v="Depósitos para encaje"/>
        <s v="Banco Central del Ecuador"/>
        <s v="Banco Ban Ecuador"/>
        <s v="Otras entidades financieras"/>
        <s v="Bancos y otras instituciones financieras"/>
        <s v="Bancos e instituciones financieras locales"/>
        <s v="Bancos e instituciones financieras del exterior"/>
        <s v="Instituciones del sector financiero popular y solidario"/>
        <s v="Efectos de cobro inmediato"/>
        <s v="Remesas en tránsito"/>
        <s v="Del país"/>
        <s v="Del exterior"/>
        <s v="OPERACIONES INTERFINANCIERAS"/>
        <s v="Fondos interfinancieros vendidos"/>
        <s v="Bancos"/>
        <s v="Otras instituciones del sistema financiero"/>
        <s v="Operaciones de reporto con instituciones financieras"/>
        <s v="Instituciones financieras públicas"/>
        <s v="(Provisión para operaciones interfinancieras y de reporto)"/>
        <s v="(Provisión fondos interfinancieros vendidos)"/>
        <s v="(Provisión para operaciones de reporto con instituciones financieras)"/>
        <s v="INVERSIONES"/>
        <s v="A valor razonable con cambios en el estado de resultados de entidades del sector privado y sector financiero popular y solidario"/>
        <s v="De 1 a 30 días sector privado"/>
        <s v="De 31 a 90 días sector privado"/>
        <s v="De 91 a 180 días sector privado"/>
        <s v="De 181 a 360 días sector privado"/>
        <s v="De más de 360 días sector privado"/>
        <s v="De 1 a 30 días sector financiero popular y solidario"/>
        <s v="De 31 a 90 días sector financiero popular y solidario"/>
        <s v="De 91 a 180 días sector financiero popular y solidario"/>
        <s v="De 181 a 360 días sector financiero popular y solidario"/>
        <s v="De más de 360 días sector financiero popular y solidario"/>
        <s v="A valor razonable con cambios en el estado de resultados del Estado o de entidades del sector público"/>
        <s v="De 1 a 30 días"/>
        <s v="De 31 a 90 días"/>
        <s v="De 91 a 180 días"/>
        <s v="De 181 a 360 días"/>
        <s v="De más de 360 días"/>
        <s v="Disponibles para la venta de entidades del sector privado y sector financiero popular y solidario"/>
        <s v="Disponibles para la venta del Estado o de entidades del sector público"/>
        <s v="Mantenidas hasta su vencimiento de entidades del sector privado y sector financiero popular y solidario"/>
        <s v="De 181 días a 1 año sector privado"/>
        <s v="De 1 a 3 años sector privado"/>
        <s v="De 3 a 5 años sector privado"/>
        <s v="De 5 a 10 años sector privado"/>
        <s v="De más de 10 años sector privado"/>
        <s v="De 181 días a 1 año sector financiero popular y solidario"/>
        <s v="De 1 a 3 años sector financiero popular y solidario"/>
        <s v="De 3 a 5 años sector financiero popular y solidario"/>
        <s v="De 5 a 10 años sector financiero popular y solidario"/>
        <s v="De más de 10 años sector financiero popular y solidario"/>
        <s v="Mantenidas hasta su vencimiento del Estado o de entidades del sector público"/>
        <s v="De 181 días a 1 año"/>
        <s v="De 1 a 3 años"/>
        <s v="De 3 a 5 años"/>
        <s v="De 5 a 10 años"/>
        <s v="De más de 10 años"/>
        <s v="De disponibilidad restringida"/>
        <s v="Entregadas para operaciones de reporto"/>
        <s v="Depósitos sujetos a restricción"/>
        <s v="Títulos valores para encaje"/>
        <s v="Entregados en garantía"/>
        <s v="Otros"/>
        <s v="(Provisión para inversiones)"/>
        <s v="(Provisión por deterioro en valuación de inversiones)"/>
        <s v="(Provisión general para inversiones)"/>
        <s v="CARTERA DE CRÉDITOS"/>
        <s v="Cartera de créditos comercial prioritario por vencer"/>
        <s v="Cartera de créditos de consumo prioritario por vencer"/>
        <s v="Cartera de crédito inmobiliario por vencer"/>
        <s v="Cartera de microcrédito por vencer"/>
        <s v="Cartera de crédito comercial ordinario por vencer"/>
        <s v="Cartera de créditos de consumo ordinario por vencer"/>
        <s v="Cartera de crédito de vivienda de interés público por vencer"/>
        <s v="Cartera de créditos comercial prioritario refinanciada por vencer"/>
        <s v="Cartera de créditos de consumo prioritario refinanciada por vencer"/>
        <s v="Cartera de crédito inmobiliario refinanciada por vencer"/>
        <s v="Cartera de microcrédito refinanciada por vencer"/>
        <s v="Cartera de crédito comercial ordinario refinanciada por vencer"/>
        <s v="Cartera de créditos de consumo ordinario refinanciada por vencer"/>
        <s v="Cartera de crédito de vivienda de interés público refinanciada por vencer"/>
        <s v="Cartera de créditos comercial prioritario reestructurada por vencer"/>
        <s v="Cartera de créditos de consumo prioritario reestructurada por vencer"/>
        <s v="Cartera de crédito inmobiliario reestructurada por vencer"/>
        <s v="Cartera de microcrédito reestructurada por vencer"/>
        <s v="Cartera de crédito comercial ordinario reestructurada por vencer"/>
        <s v="Cartera de créditos de consumo ordinario reestructurada por vencer"/>
        <s v="Cartera de crédito de vivienda de interés público reestructurada por vencer"/>
        <s v="Cartera de créditos comercial prioritario que no devenga intereses"/>
        <s v="Cartera de créditos de consumo prioritario que no devenga intereses"/>
        <s v="Cartera de crédito inmobiliario que no devenga intereses"/>
        <s v="Cartera de microcrédito que no devenga intereses"/>
        <s v="Cartera de crédito comercial ordinario que no devenga intereses"/>
        <s v="Cartera de créditos de consumo ordinario que no devenga intereses"/>
        <s v="Cartera de crédito de vivienda de interés público que no devenga intereses"/>
        <s v="Cartera de créditos comercial prioritario refinanciada que no devenga intereses"/>
        <s v="Cartera de créditos de consumo prioritario refinanciada que no devenga intereses"/>
        <s v="Cartera de crédito inmobiliario refinanciada que no devenga intereses"/>
        <s v="Cartera microcrédito refinanciada que no devenga intereses"/>
        <s v="Cartera de crédito comercial ordinario refinanciada que no devenga intereses"/>
        <s v="Cartera de créditos de consumo ordinario refinanciada que no devenga intereses"/>
        <s v="Cartera de crédito de vivienda de interés público refinanciada que no devenga intereses"/>
        <s v="Cartera de créditos comercial prioritario reestructurada que no devenga intereses"/>
        <s v="Cartera de créditos de consumo prioritario reestructurada que no devenga intereses"/>
        <s v="Cartera de crédito inmobiliario reestructurada que no devenga intereses"/>
        <s v="Cartera microcrédito reestructurada que no devenga intereses"/>
        <s v="Cartera de crédito comercial ordinario reestructurada que no devenga intereses"/>
        <s v="Cartera de créditos de consumo ordinario reestructurada que no devenga intereses"/>
        <s v="Cartera de crédito de vivienda de interés público reestructurada que no devenga intereses"/>
        <s v="Cartera de créditos comercial prioritario vencida"/>
        <s v="Cartera de créditos de consumo prioritario vencida"/>
        <s v="De 181 a 270 días"/>
        <s v="De más de 270 días"/>
        <s v="Cartera de crédito inmobiliario vencida"/>
        <s v="De 91 a 270 días"/>
        <s v="De 271 a 360 días"/>
        <s v="De 361 a 720 días"/>
        <s v="De más de 720 días"/>
        <s v="Cartera de microcrédito vencida"/>
        <s v="Cartera de crédito comercial ordinario vencida"/>
        <s v="Cartera de créditos de consumo ordinario vencida"/>
        <s v="Cartera de crédito de vivienda de interés público vencida"/>
        <s v="Cartera de créditos comercial prioritario refinanciada vencida"/>
        <s v="Cartera de créditos de consumo prioritario refinanciada vencida"/>
        <s v="Cartera de crédito inmobiliario refinanciada vencida"/>
        <s v="Cartera de microcrédito refinanciada vencida"/>
        <s v="Cartera de crédito comercial ordinario refinanciada vencida"/>
        <s v="Cartera de créditos de consumo ordinario refinanciada vencida"/>
        <s v="Cartera de crédito de vivienda de interés público refinanciada vencida"/>
        <s v="Cartera de créditos comercial prioritario reestructurada vencida"/>
        <s v="Cartera de créditos de consumo prioritario reestructurada vencida"/>
        <s v="Cartera de crédito inmobiliario reestructurada vencida"/>
        <s v="Cartera de microcrédito reestructurada vencida"/>
        <s v="Cartera de crédito comercial ordinario reestructurada vencida"/>
        <s v="Cartera de créditos de consumo ordinario reestructurada vencida"/>
        <s v="Cartera de crédito de vivienda de interés público reestructurada vencida"/>
        <s v="Cartera de crédito educativo por vencer"/>
        <s v="Cartera de crédito educativo refinanciada por vencer"/>
        <s v="Cartera de crédito educativo reestructurada por vencer"/>
        <s v="Cartera de crédito educativo que no devenga intereses"/>
        <s v="Cartera de crédito educativo refinanciada que no devenga intereses"/>
        <s v="Cartera de crédito educativo reestructurada que no devenga intereses"/>
        <s v="Cartera de crédito educativo vencida"/>
        <s v="Cartera de crédito educativo refinanciada vencida"/>
        <s v="Cartera de crédito educativo reestructurada vencida"/>
        <s v="(Provisiones para créditos incobrables)"/>
        <s v="(Cartera de créditos comercial prioritario)"/>
        <s v="(Cartera de créditos de consumo prioritario)"/>
        <s v="(Cartera de crédito inmobiliario)"/>
        <s v="(Cartera de microcréditos)"/>
        <s v="(Cartera de crédito comercial ordinario)"/>
        <s v="(Cartera de crédito de consumo ordinario)"/>
        <s v="(Cartera de crédito de vivienda de interés público)"/>
        <s v="(Cartera de créditos refinanciada)"/>
        <s v="(Cartera de créditos reestructurada)"/>
        <s v="(Cartera de créditos educativo)"/>
        <s v="(Provisión genérica por tecnología crediticia)"/>
        <s v="(Provisión  anti cíclica)"/>
        <s v="(Provisiones no reversadas por requerimiento normativo)"/>
        <s v="(Provision genérica voluntaria)"/>
        <s v="DEUDORES POR ACEPTACIÓN"/>
        <s v="Dentro del plazo"/>
        <s v="Después del plazo"/>
        <s v="CUENTAS POR COBRAR"/>
        <s v="Intereses por cobrar de operaciones interfinancieras"/>
        <s v="Interfinacieras vendidas"/>
        <s v="Intereses por cobrar inversiones"/>
        <s v="A valor razonable con cambios en el estado de resultados"/>
        <s v="Disponibles para la venta"/>
        <s v="Mantenidas hasta el vencimiento"/>
        <s v="Intereses por cobrar de cartera de créditos"/>
        <s v="Cartera de créditos comercial prioritario"/>
        <s v="Cartera de créditos de consumo prioritario"/>
        <s v="Cartera de crédito inmobiliario"/>
        <s v="Cartera de microcrédito"/>
        <s v="Cartera de crédito comercial ordinario"/>
        <s v="Cartera de crédito de consumo ordinario"/>
        <s v="Cartera de crédito de vivienda de interés público"/>
        <s v="Cartera de crédito educativo"/>
        <s v="Cartera de créditos refinanciada"/>
        <s v="Cartera de créditos reestructurada"/>
        <s v="Otros intereses por cobrar"/>
        <s v="Comisiones por cobrar"/>
        <s v="Operaciones contingentes"/>
        <s v="Otras"/>
        <s v="Rendimientos por cobrar de fideicomisos mercantiles"/>
        <s v="Anticipo para adquisición de acciones"/>
        <s v="Inversiones vencidas"/>
        <s v="Pagos por cuenta de socios"/>
        <s v="Intereses"/>
        <s v="Comisiones"/>
        <s v="Gastos por operaciones contingentes"/>
        <s v="Seguros"/>
        <s v="Impuestos"/>
        <s v="Gastos judiciales"/>
        <s v="Intereses reestructurados por cobrar"/>
        <s v="Intereses de cartera de créditos comercial prioritario"/>
        <s v="Intereses de cartera de créditos de consumo prioritario"/>
        <s v="Intereses de cartera de crédito inmobiliario"/>
        <s v="Intereses de cartera de microcrédito"/>
        <s v="Intereses de cartera de crédito comercial ordinario"/>
        <s v="Intereses de cartera de crédito de consumo ordinario"/>
        <s v="Intereses de cartera de crédito de vivienda de interés público"/>
        <s v="Intereses de cartera de crédito educativo"/>
        <s v="Cuentas  por cobrar por cartera de vivienda vendida al fideicomiso de titularización"/>
        <s v="Cuentas por cobrar varias"/>
        <s v="Anticipos al personal"/>
        <s v="Préstamos de fondo de reserva"/>
        <s v="Cheques protestados y rechazados"/>
        <s v="Arrendamientos"/>
        <s v="Establecimientos afiliados"/>
        <s v="Por venta de bienes y acciones"/>
        <s v="Juicios ejecutivos en proceso"/>
        <s v="Emisión y renovación de tarjetas de crédito"/>
        <s v="(Provisión para cuentas por cobrar)"/>
        <s v="(Provisión para intereses y comisiones por cobrar)"/>
        <s v="(Provisión para otras cuentas por cobrar)"/>
        <s v="BIENES REALIZABLES, ADJUDICADOS POR PAGO, DE ARRENDAMIENTO MERCANTIL Y NO UTILIZADOS POR LA INSTITUCIÓN"/>
        <s v="Bienes Realizables"/>
        <s v="Terrenos"/>
        <s v="Obras de Urbanización"/>
        <s v="Obras de Edificación"/>
        <s v="Viviendas y otras obras terminadas"/>
        <s v="Bienes adjudicados por pago"/>
        <s v="Edificios y otros locales"/>
        <s v="Mobiliario, maquinaria y equipo"/>
        <s v="Unidades de transporte"/>
        <s v="Derechos fiduciarios"/>
        <s v="Bienes por arrendar"/>
        <s v="Adquiridos"/>
        <s v="Importaciones en tránsito"/>
        <s v="Bienes recuperados"/>
        <s v="Inmuebles"/>
        <s v="Muebles, enseres y equipos de oficina"/>
        <s v="Equipos de computación"/>
        <s v="Equipos de construcción"/>
        <s v="Bienes arrendados"/>
        <s v="(Depreciación de bienes arrendados)"/>
        <s v="Bienes no utilizados por la institución"/>
        <s v="Edificios"/>
        <s v="Otros locales"/>
        <s v="Remodelaciones en curso"/>
        <s v="(Depreciación de bienes no utilizados por la institución)"/>
        <s v="(Provisión para bienes realizables, adjudicados por pago y recuperados)"/>
        <s v="(Provisión para bienes realizables)"/>
        <s v="(Provisión para bienes adjudicados)"/>
        <s v="(Provisión por deterioro para bienes no utilizados por la institución)"/>
        <s v="(Provisión para bienes por acuerdos concordatorios)"/>
        <s v="PROPIEDADES Y EQUIPO"/>
        <s v="Construcciones y remodelaciones en curso"/>
        <s v="(Depreciación acumulada)"/>
        <s v="(Edificios)"/>
        <s v="(Otros locales)"/>
        <s v="(Muebles, enseres y equipos de oficina)"/>
        <s v="(Equipos de computación)"/>
        <s v="(Unidades de transporte)"/>
        <s v="(Equipos de construcción)"/>
        <s v="(Otros)"/>
        <s v="OTROS ACTIVOS"/>
        <s v="Inversiones en acciones y participaciones"/>
        <s v="En subsidiarias y afiliadas"/>
        <s v="En otras instituciones financieras"/>
        <s v="En compañías"/>
        <s v="En compañías de servicios auxiliares del sistema financiero"/>
        <s v="Cartera de créditos por vencer"/>
        <s v="Cartera de créditos refinanciada por vencer"/>
        <s v="Cartera de créditos reestructurada por vencer"/>
        <s v="Cartera de créditos que no devenga intereses"/>
        <s v="Cartera de créditos refinanciada que no devenga intereses"/>
        <s v="Cartera de créditos reestructurada que no devenga intereses"/>
        <s v="Cartera de créditos vencida"/>
        <s v="Cartera de créditos refinanciada vencida"/>
        <s v="Cartera de créditos reestructurada vencida"/>
        <s v="Fondos de liquidez"/>
        <s v="Otras inversiones en participaciones"/>
        <s v="Proyectos inmobiliarios en numerario"/>
        <s v="Proyectos inmobiliarios en bienes"/>
        <s v="Gastos y pagos anticipados"/>
        <s v="Anticipos a terceros"/>
        <s v="(Amortización de gastos anticipados)"/>
        <s v="Gastos diferidos"/>
        <s v="Gastos de constitución y organización"/>
        <s v="Gastos de instalación"/>
        <s v="Estudios"/>
        <s v="Programas de computación"/>
        <s v="Gastos de adecuación"/>
        <s v="Plusvalía mercantil"/>
        <s v="(Amortización acumulada gastos diferidos)"/>
        <s v="Materiales, mercaderías e insumos"/>
        <s v="Materiales de construcción"/>
        <s v="Proveeduría"/>
        <s v="Transferencias internas"/>
        <s v="Derechos Fiduciarios recibidos por resolución del sector financiero popular y solidario"/>
        <s v="De activos de instituciones financieras inviables"/>
        <s v="De recursos provenientes de la COSEDE"/>
        <s v="Impuesto al valor agregado – IVA"/>
        <s v="Otros impuestos"/>
        <s v="Depósitos en garantía y para importaciones"/>
        <s v="Faltantes de caja"/>
        <s v="Varias"/>
        <s v="(Provisión para otros activos irrecuperables)"/>
        <s v="(Provisión para valuación de inversiones en acciones y participaciones)"/>
        <s v="(Provisión para valuación de derechos fiduciarios)"/>
        <s v="(Provisión para otros activos)"/>
        <s v="PASIVOS"/>
        <s v="OBLIGACIONES CON EL PÚBLICO"/>
        <s v="Depósitos a la vista"/>
        <s v="Depósitos de ahorro"/>
        <s v="Otros depósitos"/>
        <s v="Fondos de tarjetahabientes"/>
        <s v="Depósitos por confirmar"/>
        <s v="Depósitos de cuenta básica"/>
        <s v="Operaciones de reporto"/>
        <s v="Operaciones de reporto financiero"/>
        <s v="Operaciones de reporto por confirmar"/>
        <s v="Operaciones de reporto bursátil"/>
        <s v="Depósitos a plazo"/>
        <s v="De más de 361 días"/>
        <s v="Depósitos de garantía"/>
        <s v="Depósitos restringidos"/>
        <s v="Fondos interfinancieros comprados"/>
        <s v="Operaciones por confirmar"/>
        <s v="OBLIGACIONES INMEDIATAS"/>
        <s v="Giros, transferencias y cobranzas por pagar"/>
        <s v="Giros y transferencias"/>
        <s v="Cobranzas"/>
        <s v="Valores en circulación y cupones por pagar"/>
        <s v="Bonos"/>
        <s v="Obligaciones"/>
        <s v="Otros títulos valores"/>
        <s v="ACEPTACIONES EN CIRCULACIÓN"/>
        <s v="CUENTAS POR PAGAR"/>
        <s v="Intereses por pagar"/>
        <s v="Depósitos en garantía"/>
        <s v="Obligaciones financieras"/>
        <s v="Comisiones por pagar"/>
        <s v="Obligaciones patronales"/>
        <s v="Remuneraciones"/>
        <s v="Beneficios Sociales"/>
        <s v="Aportes al IESS"/>
        <s v="Fondo de reserva IESS"/>
        <s v="Participación a empleados"/>
        <s v="Gastos de responsabilidad, residencia y representación"/>
        <s v="Retenciones"/>
        <s v="Retenciones fiscales"/>
        <s v="Otras retenciones"/>
        <s v="Contribuciones, impuestos y multas"/>
        <s v="Impuesto a la renta"/>
        <s v="Multas"/>
        <s v="Otras contribuciones e impuestos"/>
        <s v="Proveedores"/>
        <s v="Obligaciones por compra de cartera"/>
        <s v="Garantías crediticias subrogadas pendientes de recuperación"/>
        <s v="Créditos comerciales"/>
        <s v="Contingentes"/>
        <s v="Cuentas por pagar a establecimientos afiliados"/>
        <s v="Provisiones para aceptaciones y operaciones contingentes"/>
        <s v="Cuentas por pagar varias"/>
        <s v="Excedentes por pagar"/>
        <s v="Cheques girados no cobrados"/>
        <s v="Otras cuentas por pagar"/>
        <s v="Sobregiros"/>
        <s v="Obligaciones con instituciones financieras del país y sector financiero popular y solidario"/>
        <s v="Obligaciones con instituciones financieras del exterior"/>
        <s v="Obligaciones con entidades financieras del sector público"/>
        <s v="Obligaciones con organismos multilaterales"/>
        <s v="Préstamos subordinados"/>
        <s v="Obligaciones con el fondo de liquidez del sector financiero popular y solidario"/>
        <s v="Por crédito automático"/>
        <s v="Por necesidades extraordinarias de liquidez"/>
        <s v="Por otros créditos del Fondo de Liquidez"/>
        <s v="Otras obligaciones"/>
        <s v="VALORES EN CIRCULACIÓN"/>
        <s v="Bonos emitidos por entidades financieras de la economía popular y solidaria"/>
        <s v="Emitidas por instituciones financieras privadas y del sector financiero popular y solidario."/>
        <s v="Prima o descuento en colocación de valores en circulación"/>
        <s v="OTROS PASIVOS"/>
        <s v="Ingresos recibidos por anticipado"/>
        <s v="Rentas recibidas por anticipado"/>
        <s v="Afiliaciones y renovaciones"/>
        <s v="Consignación para pago de obligaciones"/>
        <s v="Ingresos por valuación de bienes realizables entregados"/>
        <s v="Minusvalía mercantil (Badwill)"/>
        <s v="Sobrantes de caja"/>
        <s v="Varios"/>
        <s v="PATRIMONIO"/>
        <s v="CAPITAL SOCIAL"/>
        <s v="Aportes de socios"/>
        <s v="Prima o descuento en colocación de certificados de aportación"/>
        <s v="RESERVAS"/>
        <s v="Fondo Irrepartible de Reserva Legal"/>
        <s v="Reserva Legal Irrepartible"/>
        <s v="Donaciones"/>
        <s v="Utilidades o excedentes acumulados de la Reserva Irrepartible"/>
        <s v="Generales"/>
        <s v="Especiales"/>
        <s v="Revalorización del patrimonio"/>
        <s v="Por resultados no operativos"/>
        <s v="OTROS APORTES PATRIMONIALES"/>
        <s v="SUPERÁVIT POR VALUACIONES"/>
        <s v="Superávit por valuación de propiedades, equipo y otros"/>
        <s v="Superávit por valuación de inversiones en acciones"/>
        <s v="Valuación de inversiones en instrumentos financieros"/>
        <s v="RESULTADOS"/>
        <s v="Utilidades o excedentes acumuladas"/>
        <s v="(Pérdidas acumuladas)"/>
        <s v="Utilidad o excedente del ejercicio"/>
        <s v="(Pérdida del ejercicio)"/>
        <s v="GASTOS"/>
        <s v="INTERESES CAUSADOS"/>
        <s v="Fondos financieros comprados"/>
        <s v="Obligaciones con instituciones financieras del país y del sector popular y solidario"/>
        <s v="Valores en circulación y obligaciones convertibles en acciones"/>
        <s v="Otros intereses"/>
        <s v="COMISIONES CAUSADAS"/>
        <s v="Por operaciones de permuta financiera"/>
        <s v="Servicios fiduciarios"/>
        <s v="PÉRDIDAS FINANCIERAS"/>
        <s v="En valuación de inversiones"/>
        <s v="En venta de activos productivos"/>
        <s v="En venta de inversiones"/>
        <s v="En venta de cartera de créditos"/>
        <s v="Pérdidas por fideicomiso mercantil"/>
        <s v="Prima de inversiones en títulos valores"/>
        <s v="Primas en cartera comprada"/>
        <s v="PROVISIONES"/>
        <s v="Crédito comercial prioritario"/>
        <s v="Crédito comercial ordinario"/>
        <s v="Crédito de consumo prioritario"/>
        <s v="Crédito de consumo ordinario"/>
        <s v="Crédito inmobiliario"/>
        <s v="Crédito de vivienda de interés público"/>
        <s v="Microcrédito"/>
        <s v="Crédito educativo"/>
        <s v="Bienes realizables, adjudicados por pago y de arrendamiento mercantil"/>
        <s v="Operaciones interfinancieras y de reporto"/>
        <s v="GASTOS DE OPERACIÓN"/>
        <s v="Gastos de personal"/>
        <s v="Remuneraciones mensuales"/>
        <s v="Gastos de representación, residencia y responsabilidad"/>
        <s v="Impuesto a la renta del personal"/>
        <s v="Pensiones y jubilaciones"/>
        <s v="Honorarios"/>
        <s v="Directores"/>
        <s v="Honorarios profesionales"/>
        <s v="Servicios varios"/>
        <s v="Movilización, fletes y embalajes"/>
        <s v="Servicios de guardianía"/>
        <s v="Publicidad y propaganda"/>
        <s v="Servicios básicos"/>
        <s v="Otros servicios"/>
        <s v="Impuestos, contribuciones y multas"/>
        <s v="Impuestos Fiscales"/>
        <s v="Impuestos Municipales"/>
        <s v="Aportes a la SEPS"/>
        <s v="Aportes al COSEDE por prima fija"/>
        <s v="Aportes al COSEDE por prima variable"/>
        <s v="Multas y otras sanciones"/>
        <s v="Impuestos y aportes para otros organismos e instituciones"/>
        <s v="Depreciaciones"/>
        <s v="Amortizaciones"/>
        <s v="Gastos anticipados"/>
        <s v="Otros gastos"/>
        <s v="Suministros diversos"/>
        <s v="Mantenimiento y reparaciones"/>
        <s v="OTRAS PÉRDIDAS OPERACIONALES"/>
        <s v="Pérdida en acciones y participaciones"/>
        <s v="Pérdida en venta de bienes realizables y recuperados"/>
        <s v="OTROS GASTOS Y PERDIDAS"/>
        <s v="Pérdida en venta de bienes"/>
        <s v="Pérdida en venta de acciones y participaciones"/>
        <s v="Intereses y comisiones devengados en ejercicios anteriores"/>
        <s v="IMPUESTOS Y PARTICIPACIÓN A EMPLEADOS"/>
        <s v="INGRESOS"/>
        <s v="INTERESES Y DESCUENTOS GANADOS"/>
        <s v="Depósitos"/>
        <s v="Depósitos en instituciones financieras e instituciones del sector financiero popular y solidario"/>
        <s v="Overnight"/>
        <s v="Fondos interfinancieras vendidos"/>
        <s v="Intereses y descuentos de inversiones en títulos valores"/>
        <s v="Inversiones a valor razonable con cambios en el estado de resultados"/>
        <s v="Intereses y descuentos de cartera de créditos"/>
        <s v="De mora"/>
        <s v="Descuentos en cartera comprada"/>
        <s v="Otros intereses y descuentos"/>
        <s v="Por pagos por cuenta de socios"/>
        <s v="COMISIONES GANADAS"/>
        <s v="Avales"/>
        <s v="Fianzas"/>
        <s v="Cartas de Crédito"/>
        <s v="UTILIDADES FINANCIERAS"/>
        <s v="Rendimientos por fideicomiso mercantil"/>
        <s v="Arrendamiento financiero"/>
        <s v="INGRESOS POR SERVICIOS"/>
        <s v="Manejo y cobranzas"/>
        <s v="Tarifados con costo máximo"/>
        <s v="Tarifados diferenciados"/>
        <s v="OTROS INGRESOS OPERACIONALES"/>
        <s v="Utilidades en acciones y participaciones"/>
        <s v="Utilidad en venta de bienes realizables y recuperados"/>
        <s v="OTROS INGRESOS"/>
        <s v="Utilidad en venta de bienes"/>
        <s v="Utilidad en venta de acciones y participaciones"/>
        <s v="Recuperaciones de activos financieros"/>
        <s v="De activos castigados"/>
        <s v="Reversión de provisiones"/>
        <s v="Devolución de impuestos y multas"/>
        <s v="Intereses y comisiones de ejercicios anteriores"/>
        <s v="Pérdidas y ganancias"/>
        <s v="CUENTAS CONTINGENTES"/>
        <s v="DEUDORAS"/>
        <s v="Otras cuentas contingentes deudoras"/>
        <s v="ACREEDORAS"/>
        <s v="Avales comunes"/>
        <s v="Avales con garantía de instituciones financieras del exterior"/>
        <s v="Fianzas y garantías"/>
        <s v="Garantías aduaneras"/>
        <s v="Garantías Corporación Financiera Nacional"/>
        <s v="Fianzas con garantía de instituciones financieras del exterior"/>
        <s v="Emitidas por la institución"/>
        <s v="Emitidas por cuenta de la institución"/>
        <s v="Confirmadas"/>
        <s v="Créditos aprobados no desembolsados"/>
        <s v="Compromisos futuros"/>
        <s v="Riesgo asumido por cartera vendida"/>
        <s v="Riesgo asumido en cartera permutada"/>
        <s v="Otros compromisos"/>
        <s v="CUENTAS DE ORDEN"/>
        <s v="CUENTAS DE ORDEN DEUDORAS"/>
        <s v="Valores y bienes propios en poder de terceros"/>
        <s v="En cobranza"/>
        <s v="En custodia"/>
        <s v="Bienes entregados en arrendamiento financiero"/>
        <s v="Cánones en arrendamiento financiero vendidos"/>
        <s v="En comodato"/>
        <s v="Activos propios en poder de terceros entregados en garantía"/>
        <s v="Inversiones a valor razonable  con cambios en el estado de resultados"/>
        <s v="Inversiones disponibles para la venta"/>
        <s v="Inversiones mantenidas hasta el vencimiento"/>
        <s v="Inversiones de disponibilidad restringida"/>
        <s v="Bienes muebles"/>
        <s v="Bienes inmuebles"/>
        <s v="Activos castigados"/>
        <s v="Líneas de crédito no utilizadas"/>
        <s v="Operaciones activas con empresas vinculadas"/>
        <s v="Cartera de créditos y otros activos en demanda judicial"/>
        <s v="Comercial prioritario"/>
        <s v="Consumo prioritario"/>
        <s v="Inmobiliario"/>
        <s v="Cartera de créditos comercial ordinario"/>
        <s v="Refinanciada"/>
        <s v="Reestructurada"/>
        <s v="Cartera comprada a entidades en liquidación o adquirida por procesos de fusión"/>
        <s v="Provisión diferida cartera comprada a entidades en liquidación o adquirida por procesos de fusión"/>
        <s v="Saldo cartera comprada a entidades en liquidación o adquirida por procesos de fusión"/>
        <s v="Intereses, comisiones e ingresos en suspenso"/>
        <s v="Contrato de arrendamiento mercantil financiero"/>
        <s v="Canones por recibir"/>
        <s v="Opcion en compra"/>
        <s v="Descuentos concedidos"/>
        <s v="Obligaciones extinguidas por acuerdos concordatorios y otros contratos"/>
        <s v="Cartera de créditos comercial"/>
        <s v="Cartera de créditos de consumo"/>
        <s v="Cartera de créditos inmobiliario"/>
        <s v="Cartera de microcréditos"/>
        <s v="Inversiones por vencimiento"/>
        <s v="Corto plazo"/>
        <s v="Largo plazo"/>
        <s v="Obligaciones extinguidas por otros contratos"/>
        <s v="Cartera entregada para procesos de titularización"/>
        <s v="Cartera de créditos consumo prioritario"/>
        <s v="Cartera de créditos consumo ordinario"/>
        <s v="Cartera de créditos de vivienda de interés público"/>
        <s v="Cartera de créditos para la microempresa"/>
        <s v="Cartera de créditos educativo"/>
        <s v="Otras cuentas de orden deudoras"/>
        <s v="Cobertura de seguros"/>
        <s v="Multas e impuestos en reclamo"/>
        <s v="Títulos por emitir"/>
        <s v="Títulos emitidos no vendidos"/>
        <s v="Títulos propia emisión recomprados"/>
        <s v="Títulos y cupones por incinerar"/>
        <s v="Títulos de inversiones comprados con pacto de reventa"/>
        <s v="Prima en compra de cartera"/>
        <s v="Otras cuentas de orden"/>
        <s v="CUENTAS DE ORDEN ACREEDORAS"/>
        <s v="Valores y bienes recibidos de terceros"/>
        <s v="Documentos en garantía"/>
        <s v="Valores fiduciarios en garantía"/>
        <s v="Bienes inmuebles en garantía"/>
        <s v="Otros bienes en garantía"/>
        <s v="En administración"/>
        <s v="Cartera de crédito comercial prioritario en administración"/>
        <s v="Cartera de crédito comercial ordinario en administración"/>
        <s v="Cartera de crédito consumo prioritario  en administración"/>
        <s v="Cartera de crédito consumo ordinario en administración"/>
        <s v="Cartera de crédito de vivienda de interés público en administración"/>
        <s v="Cartera de crédito inmobiliario en administración"/>
        <s v="Cartera de crédito para la microempresa en administración"/>
        <s v="Cartera de crédito educativo en administración"/>
        <s v="Operaciones pasivas con empresas vinculadas"/>
        <s v="Obligaciones interfinancieras"/>
        <s v="Operaciones Pasivas con empresas subsidiarias y afiliadas"/>
        <s v="Depósitos y otras captaciones no cubiertas por  El Fondo de Seguro de Depósito"/>
        <s v="Descuentos en compras de cartera"/>
        <s v="Descuento en compra de cartera a entidades en liquidación"/>
        <s v="Descuento en compra de cartera a entidades activas"/>
        <s v="Deficiencia de provisiones"/>
        <s v="Bienes  adjudicados por pago y arrendamiento mercantil"/>
        <s v="Depósitos de entidades del sector público"/>
        <s v="Valores y bienes recibidos en fideicomiso mercantil"/>
        <s v="En garantía"/>
        <s v="Inmobiliarios"/>
        <s v="Capital suscrito no pagado"/>
        <s v="Pasivos adquiridos"/>
        <s v="Orden de prelación"/>
        <s v="Pasivos garantizados conforme a la ley"/>
        <s v="Costas judiciales causadas en interés común de los acreedores"/>
        <s v="Deudas con trabajadores e IESS"/>
        <s v="Impuestos, tasas y contribuciones"/>
        <s v="Obligaciones por depósitos y captaciones del público"/>
        <s v="Otros créditos de acuerdo al orden y forma determinados en el Código Civil"/>
        <s v="Accionistas, administradores y vinculados"/>
        <s v="Provisiones constituidas"/>
        <s v="Provisión cartera refinanciada comercial prioritario"/>
        <s v="Provisión cartera refinanciada consumo prioritario"/>
        <s v="Provisión cartera refinanciada inmobiliaria"/>
        <s v="Provisión cartera refinanciada microcrédito"/>
        <s v="Provisión cartera refinanciada comercial ordinario"/>
        <s v="Provisión cartera reestructurada comercial prioritario"/>
        <s v="Provisión cartera reestructurada consumo prioritario"/>
        <s v="Provisión cartera reestructurada inmobiliaria"/>
        <s v="Provisión cartera reestructurada microcrédito"/>
        <s v="Provisión cartera reestructurada comercial ordinario"/>
        <s v="Provisión genérica por tecnología crediticia cartera de consumo prioritario"/>
        <s v="Provisión genérica por tecnología crediticia cartera de microcrédito"/>
        <s v="Provisión genérica por tecnología crediticia cartera de crédito educativo"/>
        <s v="Provisión genérica voluntaria cartera comercial prioritaria"/>
        <s v="Provisión genérica voluntaria cartera consumo prioritario"/>
        <s v="Provisión genérica voluntaria cartera inmobiliaria"/>
        <s v="Provisión genérica voluntaria cartera microcrédito"/>
        <s v="Provisión genérica voluntaria cartera comercial ordinaria"/>
        <s v="Provisión genérica voluntaria cartera refinanciada"/>
        <s v="Provisión genérica voluntaria cartera reestructurada"/>
        <s v="Provisión cartera refinanciada de consumo ordinario"/>
        <s v="Provisión cartera refinanciada de vivienda de interés público"/>
        <s v="Provisión cartera refinanciada educativo"/>
        <s v="Provisión cartera reestructurada de consumo ordinario"/>
        <s v="Provisión cartera reestructurada de vivienda de interés público"/>
        <s v="Provisión cartera reestructurada educativo"/>
        <s v="Provisión genérica por  tecnología crediticia cartera de consumo ordinario"/>
        <s v="Provisión genérica voluntaria cartera de consumo ordinario"/>
        <s v="Provisión genérica voluntaria cartera de vivienda de interés público"/>
        <s v="Provisión genérica voluntaria cartera de crédito educativo"/>
        <s v="Depósitos o captaciones constituidos como garantía de préstamos"/>
        <s v="Cartera comercial prioritario"/>
        <s v="Cartera de consumo prioritario"/>
        <s v="Cartera de créditos de consumo ordinario"/>
        <s v="Intereses pagados por depósitos o captaciones constituidos como garantía de préstamos"/>
        <s v="Operaciones de financiamiento afianzadas"/>
        <s v="Otras cuentas de orden acreedoras"/>
        <s v="Cartas de crédito avisadas"/>
        <s v="Créditos aprobados no instrumentados"/>
      </sharedItems>
    </cacheField>
    <cacheField name="CODIGO_CONTABLE" numFmtId="0">
      <sharedItems count="1382">
        <s v="1"/>
        <s v="11"/>
        <s v="1101"/>
        <s v="110105"/>
        <s v="110110"/>
        <s v="1102"/>
        <s v="110205"/>
        <s v="110210"/>
        <s v="110215"/>
        <s v="1103"/>
        <s v="110305"/>
        <s v="110310"/>
        <s v="110315"/>
        <s v="110320"/>
        <s v="1104"/>
        <s v="110401"/>
        <s v="1105"/>
        <s v="110505"/>
        <s v="110510"/>
        <s v="12"/>
        <s v="1201"/>
        <s v="120105"/>
        <s v="120110"/>
        <s v="120115"/>
        <s v="1202"/>
        <s v="120205"/>
        <s v="120210"/>
        <s v="120215"/>
        <s v="120220"/>
        <s v="1299"/>
        <s v="129905"/>
        <s v="129910"/>
        <s v="13"/>
        <s v="1301"/>
        <s v="130105"/>
        <s v="130110"/>
        <s v="130115"/>
        <s v="130120"/>
        <s v="130125"/>
        <s v="130150"/>
        <s v="130155"/>
        <s v="130160"/>
        <s v="130165"/>
        <s v="130170"/>
        <s v="1302"/>
        <s v="130205"/>
        <s v="130210"/>
        <s v="130215"/>
        <s v="130220"/>
        <s v="130225"/>
        <s v="1303"/>
        <s v="130305"/>
        <s v="130310"/>
        <s v="130315"/>
        <s v="130320"/>
        <s v="130325"/>
        <s v="130350"/>
        <s v="130355"/>
        <s v="130360"/>
        <s v="130365"/>
        <s v="130370"/>
        <s v="1304"/>
        <s v="130405"/>
        <s v="130410"/>
        <s v="130415"/>
        <s v="130420"/>
        <s v="130425"/>
        <s v="1305"/>
        <s v="130505"/>
        <s v="130510"/>
        <s v="130515"/>
        <s v="130520"/>
        <s v="130525"/>
        <s v="130530"/>
        <s v="130535"/>
        <s v="130540"/>
        <s v="130550"/>
        <s v="130555"/>
        <s v="130560"/>
        <s v="130565"/>
        <s v="130570"/>
        <s v="130575"/>
        <s v="130580"/>
        <s v="130585"/>
        <s v="1306"/>
        <s v="130605"/>
        <s v="130610"/>
        <s v="130615"/>
        <s v="130620"/>
        <s v="130625"/>
        <s v="130630"/>
        <s v="130635"/>
        <s v="130640"/>
        <s v="1307"/>
        <s v="130705"/>
        <s v="130710"/>
        <s v="130715"/>
        <s v="130720"/>
        <s v="130790"/>
        <s v="1399"/>
        <s v="139905"/>
        <s v="139910"/>
        <s v="14"/>
        <s v="1401"/>
        <s v="140105"/>
        <s v="140110"/>
        <s v="140115"/>
        <s v="140120"/>
        <s v="140125"/>
        <s v="1402"/>
        <s v="140205"/>
        <s v="140210"/>
        <s v="140215"/>
        <s v="140220"/>
        <s v="140225"/>
        <s v="1403"/>
        <s v="140305"/>
        <s v="140310"/>
        <s v="140315"/>
        <s v="140320"/>
        <s v="140325"/>
        <s v="1404"/>
        <s v="140405"/>
        <s v="140410"/>
        <s v="140415"/>
        <s v="140420"/>
        <s v="140425"/>
        <s v="1406"/>
        <s v="140605"/>
        <s v="140610"/>
        <s v="140615"/>
        <s v="140620"/>
        <s v="140625"/>
        <s v="1407"/>
        <s v="140705"/>
        <s v="140710"/>
        <s v="140715"/>
        <s v="140720"/>
        <s v="140725"/>
        <s v="1408"/>
        <s v="140805"/>
        <s v="140810"/>
        <s v="140815"/>
        <s v="140820"/>
        <s v="140825"/>
        <s v="1409"/>
        <s v="140905"/>
        <s v="140910"/>
        <s v="140915"/>
        <s v="140920"/>
        <s v="140925"/>
        <s v="1410"/>
        <s v="141005"/>
        <s v="141010"/>
        <s v="141015"/>
        <s v="141020"/>
        <s v="141025"/>
        <s v="1411"/>
        <s v="141105"/>
        <s v="141110"/>
        <s v="141115"/>
        <s v="141120"/>
        <s v="141125"/>
        <s v="1412"/>
        <s v="141205"/>
        <s v="141210"/>
        <s v="141215"/>
        <s v="141220"/>
        <s v="141225"/>
        <s v="1414"/>
        <s v="141405"/>
        <s v="141410"/>
        <s v="141415"/>
        <s v="141420"/>
        <s v="141425"/>
        <s v="1415"/>
        <s v="141505"/>
        <s v="141510"/>
        <s v="141515"/>
        <s v="141520"/>
        <s v="141525"/>
        <s v="1416"/>
        <s v="141605"/>
        <s v="141610"/>
        <s v="141615"/>
        <s v="141620"/>
        <s v="141625"/>
        <s v="1417"/>
        <s v="141705"/>
        <s v="141710"/>
        <s v="141715"/>
        <s v="141720"/>
        <s v="141725"/>
        <s v="1418"/>
        <s v="141805"/>
        <s v="141810"/>
        <s v="141815"/>
        <s v="141820"/>
        <s v="141825"/>
        <s v="1419"/>
        <s v="141905"/>
        <s v="141910"/>
        <s v="141915"/>
        <s v="141920"/>
        <s v="141925"/>
        <s v="1420"/>
        <s v="142005"/>
        <s v="142010"/>
        <s v="142015"/>
        <s v="142020"/>
        <s v="142025"/>
        <s v="1422"/>
        <s v="142205"/>
        <s v="142210"/>
        <s v="142215"/>
        <s v="142220"/>
        <s v="142225"/>
        <s v="1423"/>
        <s v="142305"/>
        <s v="142310"/>
        <s v="142315"/>
        <s v="142320"/>
        <s v="142325"/>
        <s v="1424"/>
        <s v="142405"/>
        <s v="142410"/>
        <s v="142415"/>
        <s v="142420"/>
        <s v="142425"/>
        <s v="1425"/>
        <s v="142505"/>
        <s v="142510"/>
        <s v="142515"/>
        <s v="142520"/>
        <s v="142525"/>
        <s v="1426"/>
        <s v="142605"/>
        <s v="142610"/>
        <s v="142615"/>
        <s v="142620"/>
        <s v="142625"/>
        <s v="1427"/>
        <s v="142705"/>
        <s v="142710"/>
        <s v="142715"/>
        <s v="142720"/>
        <s v="142725"/>
        <s v="1428"/>
        <s v="142805"/>
        <s v="142810"/>
        <s v="142815"/>
        <s v="142820"/>
        <s v="142825"/>
        <s v="1430"/>
        <s v="143005"/>
        <s v="143010"/>
        <s v="143015"/>
        <s v="143020"/>
        <s v="143025"/>
        <s v="1431"/>
        <s v="143105"/>
        <s v="143110"/>
        <s v="143115"/>
        <s v="143120"/>
        <s v="143125"/>
        <s v="1432"/>
        <s v="143205"/>
        <s v="143210"/>
        <s v="143215"/>
        <s v="143220"/>
        <s v="143225"/>
        <s v="1433"/>
        <s v="143305"/>
        <s v="143310"/>
        <s v="143315"/>
        <s v="143320"/>
        <s v="143325"/>
        <s v="1434"/>
        <s v="143405"/>
        <s v="143410"/>
        <s v="143415"/>
        <s v="143420"/>
        <s v="143425"/>
        <s v="1435"/>
        <s v="143505"/>
        <s v="143510"/>
        <s v="143515"/>
        <s v="143520"/>
        <s v="143525"/>
        <s v="1436"/>
        <s v="143605"/>
        <s v="143610"/>
        <s v="143615"/>
        <s v="143620"/>
        <s v="143625"/>
        <s v="1438"/>
        <s v="143805"/>
        <s v="143810"/>
        <s v="143815"/>
        <s v="143820"/>
        <s v="143825"/>
        <s v="1439"/>
        <s v="143905"/>
        <s v="143910"/>
        <s v="143915"/>
        <s v="143920"/>
        <s v="143925"/>
        <s v="1440"/>
        <s v="144005"/>
        <s v="144010"/>
        <s v="144015"/>
        <s v="144020"/>
        <s v="144025"/>
        <s v="1441"/>
        <s v="144105"/>
        <s v="144110"/>
        <s v="144115"/>
        <s v="144120"/>
        <s v="144125"/>
        <s v="1442"/>
        <s v="144205"/>
        <s v="144210"/>
        <s v="144215"/>
        <s v="144220"/>
        <s v="144225"/>
        <s v="1443"/>
        <s v="144305"/>
        <s v="144310"/>
        <s v="144315"/>
        <s v="144320"/>
        <s v="144325"/>
        <s v="1444"/>
        <s v="144405"/>
        <s v="144410"/>
        <s v="144415"/>
        <s v="144420"/>
        <s v="144425"/>
        <s v="1446"/>
        <s v="144605"/>
        <s v="144610"/>
        <s v="144615"/>
        <s v="144620"/>
        <s v="144625"/>
        <s v="1447"/>
        <s v="144705"/>
        <s v="144710"/>
        <s v="144715"/>
        <s v="144720"/>
        <s v="144725"/>
        <s v="1448"/>
        <s v="144805"/>
        <s v="144810"/>
        <s v="144815"/>
        <s v="144820"/>
        <s v="144825"/>
        <s v="1449"/>
        <s v="144905"/>
        <s v="144910"/>
        <s v="144915"/>
        <s v="144920"/>
        <s v="144925"/>
        <s v="1450"/>
        <s v="145005"/>
        <s v="145010"/>
        <s v="145015"/>
        <s v="145020"/>
        <s v="145025"/>
        <s v="1451"/>
        <s v="145105"/>
        <s v="145110"/>
        <s v="145115"/>
        <s v="145120"/>
        <s v="145125"/>
        <s v="145130"/>
        <s v="1452"/>
        <s v="145205"/>
        <s v="145210"/>
        <s v="145215"/>
        <s v="145220"/>
        <s v="145225"/>
        <s v="1454"/>
        <s v="145405"/>
        <s v="145410"/>
        <s v="145415"/>
        <s v="145420"/>
        <s v="145425"/>
        <s v="1455"/>
        <s v="145505"/>
        <s v="145510"/>
        <s v="145515"/>
        <s v="145520"/>
        <s v="145525"/>
        <s v="1456"/>
        <s v="145605"/>
        <s v="145610"/>
        <s v="145615"/>
        <s v="145620"/>
        <s v="145625"/>
        <s v="145630"/>
        <s v="1457"/>
        <s v="145705"/>
        <s v="145710"/>
        <s v="145715"/>
        <s v="145720"/>
        <s v="145725"/>
        <s v="1458"/>
        <s v="145805"/>
        <s v="145810"/>
        <s v="145815"/>
        <s v="145820"/>
        <s v="145825"/>
        <s v="1459"/>
        <s v="145905"/>
        <s v="145910"/>
        <s v="145915"/>
        <s v="145920"/>
        <s v="145925"/>
        <s v="145930"/>
        <s v="1460"/>
        <s v="146005"/>
        <s v="146010"/>
        <s v="146015"/>
        <s v="146020"/>
        <s v="146025"/>
        <s v="1462"/>
        <s v="146205"/>
        <s v="146210"/>
        <s v="146215"/>
        <s v="146220"/>
        <s v="146225"/>
        <s v="1463"/>
        <s v="146305"/>
        <s v="146310"/>
        <s v="146315"/>
        <s v="146320"/>
        <s v="146325"/>
        <s v="1464"/>
        <s v="146405"/>
        <s v="146410"/>
        <s v="146415"/>
        <s v="146420"/>
        <s v="146425"/>
        <s v="146430"/>
        <s v="1465"/>
        <s v="146505"/>
        <s v="146510"/>
        <s v="146515"/>
        <s v="146520"/>
        <s v="146525"/>
        <s v="1466"/>
        <s v="146605"/>
        <s v="146610"/>
        <s v="146615"/>
        <s v="146620"/>
        <s v="146625"/>
        <s v="1467"/>
        <s v="146705"/>
        <s v="146710"/>
        <s v="146715"/>
        <s v="146720"/>
        <s v="146725"/>
        <s v="146730"/>
        <s v="1468"/>
        <s v="146805"/>
        <s v="146810"/>
        <s v="146815"/>
        <s v="146820"/>
        <s v="146825"/>
        <s v="1470"/>
        <s v="147005"/>
        <s v="147010"/>
        <s v="147015"/>
        <s v="147020"/>
        <s v="147025"/>
        <s v="1471"/>
        <s v="147105"/>
        <s v="147110"/>
        <s v="147115"/>
        <s v="147120"/>
        <s v="147125"/>
        <s v="1472"/>
        <s v="147205"/>
        <s v="147210"/>
        <s v="147215"/>
        <s v="147220"/>
        <s v="147225"/>
        <s v="147230"/>
        <s v="1473"/>
        <s v="147305"/>
        <s v="147310"/>
        <s v="147315"/>
        <s v="147320"/>
        <s v="147325"/>
        <s v="1475"/>
        <s v="147505"/>
        <s v="147510"/>
        <s v="147515"/>
        <s v="147520"/>
        <s v="147525"/>
        <s v="1477"/>
        <s v="147705"/>
        <s v="147710"/>
        <s v="147715"/>
        <s v="147720"/>
        <s v="147725"/>
        <s v="1479"/>
        <s v="147905"/>
        <s v="147910"/>
        <s v="147915"/>
        <s v="147920"/>
        <s v="147925"/>
        <s v="1481"/>
        <s v="148105"/>
        <s v="148110"/>
        <s v="148115"/>
        <s v="148120"/>
        <s v="148125"/>
        <s v="1483"/>
        <s v="148305"/>
        <s v="148310"/>
        <s v="148315"/>
        <s v="148320"/>
        <s v="148325"/>
        <s v="1485"/>
        <s v="148505"/>
        <s v="148510"/>
        <s v="148515"/>
        <s v="148520"/>
        <s v="148525"/>
        <s v="1487"/>
        <s v="148705"/>
        <s v="148710"/>
        <s v="148715"/>
        <s v="148720"/>
        <s v="148725"/>
        <s v="1489"/>
        <s v="148905"/>
        <s v="148910"/>
        <s v="148915"/>
        <s v="148920"/>
        <s v="148925"/>
        <s v="1499"/>
        <s v="149905"/>
        <s v="149910"/>
        <s v="149915"/>
        <s v="149920"/>
        <s v="149930"/>
        <s v="149935"/>
        <s v="149940"/>
        <s v="149945"/>
        <s v="149950"/>
        <s v="149955"/>
        <s v="149980"/>
        <s v="149985"/>
        <s v="149987"/>
        <s v="149989"/>
        <s v="15"/>
        <s v="1501"/>
        <s v="150105"/>
        <s v="1502"/>
        <s v="150205"/>
        <s v="16"/>
        <s v="1601"/>
        <s v="160105"/>
        <s v="160110"/>
        <s v="1602"/>
        <s v="160205"/>
        <s v="160210"/>
        <s v="160215"/>
        <s v="160220"/>
        <s v="1603"/>
        <s v="160305"/>
        <s v="160310"/>
        <s v="160315"/>
        <s v="160320"/>
        <s v="160330"/>
        <s v="160335"/>
        <s v="160340"/>
        <s v="160341"/>
        <s v="160345"/>
        <s v="160350"/>
        <s v="1604"/>
        <s v="1605"/>
        <s v="160505"/>
        <s v="160510"/>
        <s v="160515"/>
        <s v="160590"/>
        <s v="1606"/>
        <s v="1611"/>
        <s v="1612"/>
        <s v="1614"/>
        <s v="161405"/>
        <s v="161410"/>
        <s v="161415"/>
        <s v="161420"/>
        <s v="161425"/>
        <s v="161430"/>
        <s v="161490"/>
        <s v="1615"/>
        <s v="161505"/>
        <s v="161510"/>
        <s v="161515"/>
        <s v="161520"/>
        <s v="161530"/>
        <s v="161535"/>
        <s v="161540"/>
        <s v="161545"/>
        <s v="1619"/>
        <s v="1690"/>
        <s v="169005"/>
        <s v="169010"/>
        <s v="169015"/>
        <s v="169020"/>
        <s v="169025"/>
        <s v="169030"/>
        <s v="169035"/>
        <s v="169040"/>
        <s v="169090"/>
        <s v="1699"/>
        <s v="169905"/>
        <s v="169910"/>
        <s v="17"/>
        <s v="1701"/>
        <s v="170105"/>
        <s v="170110"/>
        <s v="170115"/>
        <s v="170120"/>
        <s v="1702"/>
        <s v="170205"/>
        <s v="170210"/>
        <s v="170215"/>
        <s v="170220"/>
        <s v="170225"/>
        <s v="170290"/>
        <s v="1703"/>
        <s v="170305"/>
        <s v="170310"/>
        <s v="1704"/>
        <s v="170405"/>
        <s v="170410"/>
        <s v="170415"/>
        <s v="170420"/>
        <s v="170425"/>
        <s v="170490"/>
        <s v="1705"/>
        <s v="170505"/>
        <s v="170510"/>
        <s v="170515"/>
        <s v="170520"/>
        <s v="170525"/>
        <s v="170590"/>
        <s v="170599"/>
        <s v="1706"/>
        <s v="170605"/>
        <s v="170610"/>
        <s v="170615"/>
        <s v="170620"/>
        <s v="170690"/>
        <s v="170699"/>
        <s v="1799"/>
        <s v="179905"/>
        <s v="179910"/>
        <s v="179915"/>
        <s v="179920"/>
        <s v="18"/>
        <s v="1801"/>
        <s v="1802"/>
        <s v="1803"/>
        <s v="1804"/>
        <s v="1805"/>
        <s v="1806"/>
        <s v="1807"/>
        <s v="1808"/>
        <s v="1890"/>
        <s v="1899"/>
        <s v="189905"/>
        <s v="189910"/>
        <s v="189915"/>
        <s v="189920"/>
        <s v="189925"/>
        <s v="189930"/>
        <s v="189940"/>
        <s v="19"/>
        <s v="1901"/>
        <s v="190105"/>
        <s v="190110"/>
        <s v="190115"/>
        <s v="190120"/>
        <s v="1902"/>
        <s v="190205"/>
        <s v="190210"/>
        <s v="190215"/>
        <s v="190220"/>
        <s v="190221"/>
        <s v="190225"/>
        <s v="190226"/>
        <s v="190230"/>
        <s v="190231"/>
        <s v="190235"/>
        <s v="190240"/>
        <s v="190245"/>
        <s v="190250"/>
        <s v="190255"/>
        <s v="190260"/>
        <s v="190265"/>
        <s v="190270"/>
        <s v="190275"/>
        <s v="190280"/>
        <s v="190285"/>
        <s v="190286"/>
        <s v="1903"/>
        <s v="190305"/>
        <s v="190310"/>
        <s v="1904"/>
        <s v="190405"/>
        <s v="190410"/>
        <s v="190490"/>
        <s v="190499"/>
        <s v="1905"/>
        <s v="190505"/>
        <s v="190510"/>
        <s v="190515"/>
        <s v="190520"/>
        <s v="190525"/>
        <s v="190530"/>
        <s v="190590"/>
        <s v="190599"/>
        <s v="1906"/>
        <s v="190605"/>
        <s v="190615"/>
        <s v="1908"/>
        <s v="1909"/>
        <s v="190905"/>
        <s v="190910"/>
        <s v="1990"/>
        <s v="199005"/>
        <s v="199010"/>
        <s v="199015"/>
        <s v="199025"/>
        <s v="199090"/>
        <s v="1999"/>
        <s v="199905"/>
        <s v="199910"/>
        <s v="199990"/>
        <s v="2"/>
        <s v="21"/>
        <s v="2101"/>
        <s v="210135"/>
        <s v="210140"/>
        <s v="210145"/>
        <s v="210150"/>
        <s v="210155"/>
        <s v="2102"/>
        <s v="210205"/>
        <s v="210210"/>
        <s v="210215"/>
        <s v="2103"/>
        <s v="210305"/>
        <s v="210310"/>
        <s v="210315"/>
        <s v="210320"/>
        <s v="210325"/>
        <s v="210330"/>
        <s v="2104"/>
        <s v="2105"/>
        <s v="22"/>
        <s v="2201"/>
        <s v="220105"/>
        <s v="220110"/>
        <s v="220115"/>
        <s v="2202"/>
        <s v="220205"/>
        <s v="220210"/>
        <s v="220215"/>
        <s v="220220"/>
        <s v="2203"/>
        <s v="23"/>
        <s v="2302"/>
        <s v="230205"/>
        <s v="230210"/>
        <s v="2304"/>
        <s v="230405"/>
        <s v="230410"/>
        <s v="230415"/>
        <s v="24"/>
        <s v="2401"/>
        <s v="2402"/>
        <s v="25"/>
        <s v="2501"/>
        <s v="250105"/>
        <s v="250110"/>
        <s v="250115"/>
        <s v="250120"/>
        <s v="250125"/>
        <s v="250130"/>
        <s v="250135"/>
        <s v="250140"/>
        <s v="250145"/>
        <s v="250150"/>
        <s v="250190"/>
        <s v="2502"/>
        <s v="2503"/>
        <s v="250305"/>
        <s v="250310"/>
        <s v="250315"/>
        <s v="250320"/>
        <s v="250325"/>
        <s v="250330"/>
        <s v="250390"/>
        <s v="2504"/>
        <s v="250405"/>
        <s v="250490"/>
        <s v="2505"/>
        <s v="250505"/>
        <s v="250510"/>
        <s v="250590"/>
        <s v="2506"/>
        <s v="2507"/>
        <s v="2508"/>
        <s v="250805"/>
        <s v="250815"/>
        <s v="2510"/>
        <s v="2511"/>
        <s v="2590"/>
        <s v="259010"/>
        <s v="259015"/>
        <s v="259090"/>
        <s v="26"/>
        <s v="2601"/>
        <s v="2602"/>
        <s v="260205"/>
        <s v="260210"/>
        <s v="260215"/>
        <s v="260220"/>
        <s v="260225"/>
        <s v="2603"/>
        <s v="260305"/>
        <s v="260310"/>
        <s v="260315"/>
        <s v="260320"/>
        <s v="260325"/>
        <s v="2606"/>
        <s v="260605"/>
        <s v="260610"/>
        <s v="260615"/>
        <s v="260620"/>
        <s v="260625"/>
        <s v="2607"/>
        <s v="260705"/>
        <s v="260710"/>
        <s v="260715"/>
        <s v="260720"/>
        <s v="260725"/>
        <s v="2608"/>
        <s v="260805"/>
        <s v="260810"/>
        <s v="260815"/>
        <s v="260820"/>
        <s v="260825"/>
        <s v="2610"/>
        <s v="261005"/>
        <s v="261010"/>
        <s v="261090"/>
        <s v="2690"/>
        <s v="269005"/>
        <s v="269010"/>
        <s v="269015"/>
        <s v="269020"/>
        <s v="269025"/>
        <s v="27"/>
        <s v="2701"/>
        <s v="270115"/>
        <s v="2702"/>
        <s v="270205"/>
        <s v="2703"/>
        <s v="270390"/>
        <s v="2790"/>
        <s v="29"/>
        <s v="2901"/>
        <s v="290115"/>
        <s v="290120"/>
        <s v="290190"/>
        <s v="2902"/>
        <s v="2906"/>
        <s v="2908"/>
        <s v="2912"/>
        <s v="2990"/>
        <s v="299005"/>
        <s v="299090"/>
        <s v="3"/>
        <s v="31"/>
        <s v="3103"/>
        <s v="32"/>
        <s v="3201"/>
        <s v="33"/>
        <s v="3301"/>
        <s v="330105"/>
        <s v="330115"/>
        <s v="330120"/>
        <s v="3302"/>
        <s v="3303"/>
        <s v="3305"/>
        <s v="3310"/>
        <s v="34"/>
        <s v="3401"/>
        <s v="35"/>
        <s v="3501"/>
        <s v="3502"/>
        <s v="3504"/>
        <s v="36"/>
        <s v="3601"/>
        <s v="3602"/>
        <s v="3603"/>
        <s v="3604"/>
        <s v="4"/>
        <s v="41"/>
        <s v="4101"/>
        <s v="410115"/>
        <s v="410120"/>
        <s v="410125"/>
        <s v="410130"/>
        <s v="410135"/>
        <s v="410140"/>
        <s v="410190"/>
        <s v="4102"/>
        <s v="410205"/>
        <s v="410210"/>
        <s v="4103"/>
        <s v="410305"/>
        <s v="410310"/>
        <s v="410315"/>
        <s v="410330"/>
        <s v="410335"/>
        <s v="410340"/>
        <s v="410350"/>
        <s v="4104"/>
        <s v="410405"/>
        <s v="410410"/>
        <s v="410415"/>
        <s v="4105"/>
        <s v="410590"/>
        <s v="42"/>
        <s v="4201"/>
        <s v="4202"/>
        <s v="4203"/>
        <s v="4204"/>
        <s v="4205"/>
        <s v="4290"/>
        <s v="43"/>
        <s v="4302"/>
        <s v="4303"/>
        <s v="430305"/>
        <s v="430310"/>
        <s v="430390"/>
        <s v="4304"/>
        <s v="4305"/>
        <s v="4306"/>
        <s v="44"/>
        <s v="4401"/>
        <s v="4402"/>
        <s v="440210"/>
        <s v="440215"/>
        <s v="440220"/>
        <s v="440225"/>
        <s v="440230"/>
        <s v="440235"/>
        <s v="440240"/>
        <s v="440245"/>
        <s v="4403"/>
        <s v="4404"/>
        <s v="4405"/>
        <s v="4406"/>
        <s v="4407"/>
        <s v="45"/>
        <s v="4501"/>
        <s v="450105"/>
        <s v="450110"/>
        <s v="450115"/>
        <s v="450120"/>
        <s v="450125"/>
        <s v="450130"/>
        <s v="450135"/>
        <s v="450190"/>
        <s v="4502"/>
        <s v="450205"/>
        <s v="450210"/>
        <s v="4503"/>
        <s v="450305"/>
        <s v="450310"/>
        <s v="450315"/>
        <s v="450320"/>
        <s v="450325"/>
        <s v="450330"/>
        <s v="450390"/>
        <s v="4504"/>
        <s v="450405"/>
        <s v="450410"/>
        <s v="450415"/>
        <s v="450420"/>
        <s v="450421"/>
        <s v="450430"/>
        <s v="450490"/>
        <s v="4505"/>
        <s v="450505"/>
        <s v="450510"/>
        <s v="450515"/>
        <s v="450520"/>
        <s v="450525"/>
        <s v="450530"/>
        <s v="450535"/>
        <s v="450540"/>
        <s v="450590"/>
        <s v="4506"/>
        <s v="450605"/>
        <s v="450610"/>
        <s v="450615"/>
        <s v="450620"/>
        <s v="450625"/>
        <s v="450630"/>
        <s v="450635"/>
        <s v="450690"/>
        <s v="4507"/>
        <s v="450705"/>
        <s v="450710"/>
        <s v="450715"/>
        <s v="450790"/>
        <s v="46"/>
        <s v="4601"/>
        <s v="4602"/>
        <s v="4690"/>
        <s v="47"/>
        <s v="4701"/>
        <s v="4702"/>
        <s v="4703"/>
        <s v="4790"/>
        <s v="48"/>
        <s v="4810"/>
        <s v="4815"/>
        <s v="4890"/>
        <s v="5"/>
        <s v="51"/>
        <s v="5101"/>
        <s v="510105"/>
        <s v="510110"/>
        <s v="510115"/>
        <s v="5102"/>
        <s v="510205"/>
        <s v="510210"/>
        <s v="5103"/>
        <s v="510305"/>
        <s v="510310"/>
        <s v="510315"/>
        <s v="510320"/>
        <s v="5104"/>
        <s v="510405"/>
        <s v="510410"/>
        <s v="510415"/>
        <s v="510420"/>
        <s v="510425"/>
        <s v="510426"/>
        <s v="510427"/>
        <s v="510428"/>
        <s v="510430"/>
        <s v="510435"/>
        <s v="510450"/>
        <s v="510455"/>
        <s v="5190"/>
        <s v="519005"/>
        <s v="519090"/>
        <s v="52"/>
        <s v="5201"/>
        <s v="5202"/>
        <s v="5203"/>
        <s v="5204"/>
        <s v="5205"/>
        <s v="5290"/>
        <s v="53"/>
        <s v="5302"/>
        <s v="5303"/>
        <s v="530305"/>
        <s v="530310"/>
        <s v="530390"/>
        <s v="5304"/>
        <s v="5305"/>
        <s v="5390"/>
        <s v="54"/>
        <s v="5404"/>
        <s v="5490"/>
        <s v="549005"/>
        <s v="549010"/>
        <s v="55"/>
        <s v="5501"/>
        <s v="5502"/>
        <s v="5590"/>
        <s v="56"/>
        <s v="5601"/>
        <s v="5602"/>
        <s v="5603"/>
        <s v="5604"/>
        <s v="560405"/>
        <s v="560410"/>
        <s v="560415"/>
        <s v="560420"/>
        <s v="5690"/>
        <s v="59"/>
        <s v="6"/>
        <s v="61"/>
        <s v="6190"/>
        <s v="64"/>
        <s v="6401"/>
        <s v="640105"/>
        <s v="640110"/>
        <s v="6402"/>
        <s v="640205"/>
        <s v="640210"/>
        <s v="640215"/>
        <s v="640290"/>
        <s v="6403"/>
        <s v="640305"/>
        <s v="640310"/>
        <s v="640315"/>
        <s v="6404"/>
        <s v="640405"/>
        <s v="640410"/>
        <s v="640415"/>
        <s v="640420"/>
        <s v="640430"/>
        <s v="640435"/>
        <s v="640440"/>
        <s v="640445"/>
        <s v="6405"/>
        <s v="640505"/>
        <s v="640510"/>
        <s v="640590"/>
        <s v="7"/>
        <s v="71"/>
        <s v="7101"/>
        <s v="710105"/>
        <s v="710110"/>
        <s v="710115"/>
        <s v="710120"/>
        <s v="710125"/>
        <s v="710190"/>
        <s v="7102"/>
        <s v="710205"/>
        <s v="710210"/>
        <s v="710215"/>
        <s v="710220"/>
        <s v="710225"/>
        <s v="710230"/>
        <s v="710235"/>
        <s v="710240"/>
        <s v="710250"/>
        <s v="710255"/>
        <s v="710260"/>
        <s v="710261"/>
        <s v="710265"/>
        <s v="710270"/>
        <s v="710275"/>
        <s v="710280"/>
        <s v="710290"/>
        <s v="7103"/>
        <s v="710305"/>
        <s v="710310"/>
        <s v="710315"/>
        <s v="710320"/>
        <s v="710325"/>
        <s v="710330"/>
        <s v="7104"/>
        <s v="710405"/>
        <s v="710410"/>
        <s v="7105"/>
        <s v="710505"/>
        <s v="710510"/>
        <s v="710515"/>
        <s v="710520"/>
        <s v="710525"/>
        <s v="710530"/>
        <s v="710535"/>
        <s v="7107"/>
        <s v="710705"/>
        <s v="710710"/>
        <s v="710715"/>
        <s v="710720"/>
        <s v="710730"/>
        <s v="710735"/>
        <s v="710740"/>
        <s v="710741"/>
        <s v="710745"/>
        <s v="710750"/>
        <s v="710755"/>
        <s v="710760"/>
        <s v="710790"/>
        <s v="7108"/>
        <s v="710805"/>
        <s v="710810"/>
        <s v="7109"/>
        <s v="710905"/>
        <s v="710910"/>
        <s v="710915"/>
        <s v="710920"/>
        <s v="710930"/>
        <s v="710935"/>
        <s v="710940"/>
        <s v="710941"/>
        <s v="710945"/>
        <s v="710950"/>
        <s v="710990"/>
        <s v="7110"/>
        <s v="711005"/>
        <s v="711010"/>
        <s v="711015"/>
        <s v="7112"/>
        <s v="711205"/>
        <s v="711210"/>
        <s v="711215"/>
        <s v="711220"/>
        <s v="7113"/>
        <s v="711305"/>
        <s v="711310"/>
        <s v="7114"/>
        <s v="711405"/>
        <s v="711410"/>
        <s v="711415"/>
        <s v="711420"/>
        <s v="7117"/>
        <s v="711710"/>
        <s v="711715"/>
        <s v="711720"/>
        <s v="711725"/>
        <s v="711730"/>
        <s v="711735"/>
        <s v="711740"/>
        <s v="711745"/>
        <s v="7190"/>
        <s v="719005"/>
        <s v="719010"/>
        <s v="719015"/>
        <s v="719020"/>
        <s v="719025"/>
        <s v="719035"/>
        <s v="719045"/>
        <s v="719050"/>
        <s v="719090"/>
        <s v="74"/>
        <s v="7401"/>
        <s v="740105"/>
        <s v="740110"/>
        <s v="740115"/>
        <s v="740120"/>
        <s v="740125"/>
        <s v="740130"/>
        <s v="740135"/>
        <s v="740140"/>
        <s v="740150"/>
        <s v="740155"/>
        <s v="740160"/>
        <s v="740165"/>
        <s v="740170"/>
        <s v="740175"/>
        <s v="740180"/>
        <s v="740185"/>
        <s v="7402"/>
        <s v="740205"/>
        <s v="740210"/>
        <s v="740215"/>
        <s v="740220"/>
        <s v="740225"/>
        <s v="740230"/>
        <s v="740235"/>
        <s v="740245"/>
        <s v="740250"/>
        <s v="7403"/>
        <s v="740305"/>
        <s v="740310"/>
        <s v="740315"/>
        <s v="740320"/>
        <s v="740325"/>
        <s v="740330"/>
        <s v="740335"/>
        <s v="740345"/>
        <s v="740350"/>
        <s v="7404"/>
        <s v="740405"/>
        <s v="740410"/>
        <s v="7405"/>
        <s v="740505"/>
        <s v="740510"/>
        <s v="7406"/>
        <s v="740605"/>
        <s v="740610"/>
        <s v="740615"/>
        <s v="740620"/>
        <s v="740625"/>
        <s v="740630"/>
        <s v="740635"/>
        <s v="7407"/>
        <s v="740710"/>
        <s v="740715"/>
        <s v="740720"/>
        <s v="740725"/>
        <s v="740730"/>
        <s v="7409"/>
        <s v="740905"/>
        <s v="740910"/>
        <s v="740915"/>
        <s v="740920"/>
        <s v="740925"/>
        <s v="740965"/>
        <s v="740970"/>
        <s v="740975"/>
        <s v="740980"/>
        <s v="740985"/>
        <s v="740990"/>
        <s v="7410"/>
        <s v="7411"/>
        <s v="741105"/>
        <s v="741110"/>
        <s v="741115"/>
        <s v="741120"/>
        <s v="741125"/>
        <s v="741130"/>
        <s v="741135"/>
        <s v="741140"/>
        <s v="7412"/>
        <s v="741205"/>
        <s v="741210"/>
        <s v="741215"/>
        <s v="741220"/>
        <s v="741225"/>
        <s v="741230"/>
        <s v="741235"/>
        <s v="7414"/>
        <s v="741401"/>
        <s v="741402"/>
        <s v="741403"/>
        <s v="741404"/>
        <s v="741406"/>
        <s v="741409"/>
        <s v="741410"/>
        <s v="741411"/>
        <s v="741412"/>
        <s v="741414"/>
        <s v="741417"/>
        <s v="741418"/>
        <s v="741419"/>
        <s v="741420"/>
        <s v="741421"/>
        <s v="741422"/>
        <s v="741423"/>
        <s v="741425"/>
        <s v="741428"/>
        <s v="741429"/>
        <s v="741430"/>
        <s v="741431"/>
        <s v="741432"/>
        <s v="741434"/>
        <s v="741435"/>
        <s v="741436"/>
        <s v="741438"/>
        <s v="741439"/>
        <s v="741440"/>
        <s v="741441"/>
        <s v="7415"/>
        <s v="741505"/>
        <s v="741510"/>
        <s v="741515"/>
        <s v="741520"/>
        <s v="741530"/>
        <s v="741535"/>
        <s v="741540"/>
        <s v="741545"/>
        <s v="7416"/>
        <s v="741605"/>
        <s v="741610"/>
        <s v="7417"/>
        <s v="741705"/>
        <s v="741715"/>
        <s v="7490"/>
        <s v="749010"/>
        <s v="749020"/>
        <s v="749090"/>
      </sharedItems>
    </cacheField>
    <cacheField name="VALOR" numFmtId="2">
      <sharedItems containsSemiMixedTypes="0" containsString="0" containsNumber="1" minValue="-19160818.309999999" maxValue="1794229332.9399998"/>
    </cacheField>
    <cacheField name="AÑO" numFmtId="2">
      <sharedItems containsSemiMixedTypes="0" containsString="0" containsNumber="1" containsInteger="1" minValue="2019" maxValue="2019" count="1">
        <n v="2019"/>
      </sharedItems>
    </cacheField>
    <cacheField name="TIPO" numFmtId="0">
      <sharedItems count="7">
        <s v="1"/>
        <s v="2"/>
        <s v="3"/>
        <s v="4"/>
        <s v="5"/>
        <s v="6"/>
        <s v="7"/>
      </sharedItems>
    </cacheField>
    <cacheField name="GRUPO" numFmtId="2">
      <sharedItems containsSemiMixedTypes="0" containsString="0" containsNumber="1" containsInteger="1" minValue="1" maxValue="6" count="4">
        <n v="1"/>
        <n v="2"/>
        <n v="4"/>
        <n v="6"/>
      </sharedItems>
    </cacheField>
  </cacheFields>
  <extLst>
    <ext xmlns:x14="http://schemas.microsoft.com/office/spreadsheetml/2009/9/main" uri="{725AE2AE-9491-48be-B2B4-4EB974FC3084}">
      <x14:pivotCacheDefinition pivotCacheId="118"/>
    </ext>
  </extLst>
</pivotCacheDefinition>
</file>

<file path=xl/pivotCache/pivotCacheDefinition4.xml><?xml version="1.0" encoding="utf-8"?>
<pivotCacheDefinition xmlns="http://schemas.openxmlformats.org/spreadsheetml/2006/main" xmlns:r="http://schemas.openxmlformats.org/officeDocument/2006/relationships" r:id="rId1" refreshedBy="Garcia Sonia Karina" refreshedDate="43545.653853009258" createdVersion="5" refreshedVersion="5" minRefreshableVersion="3" recordCount="36">
  <cacheSource type="worksheet">
    <worksheetSource ref="A1:G37" sheet="BOL_EF_TAB3_MUT" r:id="rId2"/>
  </cacheSource>
  <cacheFields count="7">
    <cacheField name="SEGMENTO" numFmtId="0">
      <sharedItems count="1">
        <s v="SEGMENTO 1 MUTUALISTA"/>
      </sharedItems>
    </cacheField>
    <cacheField name="NUM_RUC" numFmtId="0">
      <sharedItems count="4">
        <s v="0190006247001"/>
        <s v="1090056286001"/>
        <s v="1790075494001"/>
        <s v="1890012015001"/>
      </sharedItems>
    </cacheField>
    <cacheField name="NOM_RAZON_SOCIAL" numFmtId="0">
      <sharedItems count="4">
        <s v="AZUAY"/>
        <s v="IMBABURA"/>
        <s v="PICHINCHA"/>
        <s v="AMBATO"/>
      </sharedItems>
    </cacheField>
    <cacheField name="FEC_CORTE" numFmtId="15">
      <sharedItems containsSemiMixedTypes="0" containsNonDate="0" containsDate="1" containsString="0" minDate="2019-01-31T00:00:00" maxDate="2019-02-01T00:00:00" count="1">
        <d v="2019-01-31T00:00:00"/>
      </sharedItems>
    </cacheField>
    <cacheField name="CUENTA" numFmtId="0">
      <sharedItems count="9">
        <s v="CTA_1"/>
        <s v="CTA_2"/>
        <s v="CTA_2101"/>
        <s v="CTA_2103"/>
        <s v="CTA_3"/>
        <s v="INVERSION_BRUTA"/>
        <s v="CARTERA_BRUTA"/>
        <s v="CSR"/>
        <s v="ganancia_del_ejercicio"/>
      </sharedItems>
    </cacheField>
    <cacheField name="VALOR" numFmtId="2">
      <sharedItems containsSemiMixedTypes="0" containsString="0" containsNumber="1" minValue="-60037.240000000005" maxValue="708619337.00999999"/>
    </cacheField>
    <cacheField name="DESC_CUENTA" numFmtId="0">
      <sharedItems count="9">
        <s v="ACTIVO"/>
        <s v="PASIVO"/>
        <s v="DEPOSITOS A LA VISTA"/>
        <s v="DEPOSITOS A PLAZO"/>
        <s v="PATRIMONIO"/>
        <s v="INVERSION BRUTA"/>
        <s v="CARTERA BRUTA"/>
        <s v="CAPITAL SOCIAL + RESERVAS"/>
        <s v="GANANCIA DEL EJERCICIO"/>
      </sharedItems>
    </cacheField>
  </cacheFields>
  <extLst>
    <ext xmlns:x14="http://schemas.microsoft.com/office/spreadsheetml/2009/9/main" uri="{725AE2AE-9491-48be-B2B4-4EB974FC3084}">
      <x14:pivotCacheDefinition pivotCacheId="120"/>
    </ext>
  </extLst>
</pivotCacheDefinition>
</file>

<file path=xl/pivotCache/pivotCacheDefinition5.xml><?xml version="1.0" encoding="utf-8"?>
<pivotCacheDefinition xmlns="http://schemas.openxmlformats.org/spreadsheetml/2006/main" xmlns:r="http://schemas.openxmlformats.org/officeDocument/2006/relationships" r:id="rId1" refreshedBy="Garcia Sonia Karina" refreshedDate="43545.654013310188" createdVersion="5" refreshedVersion="5" minRefreshableVersion="3" recordCount="5">
  <cacheSource type="worksheet">
    <worksheetSource ref="A1:NW6" sheet="BOL_EF_TAB2_MUT" r:id="rId2"/>
  </cacheSource>
  <cacheFields count="388">
    <cacheField name="NUM_RUC" numFmtId="0">
      <sharedItems count="5">
        <s v="0190006247001"/>
        <s v="1090056286001"/>
        <s v="1790075494001"/>
        <s v="1890012015001"/>
        <s v="99"/>
      </sharedItems>
    </cacheField>
    <cacheField name="NOM_RAZON_SOCIAL" numFmtId="0">
      <sharedItems count="5">
        <s v="AZUAY"/>
        <s v="IMBABURA"/>
        <s v="PICHINCHA"/>
        <s v="AMBATO"/>
        <s v="VT_TOTAL MUTUALISTAS"/>
      </sharedItems>
    </cacheField>
    <cacheField name="FEC_CORTE" numFmtId="15">
      <sharedItems containsSemiMixedTypes="0" containsNonDate="0" containsDate="1" containsString="0" minDate="2019-01-31T00:00:00" maxDate="2019-02-01T00:00:00" count="1">
        <d v="2019-01-31T00:00:00"/>
      </sharedItems>
    </cacheField>
    <cacheField name="SEGMENTO" numFmtId="0">
      <sharedItems count="1">
        <s v="SEGMENTO 1 MUTUALISTA"/>
      </sharedItems>
    </cacheField>
    <cacheField name="MES" numFmtId="2">
      <sharedItems containsSemiMixedTypes="0" containsString="0" containsNumber="1" containsInteger="1" minValue="1" maxValue="1" count="1">
        <n v="1"/>
      </sharedItems>
    </cacheField>
    <cacheField name="A14" numFmtId="2">
      <sharedItems containsSemiMixedTypes="0" containsString="0" containsNumber="1" minValue="18566278.5" maxValue="584193684.56999993" count="5">
        <n v="143988855.16999999"/>
        <n v="40082661.770000003"/>
        <n v="381555889.13"/>
        <n v="18566278.5"/>
        <n v="584193684.56999993"/>
      </sharedItems>
    </cacheField>
    <cacheField name="A1499" numFmtId="2">
      <sharedItems containsSemiMixedTypes="0" containsString="0" containsNumber="1" minValue="-19160818.309999999" maxValue="-954257.55" count="5">
        <n v="-3081786.19"/>
        <n v="-1390291.53"/>
        <n v="-13734483.039999999"/>
        <n v="-954257.55"/>
        <n v="-19160818.309999999"/>
      </sharedItems>
    </cacheField>
    <cacheField name="A41" numFmtId="2">
      <sharedItems containsSemiMixedTypes="0" containsString="0" containsNumber="1" minValue="139377.79" maxValue="3515524.15" count="5">
        <n v="605427.80000000005"/>
        <n v="237733.72"/>
        <n v="2532984.84"/>
        <n v="139377.79"/>
        <n v="3515524.15"/>
      </sharedItems>
    </cacheField>
    <cacheField name="A42" numFmtId="2">
      <sharedItems containsSemiMixedTypes="0" containsString="0" containsNumber="1" minValue="672" maxValue="30623.51" count="5">
        <n v="10137.76"/>
        <n v="954.8"/>
        <n v="18858.95"/>
        <n v="672"/>
        <n v="30623.51"/>
      </sharedItems>
    </cacheField>
    <cacheField name="A43" numFmtId="2">
      <sharedItems containsSemiMixedTypes="0" containsString="0" containsNumber="1" minValue="0" maxValue="978246.77" count="4">
        <n v="8631.94"/>
        <n v="0"/>
        <n v="969614.83"/>
        <n v="978246.77"/>
      </sharedItems>
    </cacheField>
    <cacheField name="A44" numFmtId="2">
      <sharedItems containsSemiMixedTypes="0" containsString="0" containsNumber="1" minValue="63910.41" maxValue="505975.14" count="5">
        <n v="81834.63"/>
        <n v="63910.41"/>
        <n v="282326.13"/>
        <n v="77903.97"/>
        <n v="505975.14"/>
      </sharedItems>
    </cacheField>
    <cacheField name="A45" numFmtId="2">
      <sharedItems containsSemiMixedTypes="0" containsString="0" containsNumber="1" minValue="106222.39999999999" maxValue="3623714.87" count="5">
        <n v="528837.1"/>
        <n v="182287.5"/>
        <n v="2806367.87"/>
        <n v="106222.39999999999"/>
        <n v="3623714.87"/>
      </sharedItems>
    </cacheField>
    <cacheField name="A46" numFmtId="2">
      <sharedItems containsSemiMixedTypes="0" containsString="0" containsNumber="1" minValue="0" maxValue="118186.07" count="4">
        <n v="0"/>
        <n v="3792"/>
        <n v="114394.07"/>
        <n v="118186.07"/>
      </sharedItems>
    </cacheField>
    <cacheField name="A47" numFmtId="2">
      <sharedItems containsSemiMixedTypes="0" containsString="0" containsNumber="1" minValue="13803.87" maxValue="257445.31" count="5">
        <n v="60615.29"/>
        <n v="13803.87"/>
        <n v="165552.64000000001"/>
        <n v="17473.509999999998"/>
        <n v="257445.31"/>
      </sharedItems>
    </cacheField>
    <cacheField name="A48" numFmtId="2">
      <sharedItems containsSemiMixedTypes="0" containsString="0" containsNumber="1" minValue="0" maxValue="327326" count="5">
        <n v="147833.22"/>
        <n v="24384.78"/>
        <n v="155108"/>
        <n v="0"/>
        <n v="327326"/>
      </sharedItems>
    </cacheField>
    <cacheField name="A5" numFmtId="2">
      <sharedItems containsSemiMixedTypes="0" containsString="0" containsNumber="1" minValue="281612.43" maxValue="9788558.4100000001" count="5">
        <n v="1703539.29"/>
        <n v="569750.71"/>
        <n v="7233655.9800000004"/>
        <n v="281612.43"/>
        <n v="9788558.4100000001"/>
      </sharedItems>
    </cacheField>
    <cacheField name="A51" numFmtId="2">
      <sharedItems containsSemiMixedTypes="0" containsString="0" containsNumber="1" minValue="250878.56" maxValue="7447420.9700000007" count="5">
        <n v="1473640.66"/>
        <n v="486192.19"/>
        <n v="5236709.5599999996"/>
        <n v="250878.56"/>
        <n v="7447420.9700000007"/>
      </sharedItems>
    </cacheField>
    <cacheField name="A52" numFmtId="2">
      <sharedItems containsSemiMixedTypes="0" containsString="0" containsNumber="1" minValue="0" maxValue="252264.59" count="5">
        <n v="11717.65"/>
        <n v="674.65"/>
        <n v="239872.29"/>
        <n v="0"/>
        <n v="252264.59"/>
      </sharedItems>
    </cacheField>
    <cacheField name="A53" numFmtId="2">
      <sharedItems containsSemiMixedTypes="0" containsString="0" containsNumber="1" minValue="0" maxValue="332216.69" count="4">
        <n v="596.78"/>
        <n v="0"/>
        <n v="331619.90999999997"/>
        <n v="332216.69"/>
      </sharedItems>
    </cacheField>
    <cacheField name="A54" numFmtId="2">
      <sharedItems containsSemiMixedTypes="0" containsString="0" containsNumber="1" minValue="4579.49" maxValue="195152.26" count="5">
        <n v="24485.46"/>
        <n v="22596.240000000002"/>
        <n v="143491.07"/>
        <n v="4579.49"/>
        <n v="195152.26"/>
      </sharedItems>
    </cacheField>
    <cacheField name="A55" numFmtId="2">
      <sharedItems containsSemiMixedTypes="0" containsString="0" containsNumber="1" minValue="88.55" maxValue="458405.93" count="5">
        <n v="1000.67"/>
        <n v="88.55"/>
        <n v="454047.86"/>
        <n v="3268.85"/>
        <n v="458405.93"/>
      </sharedItems>
    </cacheField>
    <cacheField name="A56" numFmtId="2">
      <sharedItems containsSemiMixedTypes="0" containsString="0" containsNumber="1" minValue="22885.53" maxValue="1103097.97" count="5">
        <n v="192098.07"/>
        <n v="60199.08"/>
        <n v="827915.29"/>
        <n v="22885.53"/>
        <n v="1103097.97"/>
      </sharedItems>
    </cacheField>
    <cacheField name="patrimonio" numFmtId="2">
      <sharedItems containsSemiMixedTypes="0" containsString="0" containsNumber="1" minValue="2287927.66" maxValue="83774044.109999999" count="5">
        <n v="21000216.640000001"/>
        <n v="4762585.41"/>
        <n v="55723314.399999999"/>
        <n v="2287927.66"/>
        <n v="83774044.109999999"/>
      </sharedItems>
    </cacheField>
    <cacheField name="gastos" numFmtId="2">
      <sharedItems containsSemiMixedTypes="0" containsString="0" containsNumber="1" minValue="341649.67" maxValue="9357041.8200000003" count="5">
        <n v="1443317.74"/>
        <n v="526867.07999999996"/>
        <n v="7045207.3300000001"/>
        <n v="341649.67"/>
        <n v="9357041.8200000003"/>
      </sharedItems>
    </cacheField>
    <cacheField name="ingresos" numFmtId="2">
      <sharedItems containsSemiMixedTypes="0" containsString="0" containsNumber="1" minValue="281612.43" maxValue="9788558.4100000001" count="5">
        <n v="1703539.29"/>
        <n v="569750.71"/>
        <n v="7233655.9800000004"/>
        <n v="281612.43"/>
        <n v="9788558.4100000001"/>
      </sharedItems>
    </cacheField>
    <cacheField name="ingr_menos_gas" numFmtId="2">
      <sharedItems containsSemiMixedTypes="0" containsString="0" containsNumber="1" minValue="-60037.239999999991" maxValue="431516.58999999985" count="5">
        <n v="260221.55000000005"/>
        <n v="42883.630000000005"/>
        <n v="188448.65000000037"/>
        <n v="-60037.239999999991"/>
        <n v="431516.58999999985"/>
      </sharedItems>
    </cacheField>
    <cacheField name="patri_result" numFmtId="2">
      <sharedItems containsSemiMixedTypes="0" containsString="0" containsNumber="1" minValue="2227890.42" maxValue="84205560.700000003" count="5">
        <n v="21260438.190000001"/>
        <n v="4805469.04"/>
        <n v="55911763.049999997"/>
        <n v="2227890.42"/>
        <n v="84205560.700000003"/>
      </sharedItems>
    </cacheField>
    <cacheField name="act_inmo_net" numFmtId="2">
      <sharedItems containsSemiMixedTypes="0" containsString="0" containsNumber="1" minValue="3222934.29" maxValue="115364149.59999999" count="5">
        <n v="4831420.4000000004"/>
        <n v="3222934.29"/>
        <n v="102651879.71000002"/>
        <n v="4657915.2"/>
        <n v="115364149.59999999"/>
      </sharedItems>
    </cacheField>
    <cacheField name="I1_suficiencia_patrimonial" numFmtId="2">
      <sharedItems containsSemiMixedTypes="0" containsString="0" containsNumber="1" minValue="0.4783020566797781" maxValue="4.4004529578920515" count="5">
        <n v="4.4004529578920515"/>
        <n v="1.4910229646661521"/>
        <n v="0.54467354331898565"/>
        <n v="0.4783020566797781"/>
        <n v="0.72991099047636898"/>
      </sharedItems>
    </cacheField>
    <cacheField name="total_act" numFmtId="2">
      <sharedItems containsSemiMixedTypes="0" containsString="0" containsNumber="1" minValue="27894986.649999999" maxValue="974475646.21999991" count="5">
        <n v="185584543.81"/>
        <n v="52376778.75"/>
        <n v="708619337.00999999"/>
        <n v="27894986.649999999"/>
        <n v="974475646.21999991"/>
      </sharedItems>
    </cacheField>
    <cacheField name="act_impro_netos" numFmtId="2">
      <sharedItems containsSemiMixedTypes="0" containsString="0" containsNumber="1" minValue="4930200.1499999994" maxValue="139664743.34999996" count="5">
        <n v="10931577.609999999"/>
        <n v="4930200.1499999994"/>
        <n v="118468797.27000001"/>
        <n v="5334168.3200000012"/>
        <n v="139664743.34999996"/>
      </sharedItems>
    </cacheField>
    <cacheField name="I2_prop_act_impr_net" numFmtId="2">
      <sharedItems containsSemiMixedTypes="0" containsString="0" containsNumber="1" minValue="5.8903491560114311E-2" maxValue="0.19122318956191367" count="5">
        <n v="5.8903491560114311E-2"/>
        <n v="9.4129502952680147E-2"/>
        <n v="0.16718256344778268"/>
        <n v="0.19122318956191367"/>
        <n v="0.14332296952905987"/>
      </sharedItems>
    </cacheField>
    <cacheField name="act_produc" numFmtId="2">
      <sharedItems containsSemiMixedTypes="0" containsString="0" containsNumber="1" minValue="22560818.330000002" maxValue="834810902.87000024" count="5">
        <n v="174652966.19999999"/>
        <n v="47446578.600000001"/>
        <n v="590150539.74000001"/>
        <n v="22560818.330000002"/>
        <n v="834810902.87000024"/>
      </sharedItems>
    </cacheField>
    <cacheField name="I3_prop_act_prod_net" numFmtId="2">
      <sharedItems containsSemiMixedTypes="0" containsString="0" containsNumber="1" minValue="0.80877681043808647" maxValue="0.94109650843988557" count="5">
        <n v="0.94109650843988557"/>
        <n v="0.90587049704731992"/>
        <n v="0.8328174365522174"/>
        <n v="0.80877681043808647"/>
        <n v="0.85667703047094046"/>
      </sharedItems>
    </cacheField>
    <cacheField name="pas_con_cost" numFmtId="2">
      <sharedItems containsSemiMixedTypes="0" containsString="0" containsNumber="1" minValue="24596961.93" maxValue="863753753.26999986" count="5">
        <n v="159205028.78999999"/>
        <n v="46319199.709999993"/>
        <n v="633632562.84000003"/>
        <n v="24596961.93"/>
        <n v="863753753.26999986"/>
      </sharedItems>
    </cacheField>
    <cacheField name="I4_uti_pas_cost_prod_gene" numFmtId="2">
      <sharedItems containsSemiMixedTypes="0" containsString="0" containsNumber="1" minValue="0.91721971169469552" maxValue="1.097031717700178" count="5">
        <n v="1.097031717700178"/>
        <n v="1.0243393430166845"/>
        <n v="0.93137659639032822"/>
        <n v="0.91721971169469552"/>
        <n v="0.96649178045197748"/>
      </sharedItems>
    </cacheField>
    <cacheField name="Carte_impr_comer_pri" numFmtId="2">
      <sharedItems containsSemiMixedTypes="0" containsString="0" containsNumber="1" minValue="0" maxValue="1365031.33" count="5">
        <n v="159540.73000000001"/>
        <n v="69869.850000000006"/>
        <n v="1135620.75"/>
        <n v="0"/>
        <n v="1365031.33"/>
      </sharedItems>
    </cacheField>
    <cacheField name="Carte_impr_comer_ord" numFmtId="2">
      <sharedItems containsSemiMixedTypes="0" containsString="0" containsNumber="1" containsInteger="1" minValue="0" maxValue="0" count="1">
        <n v="0"/>
      </sharedItems>
    </cacheField>
    <cacheField name="Carte_impr_consu_pri" numFmtId="2">
      <sharedItems containsSemiMixedTypes="0" containsString="0" containsNumber="1" minValue="347527.74" maxValue="9833550.1799999997" count="5">
        <n v="642589.18999999994"/>
        <n v="688669.89"/>
        <n v="8154763.3599999994"/>
        <n v="347527.74"/>
        <n v="9833550.1799999997"/>
      </sharedItems>
    </cacheField>
    <cacheField name="Carte_impr_consu_ord" numFmtId="2">
      <sharedItems containsSemiMixedTypes="0" containsString="0" containsNumber="1" minValue="0" maxValue="388003.49" count="4">
        <n v="112796.67"/>
        <n v="0"/>
        <n v="275206.82"/>
        <n v="388003.49"/>
      </sharedItems>
    </cacheField>
    <cacheField name="Carte_impr_inmob" numFmtId="2">
      <sharedItems containsSemiMixedTypes="0" containsString="0" containsNumber="1" minValue="404198.24" maxValue="10679492.119999999" count="5">
        <n v="2710715.1599999997"/>
        <n v="408031.81999999995"/>
        <n v="7156546.9000000004"/>
        <n v="404198.24"/>
        <n v="10679492.119999999"/>
      </sharedItems>
    </cacheField>
    <cacheField name="Carte_impr_vivi_ip" numFmtId="2">
      <sharedItems containsSemiMixedTypes="0" containsString="0" containsNumber="1" minValue="0" maxValue="199441.18" count="2">
        <n v="0"/>
        <n v="199441.18"/>
      </sharedItems>
    </cacheField>
    <cacheField name="Carte_impr_micro" numFmtId="2">
      <sharedItems containsSemiMixedTypes="0" containsString="0" containsNumber="1" minValue="47255.8" maxValue="3208121.35" count="5">
        <n v="47255.8"/>
        <n v="227083.86"/>
        <n v="2168792.3499999996"/>
        <n v="764989.33999999985"/>
        <n v="3208121.35"/>
      </sharedItems>
    </cacheField>
    <cacheField name="Carte_impr_produ" numFmtId="2">
      <sharedItems containsSemiMixedTypes="0" containsString="0" containsNumber="1" containsInteger="1" minValue="0" maxValue="0" count="1">
        <n v="0"/>
      </sharedItems>
    </cacheField>
    <cacheField name="Carte_impr_educ" numFmtId="2">
      <sharedItems containsSemiMixedTypes="0" containsString="0" containsNumber="1" containsInteger="1" minValue="0" maxValue="0" count="1">
        <n v="0"/>
      </sharedItems>
    </cacheField>
    <cacheField name="Carte_impr_comer" numFmtId="2">
      <sharedItems containsSemiMixedTypes="0" containsString="0" containsNumber="1" minValue="0" maxValue="1365031.33" count="5">
        <n v="159540.73000000001"/>
        <n v="69869.850000000006"/>
        <n v="1135620.75"/>
        <n v="0"/>
        <n v="1365031.33"/>
      </sharedItems>
    </cacheField>
    <cacheField name="Carte_impr_consu" numFmtId="2">
      <sharedItems containsSemiMixedTypes="0" containsString="0" containsNumber="1" minValue="347527.74" maxValue="10221553.67" count="5">
        <n v="755385.86"/>
        <n v="688669.89"/>
        <n v="8429970.1799999997"/>
        <n v="347527.74"/>
        <n v="10221553.67"/>
      </sharedItems>
    </cacheField>
    <cacheField name="Carte_impr_vivie" numFmtId="2">
      <sharedItems containsSemiMixedTypes="0" containsString="0" containsNumber="1" minValue="404198.24" maxValue="10878933.299999999" count="5">
        <n v="2710715.1599999997"/>
        <n v="408031.81999999995"/>
        <n v="7355988.0800000001"/>
        <n v="404198.24"/>
        <n v="10878933.299999999"/>
      </sharedItems>
    </cacheField>
    <cacheField name="carte_impr" numFmtId="2">
      <sharedItems containsSemiMixedTypes="0" containsString="0" containsNumber="1" minValue="1393655.42" maxValue="25673639.649999999" count="5">
        <n v="3672897.5499999993"/>
        <n v="1393655.42"/>
        <n v="19090371.359999999"/>
        <n v="1516715.3199999998"/>
        <n v="25673639.649999999"/>
      </sharedItems>
    </cacheField>
    <cacheField name="Carte_bruta_comer_pri" numFmtId="2">
      <sharedItems containsSemiMixedTypes="0" containsString="0" containsNumber="1" minValue="0" maxValue="70424904.310000002" count="5">
        <n v="4692181.79"/>
        <n v="466720.3"/>
        <n v="65266002.219999999"/>
        <n v="0"/>
        <n v="70424904.310000002"/>
      </sharedItems>
    </cacheField>
    <cacheField name="Carte_bruta_consu_pri" numFmtId="2">
      <sharedItems containsSemiMixedTypes="0" containsString="0" containsNumber="1" minValue="6109577.0099999998" maxValue="124277586.70999999" count="5">
        <n v="16912839.780000001"/>
        <n v="19310752.359999999"/>
        <n v="81944417.559999987"/>
        <n v="6109577.0099999998"/>
        <n v="124277586.70999999"/>
      </sharedItems>
    </cacheField>
    <cacheField name="Carte_bruta_inmob" numFmtId="2">
      <sharedItems containsSemiMixedTypes="0" containsString="0" containsNumber="1" minValue="6064019.2000000002" maxValue="294654447.52999997" count="5">
        <n v="110443513.78999999"/>
        <n v="15473975.25"/>
        <n v="162672939.28999999"/>
        <n v="6064019.2000000002"/>
        <n v="294654447.52999997"/>
      </sharedItems>
    </cacheField>
    <cacheField name="Carte_bruta_micro" numFmtId="2">
      <sharedItems containsSemiMixedTypes="0" containsString="0" containsNumber="1" minValue="434887.17" maxValue="57922631.639999993" count="5">
        <n v="434887.17"/>
        <n v="6221505.3900000006"/>
        <n v="43919299.240000002"/>
        <n v="7346939.8399999999"/>
        <n v="57922631.639999993"/>
      </sharedItems>
    </cacheField>
    <cacheField name="Carte_bruta_produ" numFmtId="2">
      <sharedItems containsSemiMixedTypes="0" containsString="0" containsNumber="1" containsInteger="1" minValue="0" maxValue="0" count="1">
        <n v="0"/>
      </sharedItems>
    </cacheField>
    <cacheField name="Carte_bruta_comer_ord" numFmtId="2">
      <sharedItems containsSemiMixedTypes="0" containsString="0" containsNumber="1" minValue="0" maxValue="1275977.6000000001" count="2">
        <n v="0"/>
        <n v="1275977.6000000001"/>
      </sharedItems>
    </cacheField>
    <cacheField name="Carte_bruta_consu_ord" numFmtId="2">
      <sharedItems containsSemiMixedTypes="0" containsString="0" containsNumber="1" minValue="0" maxValue="44528648.340000004" count="4">
        <n v="14587218.83"/>
        <n v="0"/>
        <n v="29941429.509999998"/>
        <n v="44528648.340000004"/>
      </sharedItems>
    </cacheField>
    <cacheField name="Carte_bruta_vivi_ip" numFmtId="2">
      <sharedItems containsSemiMixedTypes="0" containsString="0" containsNumber="1" minValue="0" maxValue="10270306.750000002" count="2">
        <n v="0"/>
        <n v="10270306.750000002"/>
      </sharedItems>
    </cacheField>
    <cacheField name="Carte_bruta_educ" numFmtId="2">
      <sharedItems containsSemiMixedTypes="0" containsString="0" containsNumber="1" containsInteger="1" minValue="0" maxValue="0" count="1">
        <n v="0"/>
      </sharedItems>
    </cacheField>
    <cacheField name="Carte_bruta_comer" numFmtId="2">
      <sharedItems containsSemiMixedTypes="0" containsString="0" containsNumber="1" minValue="0" maxValue="71700881.909999996" count="5">
        <n v="4692181.79"/>
        <n v="466720.3"/>
        <n v="66541979.82"/>
        <n v="0"/>
        <n v="71700881.909999996"/>
      </sharedItems>
    </cacheField>
    <cacheField name="Carte_bruta_consu" numFmtId="2">
      <sharedItems containsSemiMixedTypes="0" containsString="0" containsNumber="1" minValue="6109577.0099999998" maxValue="168806235.05000001" count="5">
        <n v="31500058.609999999"/>
        <n v="19310752.359999999"/>
        <n v="111885847.06999999"/>
        <n v="6109577.0099999998"/>
        <n v="168806235.05000001"/>
      </sharedItems>
    </cacheField>
    <cacheField name="Carte_bruta_vivie" numFmtId="2">
      <sharedItems containsSemiMixedTypes="0" containsString="0" containsNumber="1" minValue="6064019.2000000002" maxValue="304924754.27999997" count="5">
        <n v="110443513.78999999"/>
        <n v="15473975.25"/>
        <n v="172943246.03999999"/>
        <n v="6064019.2000000002"/>
        <n v="304924754.27999997"/>
      </sharedItems>
    </cacheField>
    <cacheField name="Carte_bruta" numFmtId="2">
      <sharedItems containsSemiMixedTypes="0" containsString="0" containsNumber="1" minValue="19520536.050000001" maxValue="603354502.87999988" count="5">
        <n v="147070641.35999998"/>
        <n v="41472953.300000004"/>
        <n v="395290372.17000002"/>
        <n v="19520536.050000001"/>
        <n v="603354502.87999988"/>
      </sharedItems>
    </cacheField>
    <cacheField name="I5_Moros_carte" numFmtId="2">
      <sharedItems containsSemiMixedTypes="0" containsString="0" containsNumber="1" minValue="2.4973696422588312E-2" maxValue="7.7698446196102278E-2" count="5">
        <n v="2.4973696422588312E-2"/>
        <n v="3.3603958944491183E-2"/>
        <n v="4.8294551813141372E-2"/>
        <n v="7.7698446196102278E-2"/>
        <n v="4.2551500863011182E-2"/>
      </sharedItems>
    </cacheField>
    <cacheField name="I6_Moros_carte_comer_pri" numFmtId="2">
      <sharedItems containsSemiMixedTypes="0" containsString="0" containsNumber="1" minValue="0" maxValue="0.14970390188727598" count="5">
        <n v="3.4001395755811077E-2"/>
        <n v="0.14970390188727598"/>
        <n v="1.7399882195511619E-2"/>
        <n v="0"/>
        <n v="1.9382792825551231E-2"/>
      </sharedItems>
    </cacheField>
    <cacheField name="I7_Moros_carte_consu_pri" numFmtId="2">
      <sharedItems containsSemiMixedTypes="0" containsString="0" containsNumber="1" minValue="3.5662509526376632E-2" maxValue="9.9515788906902089E-2" count="5">
        <n v="3.7994162917565327E-2"/>
        <n v="3.5662509526376632E-2"/>
        <n v="9.9515788906902089E-2"/>
        <n v="5.6882455107968272E-2"/>
        <n v="7.9125693057964269E-2"/>
      </sharedItems>
    </cacheField>
    <cacheField name="I8_Moros_carte_inmob" numFmtId="2">
      <sharedItems containsSemiMixedTypes="0" containsString="0" containsNumber="1" minValue="2.4543905449750721E-2" maxValue="6.6655171540353955E-2" count="5">
        <n v="2.4543905449750721E-2"/>
        <n v="2.636890736916488E-2"/>
        <n v="4.3993468927501791E-2"/>
        <n v="6.6655171540353955E-2"/>
        <n v="3.6244123275664043E-2"/>
      </sharedItems>
    </cacheField>
    <cacheField name="I9_Moros_carte_micro" numFmtId="2">
      <sharedItems containsSemiMixedTypes="0" containsString="0" containsNumber="1" minValue="3.6499825326037363E-2" maxValue="0.10866220771700394" count="5">
        <n v="0.10866220771700394"/>
        <n v="3.6499825326037363E-2"/>
        <n v="4.9381305884424208E-2"/>
        <n v="0.1041235339692124"/>
        <n v="5.538631894246579E-2"/>
      </sharedItems>
    </cacheField>
    <cacheField name="I10_Moros_carte_produ" numFmtId="2">
      <sharedItems containsSemiMixedTypes="0" containsString="0" containsNumber="1" containsInteger="1" minValue="0" maxValue="0" count="1">
        <n v="0"/>
      </sharedItems>
    </cacheField>
    <cacheField name="I11_Moros_carte_comer_ord" numFmtId="2">
      <sharedItems containsSemiMixedTypes="0" containsString="0" containsNumber="1" containsInteger="1" minValue="0" maxValue="0" count="1">
        <n v="0"/>
      </sharedItems>
    </cacheField>
    <cacheField name="I12_Moros_carte_consu_ord" numFmtId="2">
      <sharedItems containsSemiMixedTypes="0" containsString="0" containsNumber="1" minValue="0" maxValue="9.1915056997557507E-3" count="4">
        <n v="7.7325685803809902E-3"/>
        <n v="0"/>
        <n v="9.1915056997557507E-3"/>
        <n v="8.7135699030742204E-3"/>
      </sharedItems>
    </cacheField>
    <cacheField name="I13_Moros_carte_vivi_ip" numFmtId="2">
      <sharedItems containsSemiMixedTypes="0" containsString="0" containsNumber="1" minValue="0" maxValue="1.9419203812972768E-2" count="2">
        <n v="0"/>
        <n v="1.9419203812972768E-2"/>
      </sharedItems>
    </cacheField>
    <cacheField name="I14_Moros_carte_educ" numFmtId="2">
      <sharedItems containsSemiMixedTypes="0" containsString="0" containsNumber="1" containsInteger="1" minValue="0" maxValue="0" count="1">
        <n v="0"/>
      </sharedItems>
    </cacheField>
    <cacheField name="Moros_carte_comer" numFmtId="2">
      <sharedItems containsSemiMixedTypes="0" containsString="0" containsNumber="1" minValue="0" maxValue="0.14970390188727598" count="5">
        <n v="3.4001395755811077E-2"/>
        <n v="0.14970390188727598"/>
        <n v="1.7066230266546339E-2"/>
        <n v="0"/>
        <n v="1.9037859697645109E-2"/>
      </sharedItems>
    </cacheField>
    <cacheField name="Moros_carte_consu" numFmtId="2">
      <sharedItems containsSemiMixedTypes="0" containsString="0" containsNumber="1" minValue="2.3980458873184299E-2" maxValue="7.5344383590588482E-2" count="5">
        <n v="2.3980458873184299E-2"/>
        <n v="3.5662509526376632E-2"/>
        <n v="7.5344383590588482E-2"/>
        <n v="5.6882455107968272E-2"/>
        <n v="6.0551991263666297E-2"/>
      </sharedItems>
    </cacheField>
    <cacheField name="Moros_carte_vivie" numFmtId="2">
      <sharedItems containsSemiMixedTypes="0" containsString="0" containsNumber="1" minValue="2.4543905449750721E-2" maxValue="6.6655171540353955E-2" count="5">
        <n v="2.4543905449750721E-2"/>
        <n v="2.636890736916488E-2"/>
        <n v="4.2534115950955582E-2"/>
        <n v="6.6655171540353955E-2"/>
        <n v="3.5677435653552483E-2"/>
      </sharedItems>
    </cacheField>
    <cacheField name="Prov_carte_comer_pri" numFmtId="2">
      <sharedItems containsSemiMixedTypes="0" containsString="0" containsNumber="1" minValue="0" maxValue="967750.39" count="5">
        <n v="46254.76"/>
        <n v="31004.45"/>
        <n v="890491.18"/>
        <n v="0"/>
        <n v="967750.39"/>
      </sharedItems>
    </cacheField>
    <cacheField name="Prov_carte_consu_pri" numFmtId="2">
      <sharedItems containsSemiMixedTypes="0" containsString="0" containsNumber="1" minValue="283650.34999999998" maxValue="7605031.9000000004" count="5">
        <n v="617650.42000000004"/>
        <n v="740738.7"/>
        <n v="5962992.4299999997"/>
        <n v="283650.34999999998"/>
        <n v="7605031.9000000004"/>
      </sharedItems>
    </cacheField>
    <cacheField name="Prov_carte_inmob" numFmtId="2">
      <sharedItems containsSemiMixedTypes="0" containsString="0" containsNumber="1" minValue="203123.09000000003" maxValue="7366995.9299999997" count="5">
        <n v="2233430.41"/>
        <n v="303819.88"/>
        <n v="4626622.55"/>
        <n v="203123.09000000003"/>
        <n v="7366995.9299999997"/>
      </sharedItems>
    </cacheField>
    <cacheField name="Prov_carte_micro" numFmtId="2">
      <sharedItems containsSemiMixedTypes="0" containsString="0" containsNumber="1" minValue="34142.400000000001" maxValue="2733091.84" count="5">
        <n v="34142.400000000001"/>
        <n v="314728.5"/>
        <n v="1916736.83"/>
        <n v="467484.11"/>
        <n v="2733091.84"/>
      </sharedItems>
    </cacheField>
    <cacheField name="Prov_carte_produ" numFmtId="2">
      <sharedItems containsSemiMixedTypes="0" containsString="0" containsNumber="1" containsInteger="1" minValue="0" maxValue="0" count="1">
        <n v="0"/>
      </sharedItems>
    </cacheField>
    <cacheField name="Prov_carte_comer_ord" numFmtId="2">
      <sharedItems containsSemiMixedTypes="0" containsString="0" containsNumber="1" minValue="0" maxValue="5916.5" count="2">
        <n v="0"/>
        <n v="5916.5"/>
      </sharedItems>
    </cacheField>
    <cacheField name="Prov_carte_consu_ord" numFmtId="2">
      <sharedItems containsSemiMixedTypes="0" containsString="0" containsNumber="1" minValue="0" maxValue="384333.71" count="4">
        <n v="150308.20000000001"/>
        <n v="0"/>
        <n v="234025.51"/>
        <n v="384333.71"/>
      </sharedItems>
    </cacheField>
    <cacheField name="Prov_carte_vivi_ip" numFmtId="2">
      <sharedItems containsSemiMixedTypes="0" containsString="0" containsNumber="1" minValue="0" maxValue="97698.04" count="2">
        <n v="0"/>
        <n v="97698.04"/>
      </sharedItems>
    </cacheField>
    <cacheField name="Prov_carte_educ" numFmtId="2">
      <sharedItems containsSemiMixedTypes="0" containsString="0" containsNumber="1" containsInteger="1" minValue="0" maxValue="0" count="1">
        <n v="0"/>
      </sharedItems>
    </cacheField>
    <cacheField name="Prov_carte_comer" numFmtId="2">
      <sharedItems containsSemiMixedTypes="0" containsString="0" containsNumber="1" minValue="0" maxValue="973666.89" count="5">
        <n v="46254.76"/>
        <n v="31004.45"/>
        <n v="896407.68"/>
        <n v="0"/>
        <n v="973666.89"/>
      </sharedItems>
    </cacheField>
    <cacheField name="Prov_carte_consu" numFmtId="2">
      <sharedItems containsSemiMixedTypes="0" containsString="0" containsNumber="1" minValue="283650.34999999998" maxValue="7989365.6100000003" count="5">
        <n v="767958.62000000011"/>
        <n v="740738.7"/>
        <n v="6197017.9399999995"/>
        <n v="283650.34999999998"/>
        <n v="7989365.6100000003"/>
      </sharedItems>
    </cacheField>
    <cacheField name="Prov_carte_vivie" numFmtId="2">
      <sharedItems containsSemiMixedTypes="0" containsString="0" containsNumber="1" minValue="203123.09000000003" maxValue="7464693.9699999997" count="5">
        <n v="2233430.41"/>
        <n v="303819.88"/>
        <n v="4724320.59"/>
        <n v="203123.09000000003"/>
        <n v="7464693.9699999997"/>
      </sharedItems>
    </cacheField>
    <cacheField name="Prov_carte" numFmtId="2">
      <sharedItems containsSemiMixedTypes="0" containsString="0" containsNumber="1" minValue="-19160818.309999999" maxValue="-954257.55" count="5">
        <n v="-3081786.19"/>
        <n v="-1390291.53"/>
        <n v="-13734483.039999999"/>
        <n v="-954257.55"/>
        <n v="-19160818.309999999"/>
      </sharedItems>
    </cacheField>
    <cacheField name="I15_Cober_carte" numFmtId="2">
      <sharedItems containsSemiMixedTypes="0" containsString="0" containsNumber="1" minValue="0.62916061927824407" maxValue="0.99758628284170858" count="5">
        <n v="0.83906129916419814"/>
        <n v="0.99758628284170858"/>
        <n v="0.719445566615735"/>
        <n v="0.62916061927824407"/>
        <n v="0.74632263174263258"/>
      </sharedItems>
    </cacheField>
    <cacheField name="I16_Cober_carte_comer_pri" numFmtId="2">
      <sharedItems containsSemiMixedTypes="0" containsString="0" containsNumber="1" minValue="0" maxValue="0.78414486526421789" count="5">
        <n v="0.28992446004227257"/>
        <n v="0.44374576444632408"/>
        <n v="0.78414486526421789"/>
        <n v="0"/>
        <n v="0.70895837240600179"/>
      </sharedItems>
    </cacheField>
    <cacheField name="I17_Cober_carte_consu_pri" numFmtId="2">
      <sharedItems containsSemiMixedTypes="0" containsString="0" containsNumber="1" minValue="0.73122813829879185" maxValue="1.0756077922907301" count="5">
        <n v="0.96119018124161115"/>
        <n v="1.0756077922907301"/>
        <n v="0.73122813829879185"/>
        <n v="0.8161948453381016"/>
        <n v="0.77337601993098293"/>
      </sharedItems>
    </cacheField>
    <cacheField name="I18_Cober_carte_inmob" numFmtId="2">
      <sharedItems containsSemiMixedTypes="0" containsString="0" containsNumber="1" minValue="0.50253333611744577" maxValue="0.82392663122893384" count="5">
        <n v="0.82392663122893384"/>
        <n v="0.74459849724465133"/>
        <n v="0.64648811985009136"/>
        <n v="0.50253333611744577"/>
        <n v="0.68982643062243298"/>
      </sharedItems>
    </cacheField>
    <cacheField name="I19_Cober_carte_micro" numFmtId="2">
      <sharedItems containsSemiMixedTypes="0" containsString="0" containsNumber="1" minValue="0.61109885531215391" maxValue="1.3859571525690995" count="5">
        <n v="0.72250178814029176"/>
        <n v="1.3859571525690995"/>
        <n v="0.88378070404020026"/>
        <n v="0.61109885531215391"/>
        <n v="0.85192907057583711"/>
      </sharedItems>
    </cacheField>
    <cacheField name="I20_Cober_carte_produ" numFmtId="2">
      <sharedItems containsSemiMixedTypes="0" containsString="0" containsNumber="1" containsInteger="1" minValue="0" maxValue="0" count="1">
        <n v="0"/>
      </sharedItems>
    </cacheField>
    <cacheField name="I21_Cober_carte_comer_ord" numFmtId="2">
      <sharedItems containsSemiMixedTypes="0" containsString="0" containsNumber="1" containsInteger="1" minValue="0" maxValue="0" count="1">
        <n v="0"/>
      </sharedItems>
    </cacheField>
    <cacheField name="I22_Cober_carte_consu_ord" numFmtId="2">
      <sharedItems containsSemiMixedTypes="0" containsString="0" containsNumber="1" minValue="0" maxValue="1.3325588423842656" count="4">
        <n v="1.3325588423842656"/>
        <n v="0"/>
        <n v="0.85036232023610459"/>
        <n v="0.99054188919795549"/>
      </sharedItems>
    </cacheField>
    <cacheField name="I23_Cober_carte_vivi_ip" numFmtId="2">
      <sharedItems containsSemiMixedTypes="0" containsString="0" containsNumber="1" minValue="0" maxValue="0.48985891479382543" count="2">
        <n v="0"/>
        <n v="0.48985891479382543"/>
      </sharedItems>
    </cacheField>
    <cacheField name="I24_Cober_carte_educ" numFmtId="2">
      <sharedItems containsSemiMixedTypes="0" containsString="0" containsNumber="1" containsInteger="1" minValue="0" maxValue="0" count="1">
        <n v="0"/>
      </sharedItems>
    </cacheField>
    <cacheField name="Cober_carte_comer" numFmtId="2">
      <sharedItems containsSemiMixedTypes="0" containsString="0" containsNumber="1" minValue="0" maxValue="0.78935479120119989" count="5">
        <n v="0.28992446004227257"/>
        <n v="0.44374576444632408"/>
        <n v="0.78935479120119989"/>
        <n v="0"/>
        <n v="0.71329270515717758"/>
      </sharedItems>
    </cacheField>
    <cacheField name="Cober_carte_consu" numFmtId="2">
      <sharedItems containsSemiMixedTypes="0" containsString="0" containsNumber="1" minValue="0.73511742125759216" maxValue="1.0756077922907301" count="5">
        <n v="1.0166441558755153"/>
        <n v="1.0756077922907301"/>
        <n v="0.73511742125759216"/>
        <n v="0.8161948453381016"/>
        <n v="0.78161949425052524"/>
      </sharedItems>
    </cacheField>
    <cacheField name="Cober_carte_vivie" numFmtId="2">
      <sharedItems containsSemiMixedTypes="0" containsString="0" containsNumber="1" minValue="0.50253333611744577" maxValue="0.82392663122893384" count="5">
        <n v="0.82392663122893384"/>
        <n v="0.74459849724465133"/>
        <n v="0.64224146893941125"/>
        <n v="0.50253333611744577"/>
        <n v="0.68616046850843371"/>
      </sharedItems>
    </cacheField>
    <cacheField name="activ_acum" numFmtId="2">
      <sharedItems containsSemiMixedTypes="0" containsString="0" containsNumber="1" minValue="55639555.649999999" maxValue="1956661648.04" count="5">
        <n v="371702249.05000001"/>
        <n v="105840824.39"/>
        <n v="1423479018.95"/>
        <n v="55639555.649999999"/>
        <n v="1956661648.04"/>
      </sharedItems>
    </cacheField>
    <cacheField name="activ_prome" numFmtId="2">
      <sharedItems containsSemiMixedTypes="0" containsString="0" containsNumber="1" minValue="27819777.824999999" maxValue="978330824.01999998" count="5">
        <n v="185851124.52500001"/>
        <n v="52920412.195"/>
        <n v="711739509.47500002"/>
        <n v="27819777.824999999"/>
        <n v="978330824.01999998"/>
      </sharedItems>
    </cacheField>
    <cacheField name="I25_Efici_opera" numFmtId="2">
      <sharedItems containsSemiMixedTypes="0" containsString="0" containsNumber="1" minValue="3.4145853118829811E-2" maxValue="4.7315645670479523E-2" count="5">
        <n v="3.4145853118829811E-2"/>
        <n v="4.1334712056658417E-2"/>
        <n v="4.7315645670479523E-2"/>
        <n v="4.5818798698475938E-2"/>
        <n v="4.4447723993117333E-2"/>
      </sharedItems>
    </cacheField>
    <cacheField name="Marg_fin_neto" numFmtId="2">
      <sharedItems containsSemiMixedTypes="0" containsString="0" containsNumber="1" minValue="37504.289999999994" maxValue="3196684.9400000013" count="5">
        <n v="804408.41999999993"/>
        <n v="206864.15"/>
        <n v="2147908.0799999996"/>
        <n v="37504.289999999994"/>
        <n v="3196684.9400000013"/>
      </sharedItems>
    </cacheField>
    <cacheField name="I26_Grad_abso" numFmtId="2">
      <sharedItems containsSemiMixedTypes="0" containsString="0" containsNumber="1" minValue="0.65742362567512658" maxValue="2.8322733212653808" count="5">
        <n v="0.65742362567512658"/>
        <n v="0.88119425236320559"/>
        <n v="1.3065586447256163"/>
        <n v="2.8322733212653808"/>
        <n v="1.1335852415909335"/>
      </sharedItems>
    </cacheField>
    <cacheField name="I27_Efic_adm_pers" numFmtId="2">
      <sharedItems containsSemiMixedTypes="0" containsString="0" containsNumber="1" minValue="1.64787935925996E-2" maxValue="2.0195350355929741E-2" count="5">
        <n v="1.64787935925996E-2"/>
        <n v="1.805468930361569E-2"/>
        <n v="1.74130856514371E-2"/>
        <n v="2.0195350355929741E-2"/>
        <n v="1.7349422816154689E-2"/>
      </sharedItems>
    </cacheField>
    <cacheField name="patri_acum" numFmtId="2">
      <sharedItems containsSemiMixedTypes="0" containsString="0" containsNumber="1" minValue="4565465.32" maxValue="167516513.80000001" count="5">
        <n v="42000433.280000001"/>
        <n v="9504070.8200000003"/>
        <n v="111446544.38"/>
        <n v="4565465.32"/>
        <n v="167516513.80000001"/>
      </sharedItems>
    </cacheField>
    <cacheField name="patri_prome" numFmtId="2">
      <sharedItems containsSemiMixedTypes="0" containsString="0" containsNumber="1" minValue="2282732.66" maxValue="83758256.900000006" count="5">
        <n v="21000216.640000001"/>
        <n v="4752035.41"/>
        <n v="55723272.189999998"/>
        <n v="2282732.66"/>
        <n v="83758256.900000006"/>
      </sharedItems>
    </cacheField>
    <cacheField name="I28_ROE" numFmtId="2">
      <sharedItems containsSemiMixedTypes="0" containsString="0" containsNumber="1" minValue="-0.31560720737223785" maxValue="0.14869649459006715" count="5">
        <n v="0.14869649459006715"/>
        <n v="0.10829118800695141"/>
        <n v="4.0582394233586082E-2"/>
        <n v="-0.31560720737223785"/>
        <n v="6.1823147611373329E-2"/>
      </sharedItems>
    </cacheField>
    <cacheField name="I29_ROA" numFmtId="2">
      <sharedItems containsSemiMixedTypes="0" containsString="0" containsNumber="1" minValue="-2.5896931475584129E-2" maxValue="1.680193546302676E-2" count="5">
        <n v="1.680193546302676E-2"/>
        <n v="9.7241033970748396E-3"/>
        <n v="3.17726326822585E-3"/>
        <n v="-2.5896931475584129E-2"/>
        <n v="5.2928916812848403E-3"/>
      </sharedItems>
    </cacheField>
    <cacheField name="I30_Interm_fin" numFmtId="2">
      <sharedItems containsSemiMixedTypes="0" containsString="0" containsNumber="1" minValue="0.67341179738345136" maxValue="0.95974426382055433" count="5">
        <n v="0.92846397633271327"/>
        <n v="0.95974426382055433"/>
        <n v="0.67341179738345136"/>
        <n v="0.85909933796348636"/>
        <n v="0.74365809415480033"/>
      </sharedItems>
    </cacheField>
    <cacheField name="Marg_inter_est" numFmtId="2">
      <sharedItems containsSemiMixedTypes="0" containsString="0" containsNumber="1" minValue="-658459.7900000005" maxValue="275571.31999999995" count="5">
        <n v="275571.31999999995"/>
        <n v="24576.649999999994"/>
        <n v="-658459.7900000005"/>
        <n v="-68718.11"/>
        <n v="-427029.92999999877"/>
      </sharedItems>
    </cacheField>
    <cacheField name="I31_Marg_inter_est_patri" numFmtId="2">
      <sharedItems containsSemiMixedTypes="0" containsString="0" containsNumber="1" minValue="-0.36124130278137778" maxValue="0.15746770124748577" count="5">
        <n v="0.15746770124748577"/>
        <n v="6.2061785015192029E-2"/>
        <n v="-0.14179923700564731"/>
        <n v="-0.36124130278137778"/>
        <n v="-6.118034626864334E-2"/>
      </sharedItems>
    </cacheField>
    <cacheField name="I32_Marg_inter_est_activ" numFmtId="2">
      <sharedItems containsSemiMixedTypes="0" containsString="0" containsNumber="1" minValue="-2.9641405664245269E-2" maxValue="1.779303648795073E-2" count="5">
        <n v="1.779303648795073E-2"/>
        <n v="5.5728931005542002E-3"/>
        <n v="-1.110169854955558E-2"/>
        <n v="-2.9641405664245269E-2"/>
        <n v="-5.2378592539319103E-3"/>
      </sharedItems>
    </cacheField>
    <cacheField name="Int_carte_comer_prio" numFmtId="2">
      <sharedItems containsSemiMixedTypes="0" containsString="0" containsNumber="1" minValue="0" maxValue="582838.81000000006" count="5">
        <n v="41175.589999999997"/>
        <n v="4200.43"/>
        <n v="537462.79"/>
        <n v="0"/>
        <n v="582838.81000000006"/>
      </sharedItems>
    </cacheField>
    <cacheField name="Carte_comer_prio_x_venc" numFmtId="2">
      <sharedItems containsSemiMixedTypes="0" containsString="0" containsNumber="1" minValue="0" maxValue="69059872.980000004" count="5">
        <n v="4532641.0599999996"/>
        <n v="396850.45"/>
        <n v="64130381.469999999"/>
        <n v="0"/>
        <n v="69059872.980000004"/>
      </sharedItems>
    </cacheField>
    <cacheField name="Carte_comer_prio_x_venc_acum" numFmtId="2">
      <sharedItems containsSemiMixedTypes="0" containsString="0" containsNumber="1" minValue="0" maxValue="139145505.40000001" count="5">
        <n v="9062121.75"/>
        <n v="804580.23"/>
        <n v="129278803.42"/>
        <n v="0"/>
        <n v="139145505.40000001"/>
      </sharedItems>
    </cacheField>
    <cacheField name="Carte_comer_prio_x_venc_prome" numFmtId="2">
      <sharedItems containsSemiMixedTypes="0" containsString="0" containsNumber="1" minValue="0" maxValue="69572752.700000003" count="5">
        <n v="4531060.875"/>
        <n v="402290.11499999999"/>
        <n v="64639401.710000001"/>
        <n v="0"/>
        <n v="69572752.700000003"/>
      </sharedItems>
    </cacheField>
    <cacheField name="Int_carte_consu_prio" numFmtId="2">
      <sharedItems containsSemiMixedTypes="0" containsString="0" containsNumber="1" minValue="66814.179999999993" maxValue="1335726.98" count="5">
        <n v="202138.04"/>
        <n v="236132.15"/>
        <n v="830642.61"/>
        <n v="66814.179999999993"/>
        <n v="1335726.98"/>
      </sharedItems>
    </cacheField>
    <cacheField name="Carte_consu_prio_x_venc" numFmtId="2">
      <sharedItems containsSemiMixedTypes="0" containsString="0" containsNumber="1" minValue="5762049.2700000005" maxValue="114444036.53" count="5">
        <n v="16270250.59"/>
        <n v="18622082.469999999"/>
        <n v="73789654.200000003"/>
        <n v="5762049.2700000005"/>
        <n v="114444036.53"/>
      </sharedItems>
    </cacheField>
    <cacheField name="Carte_consu_prio_x_venc_acum" numFmtId="2">
      <sharedItems containsSemiMixedTypes="0" containsString="0" containsNumber="1" minValue="11586232.010000002" maxValue="229581524.43000001" count="5">
        <n v="32432762.740000002"/>
        <n v="37138654.829999998"/>
        <n v="148423874.85000002"/>
        <n v="11586232.010000002"/>
        <n v="229581524.43000001"/>
      </sharedItems>
    </cacheField>
    <cacheField name="Carte_consu_prio_x_venc_prome" numFmtId="2">
      <sharedItems containsSemiMixedTypes="0" containsString="0" containsNumber="1" minValue="5793116.0050000008" maxValue="114790762.215" count="5">
        <n v="16216381.370000001"/>
        <n v="18569327.414999999"/>
        <n v="74211937.425000012"/>
        <n v="5793116.0050000008"/>
        <n v="114790762.215"/>
      </sharedItems>
    </cacheField>
    <cacheField name="Int_carte_inmob_prio" numFmtId="2">
      <sharedItems containsSemiMixedTypes="0" containsString="0" containsNumber="1" minValue="47338.41" maxValue="2548887.85" count="5">
        <n v="959056.66"/>
        <n v="132371.78"/>
        <n v="1410121"/>
        <n v="47338.41"/>
        <n v="2548887.85"/>
      </sharedItems>
    </cacheField>
    <cacheField name="Carte_inmob_prio_x_venc" numFmtId="2">
      <sharedItems containsSemiMixedTypes="0" containsString="0" containsNumber="1" minValue="5659820.96" maxValue="283974955.40999997" count="5">
        <n v="107732798.63"/>
        <n v="15065943.43"/>
        <n v="155516392.38999999"/>
        <n v="5659820.96"/>
        <n v="283974955.40999997"/>
      </sharedItems>
    </cacheField>
    <cacheField name="Carte_inmob_prio_x_venc_acum" numFmtId="2">
      <sharedItems containsSemiMixedTypes="0" containsString="0" containsNumber="1" minValue="11219628.960000001" maxValue="566801883.67999995" count="5">
        <n v="214812825.68000001"/>
        <n v="30341512.920000002"/>
        <n v="310427916.12"/>
        <n v="11219628.960000001"/>
        <n v="566801883.67999995"/>
      </sharedItems>
    </cacheField>
    <cacheField name="Carte_inmob_prio_x_venc_prome" numFmtId="2">
      <sharedItems containsSemiMixedTypes="0" containsString="0" containsNumber="1" minValue="5609814.4800000004" maxValue="283400941.83999997" count="5">
        <n v="107406412.84"/>
        <n v="15170756.460000001"/>
        <n v="155213958.06"/>
        <n v="5609814.4800000004"/>
        <n v="283400941.83999997"/>
      </sharedItems>
    </cacheField>
    <cacheField name="Int_carte_micro_prio" numFmtId="2">
      <sharedItems containsSemiMixedTypes="0" containsString="0" containsNumber="1" minValue="5786.36" maxValue="866115.05" count="5">
        <n v="5786.36"/>
        <n v="93310.97"/>
        <n v="675714.84"/>
        <n v="91302.88"/>
        <n v="866115.05"/>
      </sharedItems>
    </cacheField>
    <cacheField name="Carte_micro_prio_x_venc" numFmtId="2">
      <sharedItems containsSemiMixedTypes="0" containsString="0" containsNumber="1" minValue="387631.37" maxValue="54714510.289999999" count="5">
        <n v="387631.37"/>
        <n v="5994421.5300000003"/>
        <n v="41750506.890000001"/>
        <n v="6581950.5"/>
        <n v="54714510.289999999"/>
      </sharedItems>
    </cacheField>
    <cacheField name="Carte_micro_prio_x_venc_acum" numFmtId="2">
      <sharedItems containsSemiMixedTypes="0" containsString="0" containsNumber="1" minValue="819829.47" maxValue="107780111.53" count="5">
        <n v="819829.47"/>
        <n v="11577087.73"/>
        <n v="82010511.129999995"/>
        <n v="13372683.199999999"/>
        <n v="107780111.53"/>
      </sharedItems>
    </cacheField>
    <cacheField name="Carte_micro_prio_x_venc_prome" numFmtId="2">
      <sharedItems containsSemiMixedTypes="0" containsString="0" containsNumber="1" minValue="409914.73499999999" maxValue="53890055.765000001" count="5">
        <n v="409914.73499999999"/>
        <n v="5788543.8650000002"/>
        <n v="41005255.564999998"/>
        <n v="6686341.5999999996"/>
        <n v="53890055.765000001"/>
      </sharedItems>
    </cacheField>
    <cacheField name="Int_carte_prod_prio" numFmtId="2">
      <sharedItems containsSemiMixedTypes="0" containsString="0" containsNumber="1" containsInteger="1" minValue="0" maxValue="0" count="1">
        <n v="0"/>
      </sharedItems>
    </cacheField>
    <cacheField name="Carte_prod_prio_x_venc" numFmtId="2">
      <sharedItems containsSemiMixedTypes="0" containsString="0" containsNumber="1" containsInteger="1" minValue="0" maxValue="0" count="1">
        <n v="0"/>
      </sharedItems>
    </cacheField>
    <cacheField name="Carte_prod_prio_x_venc_acum" numFmtId="2">
      <sharedItems containsSemiMixedTypes="0" containsString="0" containsNumber="1" containsInteger="1" minValue="0" maxValue="0" count="1">
        <n v="0"/>
      </sharedItems>
    </cacheField>
    <cacheField name="Carte_prod_prio_x_venc_prome" numFmtId="2">
      <sharedItems containsSemiMixedTypes="0" containsString="0" containsNumber="1" containsInteger="1" minValue="0" maxValue="0" count="1">
        <n v="0"/>
      </sharedItems>
    </cacheField>
    <cacheField name="Int_carte_comer_ord" numFmtId="2">
      <sharedItems containsSemiMixedTypes="0" containsString="0" containsNumber="1" minValue="0" maxValue="11574.46" count="2">
        <n v="0"/>
        <n v="11574.46"/>
      </sharedItems>
    </cacheField>
    <cacheField name="Carte_comer_ord_x_venc" numFmtId="2">
      <sharedItems containsSemiMixedTypes="0" containsString="0" containsNumber="1" minValue="0" maxValue="1275977.6000000001" count="2">
        <n v="0"/>
        <n v="1275977.6000000001"/>
      </sharedItems>
    </cacheField>
    <cacheField name="Carte_comer_ord_x_venc_acum" numFmtId="0">
      <sharedItems containsMixedTypes="1" containsNumber="1" minValue="2478191.09" maxValue="2478191.09" count="2">
        <e v="#NULL!"/>
        <n v="2478191.09"/>
      </sharedItems>
    </cacheField>
    <cacheField name="Carte_comer_ord_x_venc_prome" numFmtId="0">
      <sharedItems containsMixedTypes="1" containsNumber="1" minValue="1239095.5449999999" maxValue="1239095.5449999999" count="2">
        <e v="#NULL!"/>
        <n v="1239095.5449999999"/>
      </sharedItems>
    </cacheField>
    <cacheField name="Int_carte_consu_ord" numFmtId="2">
      <sharedItems containsSemiMixedTypes="0" containsString="0" containsNumber="1" minValue="0" maxValue="536293.81999999995" count="4">
        <n v="181030.51"/>
        <n v="0"/>
        <n v="355263.31"/>
        <n v="536293.81999999995"/>
      </sharedItems>
    </cacheField>
    <cacheField name="Carte_consu_ord_x_venc" numFmtId="2">
      <sharedItems containsSemiMixedTypes="0" containsString="0" containsNumber="1" minValue="0" maxValue="44140644.850000001" count="4">
        <n v="14474422.16"/>
        <n v="0"/>
        <n v="29666222.689999998"/>
        <n v="44140644.850000001"/>
      </sharedItems>
    </cacheField>
    <cacheField name="Carte_consu_ord_x_venc_acum" numFmtId="0">
      <sharedItems containsMixedTypes="1" containsNumber="1" minValue="28595576.48" maxValue="86827984.25999999" count="4">
        <n v="28595576.48"/>
        <e v="#NULL!"/>
        <n v="58232407.780000001"/>
        <n v="86827984.25999999"/>
      </sharedItems>
    </cacheField>
    <cacheField name="Carte_consu_ord_x_venc_prome" numFmtId="0">
      <sharedItems containsMixedTypes="1" containsNumber="1" minValue="14297788.24" maxValue="43413992.129999995" count="4">
        <n v="14297788.24"/>
        <e v="#NULL!"/>
        <n v="29116203.890000001"/>
        <n v="43413992.129999995"/>
      </sharedItems>
    </cacheField>
    <cacheField name="Int_carte_vivie_ord" numFmtId="2">
      <sharedItems containsSemiMixedTypes="0" containsString="0" containsNumber="1" minValue="0" maxValue="44410.37" count="2">
        <n v="0"/>
        <n v="44410.37"/>
      </sharedItems>
    </cacheField>
    <cacheField name="Carte_vivie_ord_x_venc" numFmtId="2">
      <sharedItems containsSemiMixedTypes="0" containsString="0" containsNumber="1" minValue="0" maxValue="11346843.17" count="2">
        <n v="0"/>
        <n v="11346843.17"/>
      </sharedItems>
    </cacheField>
    <cacheField name="Carte_vivie_ord_x_venc_acum" numFmtId="2">
      <sharedItems containsSemiMixedTypes="0" containsString="0" containsNumber="1" minValue="0" maxValue="22748601.289999999" count="2">
        <n v="0"/>
        <n v="22748601.289999999"/>
      </sharedItems>
    </cacheField>
    <cacheField name="Carte_vivie_ord_x_venc_prome" numFmtId="2">
      <sharedItems containsSemiMixedTypes="0" containsString="0" containsNumber="1" minValue="0" maxValue="11374300.645" count="2">
        <n v="0"/>
        <n v="11374300.645"/>
      </sharedItems>
    </cacheField>
    <cacheField name="Int_carte_educ_ord" numFmtId="2">
      <sharedItems containsSemiMixedTypes="0" containsString="0" containsNumber="1" containsInteger="1" minValue="0" maxValue="0" count="1">
        <n v="0"/>
      </sharedItems>
    </cacheField>
    <cacheField name="Carte_educ_ord_x_venc" numFmtId="2">
      <sharedItems containsSemiMixedTypes="0" containsString="0" containsNumber="1" containsInteger="1" minValue="0" maxValue="0" count="1">
        <n v="0"/>
      </sharedItems>
    </cacheField>
    <cacheField name="Carte_educ_ord_x_venc_acum" numFmtId="2">
      <sharedItems containsSemiMixedTypes="0" containsString="0" containsNumber="1" containsInteger="1" minValue="0" maxValue="0" count="1">
        <n v="0"/>
      </sharedItems>
    </cacheField>
    <cacheField name="Carte_educ_ord_x_venc_prome" numFmtId="2">
      <sharedItems containsSemiMixedTypes="0" containsString="0" containsNumber="1" containsInteger="1" minValue="0" maxValue="0" count="1">
        <n v="0"/>
      </sharedItems>
    </cacheField>
    <cacheField name="I33_Rend_cart_comer_pri_x_venc" numFmtId="2">
      <sharedItems containsSemiMixedTypes="0" containsString="0" containsNumber="1" minValue="0" maxValue="0.12529554697112061" count="5">
        <n v="0.10904887257777129"/>
        <n v="0.12529554697112061"/>
        <n v="9.9777431556923368E-2"/>
        <n v="0"/>
        <n v="0.10052880543851185"/>
      </sharedItems>
    </cacheField>
    <cacheField name="I34_Rend_cart_consu_pri_x_venc" numFmtId="2">
      <sharedItems containsSemiMixedTypes="0" containsString="0" containsNumber="1" minValue="0.1343141233857903" maxValue="0.15259496139375922" count="5">
        <n v="0.14958062619860549"/>
        <n v="0.15259496139375922"/>
        <n v="0.1343141233857903"/>
        <n v="0.13840050144136545"/>
        <n v="0.13963426542964"/>
      </sharedItems>
    </cacheField>
    <cacheField name="I35_Rend_cart_inmob_x_venc" numFmtId="2">
      <sharedItems containsSemiMixedTypes="0" containsString="0" containsNumber="1" minValue="0.10126197970097578" maxValue="0.10902016939390714" count="5">
        <n v="0.10715077075652943"/>
        <n v="0.10470548150899522"/>
        <n v="0.10902016939390714"/>
        <n v="0.10126197970097578"/>
        <n v="0.10792714378933979"/>
      </sharedItems>
    </cacheField>
    <cacheField name="I36_Rend_cart_micro_x_venc" numFmtId="2">
      <sharedItems containsSemiMixedTypes="0" containsString="0" containsNumber="1" minValue="0.16386158912371454" maxValue="0.19774484924613103" count="5">
        <n v="0.1693921054094335"/>
        <n v="0.1934392597023189"/>
        <n v="0.19774484924613103"/>
        <n v="0.16386158912371454"/>
        <n v="0.19286268036764947"/>
      </sharedItems>
    </cacheField>
    <cacheField name="I37_Rend_cart_prod_x_venc" numFmtId="2">
      <sharedItems containsSemiMixedTypes="0" containsString="0" containsNumber="1" containsInteger="1" minValue="0" maxValue="0" count="1">
        <n v="0"/>
      </sharedItems>
    </cacheField>
    <cacheField name="I38_Rend_cart_comer_ord_x_venc" numFmtId="2">
      <sharedItems containsSemiMixedTypes="0" containsString="0" containsNumber="1" minValue="0" maxValue="0.11209266352418368" count="2">
        <n v="0"/>
        <n v="0.11209266352418368"/>
      </sharedItems>
    </cacheField>
    <cacheField name="I39_Rend_cart_consu_ord_x_venc" numFmtId="2">
      <sharedItems containsSemiMixedTypes="0" containsString="0" containsNumber="1" minValue="0" maxValue="0.15193721459117093" count="4">
        <n v="0.15193721459117093"/>
        <n v="0"/>
        <n v="0.1464188029492467"/>
        <n v="0.14823621427693845"/>
      </sharedItems>
    </cacheField>
    <cacheField name="I40_Rend_cart_vivie_x_venc" numFmtId="2">
      <sharedItems containsSemiMixedTypes="0" containsString="0" containsNumber="1" minValue="0" maxValue="4.6853380848014332E-2" count="2">
        <n v="0"/>
        <n v="4.6853380848014332E-2"/>
      </sharedItems>
    </cacheField>
    <cacheField name="I41_Rend_cart_educ_x_venc" numFmtId="2">
      <sharedItems containsSemiMixedTypes="0" containsString="0" containsNumber="1" containsInteger="1" minValue="0" maxValue="0" count="1">
        <n v="0"/>
      </sharedItems>
    </cacheField>
    <cacheField name="int_cart_cred_ref" numFmtId="2">
      <sharedItems containsSemiMixedTypes="0" containsString="0" containsNumber="1" minValue="0" maxValue="41920.6" count="5">
        <n v="0"/>
        <n v="1445.56"/>
        <n v="10007.129999999999"/>
        <n v="30467.91"/>
        <n v="41920.6"/>
      </sharedItems>
    </cacheField>
    <cacheField name="carte_cred_refi_xven" numFmtId="2">
      <sharedItems containsSemiMixedTypes="0" containsString="0" containsNumber="1" minValue="0" maxValue="2408828.46" count="5">
        <n v="0"/>
        <n v="48718.87"/>
        <n v="256828.63"/>
        <n v="2103280.96"/>
        <n v="2408828.46"/>
      </sharedItems>
    </cacheField>
    <cacheField name="carte_cred_refi_xven_acum" numFmtId="2">
      <sharedItems containsSemiMixedTypes="0" containsString="0" containsNumber="1" minValue="0" maxValue="4978627.3499999996" count="5">
        <n v="0"/>
        <n v="97832.66"/>
        <n v="469863.73"/>
        <n v="4410930.96"/>
        <n v="4978627.3499999996"/>
      </sharedItems>
    </cacheField>
    <cacheField name="prom_carte_cred_refi_xven" numFmtId="2">
      <sharedItems containsSemiMixedTypes="0" containsString="0" containsNumber="1" minValue="0" maxValue="2489313.6749999998" count="5">
        <n v="0"/>
        <n v="48916.33"/>
        <n v="234931.86499999999"/>
        <n v="2205465.48"/>
        <n v="2489313.6749999998"/>
      </sharedItems>
    </cacheField>
    <cacheField name="I42_Cart_cred_ref_xven" numFmtId="2">
      <sharedItems containsSemiMixedTypes="0" containsString="0" containsNumber="1" minValue="0" maxValue="0.51115058402145663" count="5">
        <n v="0"/>
        <n v="0.35462022600632548"/>
        <n v="0.51115058402145663"/>
        <n v="0.16577675928983482"/>
        <n v="0.20208268851453604"/>
      </sharedItems>
    </cacheField>
    <cacheField name="int_cart_cred_rest" numFmtId="2">
      <sharedItems containsSemiMixedTypes="0" containsString="0" containsNumber="1" minValue="0" maxValue="117.33" count="2">
        <n v="0"/>
        <n v="117.33"/>
      </sharedItems>
    </cacheField>
    <cacheField name="carte_cred_rest_xven" numFmtId="2">
      <sharedItems containsSemiMixedTypes="0" containsString="0" containsNumber="1" minValue="0" maxValue="401523.09" count="4">
        <n v="0"/>
        <n v="11209.08"/>
        <n v="390314.01"/>
        <n v="401523.09"/>
      </sharedItems>
    </cacheField>
    <cacheField name="carte_cred_rest_xven_acum" numFmtId="2">
      <sharedItems containsSemiMixedTypes="0" containsString="0" containsNumber="1" minValue="0" maxValue="742442.87000000011" count="4">
        <n v="0"/>
        <n v="22767.739999999998"/>
        <n v="719675.13"/>
        <n v="742442.87000000011"/>
      </sharedItems>
    </cacheField>
    <cacheField name="prom_carte_cred_rest_xven" numFmtId="2">
      <sharedItems containsSemiMixedTypes="0" containsString="0" containsNumber="1" minValue="0" maxValue="371221.43500000006" count="4">
        <n v="0"/>
        <n v="11383.869999999999"/>
        <n v="359837.565"/>
        <n v="371221.43500000006"/>
      </sharedItems>
    </cacheField>
    <cacheField name="I43_Cart_cred_reest" numFmtId="2">
      <sharedItems containsSemiMixedTypes="0" containsString="0" containsNumber="1" minValue="0" maxValue="0.12368025987647435" count="3">
        <n v="0"/>
        <n v="0.12368025987647435"/>
        <n v="3.7927766751938798E-3"/>
      </sharedItems>
    </cacheField>
    <cacheField name="int_cart_cred" numFmtId="2">
      <sharedItems containsSemiMixedTypes="0" containsString="0" containsNumber="1" minValue="237889.03" maxValue="6074897.1200000001" count="5">
        <n v="1400903.56"/>
        <n v="471020.92"/>
        <n v="3965083.61"/>
        <n v="237889.03"/>
        <n v="6074897.1200000001"/>
      </sharedItems>
    </cacheField>
    <cacheField name="carte_x_ven" numFmtId="2">
      <sharedItems containsSemiMixedTypes="0" containsString="0" containsNumber="1" minValue="18003820.73" maxValue="577680863.23000014" count="5">
        <n v="143397743.81"/>
        <n v="40079297.879999995"/>
        <n v="376200000.81"/>
        <n v="18003820.73"/>
        <n v="577680863.23000014"/>
      </sharedItems>
    </cacheField>
    <cacheField name="carte_x_ven_acum" numFmtId="2">
      <sharedItems containsSemiMixedTypes="0" containsString="0" containsNumber="1" minValue="36178544.170000002" maxValue="1152885610.5900002" count="5">
        <n v="285723116.12"/>
        <n v="79861835.709999993"/>
        <n v="751122114.59000003"/>
        <n v="36178544.170000002"/>
        <n v="1152885610.5900002"/>
      </sharedItems>
    </cacheField>
    <cacheField name="prom_carte_x_ven" numFmtId="2">
      <sharedItems containsSemiMixedTypes="0" containsString="0" containsNumber="1" minValue="18089272.085000001" maxValue="576442805.29500008" count="5">
        <n v="142861558.06"/>
        <n v="39930917.854999997"/>
        <n v="375561057.29500002"/>
        <n v="18089272.085000001"/>
        <n v="576442805.29500008"/>
      </sharedItems>
    </cacheField>
    <cacheField name="I44_cartera_x_vencer" numFmtId="2">
      <sharedItems containsSemiMixedTypes="0" containsString="0" containsNumber="1" minValue="0.11767226221164173" maxValue="0.15781001836813269" count="5">
        <n v="0.11767226221164173"/>
        <n v="0.14155074172161175"/>
        <n v="0.12669312325059709"/>
        <n v="0.15781001836813269"/>
        <n v="0.1264631369675841"/>
      </sharedItems>
    </cacheField>
    <cacheField name="depo_corto_plz" numFmtId="2">
      <sharedItems containsSemiMixedTypes="0" containsString="0" containsNumber="1" minValue="10874594.960000001" maxValue="517920019.52999997" count="5">
        <n v="103771546.96000001"/>
        <n v="21391553.739999998"/>
        <n v="381882323.87"/>
        <n v="10874594.960000001"/>
        <n v="517920019.52999997"/>
      </sharedItems>
    </cacheField>
    <cacheField name="fondos_disponibles" numFmtId="2">
      <sharedItems containsSemiMixedTypes="0" containsString="0" containsNumber="1" minValue="1226371.1599999999" maxValue="43516006.049999997" count="5">
        <n v="9475567.1600000001"/>
        <n v="3396107.3"/>
        <n v="29417960.43"/>
        <n v="1226371.1599999999"/>
        <n v="43516006.049999997"/>
      </sharedItems>
    </cacheField>
    <cacheField name="I45_Fond_dis_sob_total_depo_cort_plz" numFmtId="2">
      <sharedItems containsSemiMixedTypes="0" containsString="0" containsNumber="1" minValue="7.7034098179454974E-2" maxValue="0.15875926271075996" count="5">
        <n v="9.1311804030949559E-2"/>
        <n v="0.15875926271075996"/>
        <n v="7.7034098179454974E-2"/>
        <n v="0.11277396211178056"/>
        <n v="8.4020706690368388E-2"/>
      </sharedItems>
    </cacheField>
    <cacheField name="prov_cred_inco" numFmtId="2">
      <sharedItems containsSemiMixedTypes="0" containsString="0" containsNumber="1" minValue="-19160818.309999999" maxValue="-954257.55" count="5">
        <n v="-3081786.19"/>
        <n v="-1390291.53"/>
        <n v="-13734483.039999999"/>
        <n v="-954257.55"/>
        <n v="-19160818.309999999"/>
      </sharedItems>
    </cacheField>
    <cacheField name="carte_impr_no_dev_inte" numFmtId="2">
      <sharedItems containsSemiMixedTypes="0" containsString="0" containsNumber="1" containsInteger="1" minValue="0" maxValue="0" count="1">
        <n v="0"/>
      </sharedItems>
    </cacheField>
    <cacheField name="carte_impr_prov_no_dev_int" numFmtId="2">
      <sharedItems containsSemiMixedTypes="0" containsString="0" containsNumber="1" minValue="3363.8899999998976" maxValue="6512821.3399999999" count="5">
        <n v="591111.3599999994"/>
        <n v="3363.8899999998976"/>
        <n v="5355888.32"/>
        <n v="562457.76999999979"/>
        <n v="6512821.3399999999"/>
      </sharedItems>
    </cacheField>
    <cacheField name="I46_Carte_impro_descu_rela_patri_resul" numFmtId="2">
      <sharedItems containsSemiMixedTypes="0" containsString="0" containsNumber="1" minValue="7.0001283371080001E-4" maxValue="0.25246204434058289" count="5">
        <n v="2.7803347923375962E-2"/>
        <n v="7.0001283371080001E-4"/>
        <n v="9.5791798144701873E-2"/>
        <n v="0.25246204434058289"/>
        <n v="7.7344314150502413E-2"/>
      </sharedItems>
    </cacheField>
    <cacheField name="I47_Carte_impr_patri_dic" numFmtId="2">
      <sharedItems containsSemiMixedTypes="0" containsString="0" containsNumber="1" minValue="0.1748980790514359" maxValue="0.66292101210927257" count="5">
        <n v="0.1748980790514359"/>
        <n v="0.29262581140775801"/>
        <n v="0.34259217287333504"/>
        <n v="0.66292101210927257"/>
        <n v="0.30646293756917209"/>
      </sharedItems>
    </cacheField>
    <cacheField name="otros_ingresos" numFmtId="2">
      <sharedItems containsSemiMixedTypes="0" containsString="0" containsNumber="1" minValue="22885.53" maxValue="1103097.97" count="5">
        <n v="192098.07"/>
        <n v="60199.08"/>
        <n v="827915.29"/>
        <n v="22885.53"/>
        <n v="1103097.97"/>
      </sharedItems>
    </cacheField>
    <cacheField name="patri_menos_otingre" numFmtId="2">
      <sharedItems containsSemiMixedTypes="0" containsString="0" containsNumber="1" minValue="2265042.1300000004" maxValue="82670946.140000001" count="5">
        <n v="20808118.57"/>
        <n v="4702386.33"/>
        <n v="54895399.109999999"/>
        <n v="2265042.1300000004"/>
        <n v="82670946.140000001"/>
      </sharedItems>
    </cacheField>
    <cacheField name="patri_moi" numFmtId="2">
      <sharedItems containsSemiMixedTypes="0" containsString="0" containsNumber="1" minValue="2205004.89" maxValue="83102462.730000004" count="5">
        <n v="21068340.120000001"/>
        <n v="4745269.96"/>
        <n v="55083847.759999998"/>
        <n v="2205004.89"/>
        <n v="83102462.730000004"/>
      </sharedItems>
    </cacheField>
    <cacheField name="I48_FK" numFmtId="2">
      <sharedItems containsSemiMixedTypes="0" containsString="0" containsNumber="1" minValue="7.7734045464275356E-2" maxValue="0.11352421752088149" count="5">
        <n v="0.11352421752088149"/>
        <n v="9.0598736181346395E-2"/>
        <n v="7.7734045464275356E-2"/>
        <n v="7.904663722074233E-2"/>
        <n v="8.5279158132227556E-2"/>
      </sharedItems>
    </cacheField>
    <cacheField name="act_impr_netos" numFmtId="2">
      <sharedItems containsSemiMixedTypes="0" containsString="0" containsNumber="1" minValue="5626809.7999999998" maxValue="192765527.45000002" count="5">
        <n v="12893014.949999997"/>
        <n v="5785385.9099999983"/>
        <n v="168460316.79000005"/>
        <n v="5626809.7999999998"/>
        <n v="192765527.45000002"/>
      </sharedItems>
    </cacheField>
    <cacheField name="I49_FI" numFmtId="2">
      <sharedItems containsSemiMixedTypes="0" containsString="0" containsNumber="1" minValue="1.06947246082734" maxValue="1.2377303412306158" count="5">
        <n v="1.06947246082734"/>
        <n v="1.1104570775078451"/>
        <n v="1.2377303412306158"/>
        <n v="1.2017140165937308"/>
        <n v="1.1978146177359479"/>
      </sharedItems>
    </cacheField>
    <cacheField name="I50_Indi_capi_neto" numFmtId="2">
      <sharedItems containsSemiMixedTypes="0" containsString="0" containsNumber="1" minValue="6.280370034961584E-2" maxValue="0.10614973426530269" count="5">
        <n v="0.10614973426530269"/>
        <n v="8.1586887072369843E-2"/>
        <n v="6.280370034961584E-2"/>
        <n v="6.5778243516540436E-2"/>
        <n v="7.1195623153621351E-2"/>
      </sharedItems>
    </cacheField>
    <cacheField name="act_ponde_ries" numFmtId="2">
      <sharedItems containsSemiMixedTypes="0" containsString="0" containsNumber="1" minValue="954257.55" maxValue="19160818.309999999" count="5">
        <n v="3081786.19"/>
        <n v="1390291.53"/>
        <n v="13734483.039999999"/>
        <n v="954257.55"/>
        <n v="19160818.309999999"/>
      </sharedItems>
    </cacheField>
    <cacheField name="patri_efect" numFmtId="2">
      <sharedItems containsSemiMixedTypes="0" containsString="0" containsNumber="1" minValue="2230296.4000000004" maxValue="84209570.950000018" count="5">
        <n v="21262042.459999997"/>
        <n v="4805469.0399999991"/>
        <n v="55911763.050000004"/>
        <n v="2230296.4000000004"/>
        <n v="84209570.950000018"/>
      </sharedItems>
    </cacheField>
    <cacheField name="I51_solid_patri" numFmtId="2">
      <sharedItems containsSemiMixedTypes="0" containsString="0" containsNumber="1" minValue="0.14494309264021668" maxValue="0.4278613147561911" count="5">
        <n v="0.14494309264021668"/>
        <n v="0.28931442871183294"/>
        <n v="0.24564567974216292"/>
        <n v="0.4278613147561911"/>
        <n v="0.22753729883479468"/>
      </sharedItems>
    </cacheField>
    <cacheField name="ingr_finan" numFmtId="2">
      <sharedItems containsSemiMixedTypes="0" containsString="0" containsNumber="1" minValue="0" maxValue="332216.69" count="4">
        <n v="596.78"/>
        <n v="0"/>
        <n v="331619.90999999997"/>
        <n v="332216.69"/>
      </sharedItems>
    </cacheField>
    <cacheField name="gast_finan" numFmtId="2">
      <sharedItems containsSemiMixedTypes="0" containsString="0" containsNumber="1" minValue="0" maxValue="978246.77" count="4">
        <n v="8631.94"/>
        <n v="0"/>
        <n v="969614.83"/>
        <n v="978246.77"/>
      </sharedItems>
    </cacheField>
    <cacheField name="ing_menos_gas_fin" numFmtId="2">
      <sharedItems containsSemiMixedTypes="0" containsString="0" containsNumber="1" minValue="-646030.08000000007" maxValue="0" count="4">
        <n v="-8035.1600000000008"/>
        <n v="0"/>
        <n v="-637994.91999999993"/>
        <n v="-646030.08000000007"/>
      </sharedItems>
    </cacheField>
    <cacheField name="I52_marg_fina" numFmtId="2">
      <sharedItems containsSemiMixedTypes="0" containsString="0" containsNumber="1" containsInteger="1" minValue="0" maxValue="0" count="1">
        <n v="0"/>
      </sharedItems>
    </cacheField>
    <cacheField name="PTPri" numFmtId="2">
      <sharedItems containsSemiMixedTypes="0" containsString="0" containsNumber="1" minValue="2227890.42" maxValue="83989802.405000016" count="5">
        <n v="21130327.414999995"/>
        <n v="4784027.2249999996"/>
        <n v="55817538.725000009"/>
        <n v="2227890.42"/>
        <n v="83989802.405000016"/>
      </sharedItems>
    </cacheField>
    <cacheField name="PTSec" numFmtId="2">
      <sharedItems containsSemiMixedTypes="0" containsString="0" containsNumber="1" containsInteger="1" minValue="0" maxValue="0" count="1">
        <n v="0"/>
      </sharedItems>
    </cacheField>
    <cacheField name="PTC" numFmtId="2">
      <sharedItems containsSemiMixedTypes="0" containsString="0" containsNumber="1" minValue="2227890.42" maxValue="83989802.405000016" count="5">
        <n v="21130327.414999995"/>
        <n v="4784027.2249999996"/>
        <n v="55817538.725000009"/>
        <n v="2227890.42"/>
        <n v="83989802.405000016"/>
      </sharedItems>
    </cacheField>
    <cacheField name="PTEC" numFmtId="10">
      <sharedItems count="1">
        <e v="#NULL!"/>
      </sharedItems>
    </cacheField>
    <cacheField name="APR_0" numFmtId="1">
      <sharedItems containsSemiMixedTypes="0" containsString="0" containsNumber="1" containsInteger="1" minValue="0" maxValue="0" count="1">
        <n v="0"/>
      </sharedItems>
    </cacheField>
    <cacheField name="APR_20" numFmtId="2">
      <sharedItems containsSemiMixedTypes="0" containsString="0" containsNumber="1" minValue="0" maxValue="174538.2" count="5">
        <n v="63303.157999999996"/>
        <n v="0"/>
        <n v="91235.042000000016"/>
        <n v="20000"/>
        <n v="174538.2"/>
      </sharedItems>
    </cacheField>
    <cacheField name="APR_50" numFmtId="2">
      <sharedItems containsSemiMixedTypes="0" containsString="0" containsNumber="1" minValue="3746897.9699999997" maxValue="170304815.36999997" count="5">
        <n v="61088899.314999998"/>
        <n v="8453983.5899999999"/>
        <n v="97015034.49499999"/>
        <n v="3746897.9699999997"/>
        <n v="170304815.36999997"/>
      </sharedItems>
    </cacheField>
    <cacheField name="APR_100" numFmtId="2">
      <sharedItems containsSemiMixedTypes="0" containsString="0" containsNumber="1" minValue="17734090.399999995" maxValue="499069334.3599999" count="5">
        <n v="51916671.480000012"/>
        <n v="30034250.340000007"/>
        <n v="399384322.13999999"/>
        <n v="17734090.399999995"/>
        <n v="499069334.3599999"/>
      </sharedItems>
    </cacheField>
    <cacheField name="APR" numFmtId="2">
      <sharedItems containsSemiMixedTypes="0" containsString="0" containsNumber="1" minValue="21500988.369999994" maxValue="669548687.92999983" count="5">
        <n v="113068873.95300001"/>
        <n v="38488233.930000007"/>
        <n v="496490591.67699999"/>
        <n v="21500988.369999994"/>
        <n v="669548687.92999983"/>
      </sharedItems>
    </cacheField>
    <cacheField name="I53_Solvencia" numFmtId="2">
      <sharedItems containsSemiMixedTypes="0" containsString="0" containsNumber="1" minValue="0.10361804683865333" maxValue="0.18688014372358003" count="5">
        <n v="0.18688014372358003"/>
        <n v="0.12429843452159663"/>
        <n v="0.11242416202986785"/>
        <n v="0.10361804683865333"/>
        <n v="0.12544241205918247"/>
      </sharedItems>
    </cacheField>
    <cacheField name="depositos" numFmtId="2">
      <sharedItems containsSemiMixedTypes="0" containsString="0" containsNumber="1" minValue="24069196.780000001" maxValue="823357457.50999999" count="5">
        <n v="159252799.25999999"/>
        <n v="44158686.950000003"/>
        <n v="595876774.51999998"/>
        <n v="24069196.780000001"/>
        <n v="823357457.50999999"/>
      </sharedItems>
    </cacheField>
    <cacheField name="fond_disp_menos_dep_cort_plz" numFmtId="2">
      <sharedItems containsSemiMixedTypes="0" containsString="0" containsNumber="1" minValue="-474404013.47999996" maxValue="-9648223.8000000007" count="5">
        <n v="-94295979.800000012"/>
        <n v="-17995446.439999998"/>
        <n v="-352464363.44"/>
        <n v="-9648223.8000000007"/>
        <n v="-474404013.47999996"/>
      </sharedItems>
    </cacheField>
    <cacheField name="I54_cof_LNe" numFmtId="2">
      <sharedItems containsSemiMixedTypes="0" containsString="0" containsNumber="1" containsInteger="1" minValue="0" maxValue="0" count="1">
        <n v="0"/>
      </sharedItems>
    </cacheField>
    <cacheField name="cap_soci" numFmtId="2">
      <sharedItems containsSemiMixedTypes="0" containsString="0" containsNumber="1" containsInteger="1" minValue="300000" maxValue="9404906" count="5">
        <n v="300000"/>
        <n v="995700"/>
        <n v="7288200"/>
        <n v="821006"/>
        <n v="9404906"/>
      </sharedItems>
    </cacheField>
    <cacheField name="I55_sit_que_patri" numFmtId="2">
      <sharedItems containsSemiMixedTypes="0" containsString="0" containsNumber="1" minValue="2.786736832617545" maxValue="70.00072213333334" count="5">
        <n v="70.00072213333334"/>
        <n v="4.7831529677613744"/>
        <n v="7.6456895255344257"/>
        <n v="2.786736832617545"/>
        <n v="8.9074834038745312"/>
      </sharedItems>
    </cacheField>
    <cacheField name="margen_neto_intereses" numFmtId="2">
      <sharedItems containsSemiMixedTypes="0" containsString="0" containsNumber="1" minValue="111500.76999999999" maxValue="3931896.8200000008" count="5">
        <n v="868212.85999999987"/>
        <n v="248458.47"/>
        <n v="2703724.7199999997"/>
        <n v="111500.76999999999"/>
        <n v="3931896.8200000008"/>
      </sharedItems>
    </cacheField>
    <cacheField name="margen_bruto_financiero" numFmtId="2">
      <sharedItems containsSemiMixedTypes="0" containsString="0" containsNumber="1" minValue="115408.26" maxValue="3702660.0800000015" count="5">
        <n v="886243.04999999993"/>
        <n v="270774.56"/>
        <n v="2430234.2099999995"/>
        <n v="115408.26"/>
        <n v="3702660.0800000015"/>
      </sharedItems>
    </cacheField>
    <cacheField name="margen_neto_financiero" numFmtId="2">
      <sharedItems containsSemiMixedTypes="0" containsString="0" containsNumber="1" minValue="37504.289999999994" maxValue="3196684.9400000013" count="5">
        <n v="804408.41999999993"/>
        <n v="206864.15"/>
        <n v="2147908.0799999996"/>
        <n v="37504.289999999994"/>
        <n v="3196684.9400000013"/>
      </sharedItems>
    </cacheField>
    <cacheField name="margen_de_intermediacion" numFmtId="2">
      <sharedItems containsSemiMixedTypes="0" containsString="0" containsNumber="1" minValue="-658459.7900000005" maxValue="275571.31999999995" count="5">
        <n v="275571.31999999995"/>
        <n v="24576.649999999994"/>
        <n v="-658459.7900000005"/>
        <n v="-68718.11"/>
        <n v="-427029.92999999877"/>
      </sharedItems>
    </cacheField>
    <cacheField name="margen_operacional" numFmtId="2">
      <sharedItems containsSemiMixedTypes="0" containsString="0" containsNumber="1" minValue="-318806.00000000052" maxValue="276571.98999999993" count="5">
        <n v="276571.98999999993"/>
        <n v="20873.199999999993"/>
        <n v="-318806.00000000052"/>
        <n v="-65449.26"/>
        <n v="-86810.069999998785"/>
      </sharedItems>
    </cacheField>
    <cacheField name="ganancia_antes_impuesto" numFmtId="2">
      <sharedItems containsSemiMixedTypes="0" containsString="0" containsNumber="1" minValue="-60037.240000000005" maxValue="758842.59000000125" count="5">
        <n v="408054.76999999996"/>
        <n v="67268.41"/>
        <n v="343556.6499999995"/>
        <n v="-60037.240000000005"/>
        <n v="758842.59000000125"/>
      </sharedItems>
    </cacheField>
    <cacheField name="ganancia_del_ejercicio" numFmtId="2">
      <sharedItems containsSemiMixedTypes="0" containsString="0" containsNumber="1" minValue="-60037.240000000005" maxValue="431516.59000000125" count="5">
        <n v="260221.54999999996"/>
        <n v="42883.630000000005"/>
        <n v="188448.6499999995"/>
        <n v="-60037.240000000005"/>
        <n v="431516.59000000125"/>
      </sharedItems>
    </cacheField>
    <cacheField name="A1_DE_1_A_30_DIAS" numFmtId="2">
      <sharedItems containsSemiMixedTypes="0" containsString="0" containsNumber="1" minValue="0" maxValue="8392307.0099999998" count="5">
        <n v="27116.35"/>
        <n v="16107.65"/>
        <n v="8349083.0099999998"/>
        <n v="0"/>
        <n v="8392307.0099999998"/>
      </sharedItems>
    </cacheField>
    <cacheField name="A1_DE_31_A_90DIAS" numFmtId="2">
      <sharedItems containsSemiMixedTypes="0" containsString="0" containsNumber="1" minValue="0" maxValue="15679113.310000001" count="5">
        <n v="53196.74"/>
        <n v="20216.11"/>
        <n v="15605700.460000001"/>
        <n v="0"/>
        <n v="15679113.310000001"/>
      </sharedItems>
    </cacheField>
    <cacheField name="A1_DE_91_A_180_DIAS" numFmtId="2">
      <sharedItems containsSemiMixedTypes="0" containsString="0" containsNumber="1" minValue="0" maxValue="10008627.870000001" count="5">
        <n v="81652.2"/>
        <n v="30326.11"/>
        <n v="9896649.5600000005"/>
        <n v="0"/>
        <n v="10008627.870000001"/>
      </sharedItems>
    </cacheField>
    <cacheField name="A1_DE_181_A_360_DIAS" numFmtId="2">
      <sharedItems containsSemiMixedTypes="0" containsString="0" containsNumber="1" minValue="0" maxValue="6241816.25" count="5">
        <n v="166909.51999999999"/>
        <n v="49076.06"/>
        <n v="6025830.6699999999"/>
        <n v="0"/>
        <n v="6241816.25"/>
      </sharedItems>
    </cacheField>
    <cacheField name="A1_DE_MAS_DE_360_DIAS" numFmtId="2">
      <sharedItems containsSemiMixedTypes="0" containsString="0" containsNumber="1" minValue="0" maxValue="28738008.539999999" count="5">
        <n v="4203766.25"/>
        <n v="281124.52"/>
        <n v="24253117.77"/>
        <n v="0"/>
        <n v="28738008.539999999"/>
      </sharedItems>
    </cacheField>
    <cacheField name="A2_DE_1_A_30_DIAS" numFmtId="2">
      <sharedItems containsSemiMixedTypes="0" containsString="0" containsNumber="1" minValue="0" maxValue="62686.18" count="5">
        <n v="1533.27"/>
        <n v="3080.39"/>
        <n v="58072.52"/>
        <n v="0"/>
        <n v="62686.18"/>
      </sharedItems>
    </cacheField>
    <cacheField name="A2_DE_31_A_90DIAS" numFmtId="2">
      <sharedItems containsSemiMixedTypes="0" containsString="0" containsNumber="1" minValue="0" maxValue="57523.47" count="5">
        <n v="1560.95"/>
        <n v="3138.15"/>
        <n v="52824.37"/>
        <n v="0"/>
        <n v="57523.47"/>
      </sharedItems>
    </cacheField>
    <cacheField name="A2_DE_91_A_180_DIAS" numFmtId="2">
      <sharedItems containsSemiMixedTypes="0" containsString="0" containsNumber="1" minValue="0" maxValue="81861.5" count="5">
        <n v="2394.41"/>
        <n v="4817.91"/>
        <n v="74649.179999999993"/>
        <n v="0"/>
        <n v="81861.5"/>
      </sharedItems>
    </cacheField>
    <cacheField name="A2_DE_181_A_360_DIAS" numFmtId="2">
      <sharedItems containsSemiMixedTypes="0" containsString="0" containsNumber="1" minValue="0" maxValue="127004.62" count="5">
        <n v="4985.8999999999996"/>
        <n v="10048.18"/>
        <n v="111970.54"/>
        <n v="0"/>
        <n v="127004.62"/>
      </sharedItems>
    </cacheField>
    <cacheField name="A2_DE_MAS_DE_360_DIAS" numFmtId="2">
      <sharedItems containsSemiMixedTypes="0" containsString="0" containsNumber="1" minValue="0" maxValue="558484.92000000004" count="5">
        <n v="148307.79"/>
        <n v="38109.050000000003"/>
        <n v="372068.08"/>
        <n v="0"/>
        <n v="558484.92000000004"/>
      </sharedItems>
    </cacheField>
    <cacheField name="A3_DE_1_A_30_DIAS" numFmtId="2">
      <sharedItems containsSemiMixedTypes="0" containsString="0" containsNumber="1" containsInteger="1" minValue="0" maxValue="0" count="1">
        <n v="0"/>
      </sharedItems>
    </cacheField>
    <cacheField name="A3_DE_31_A_90DIAS" numFmtId="2">
      <sharedItems containsSemiMixedTypes="0" containsString="0" containsNumber="1" minValue="0" maxValue="41886.639999999999" count="5">
        <n v="756.41"/>
        <n v="3023.67"/>
        <n v="38106.559999999998"/>
        <n v="0"/>
        <n v="41886.639999999999"/>
      </sharedItems>
    </cacheField>
    <cacheField name="A3_DE_91_A_180_DIAS" numFmtId="2">
      <sharedItems containsSemiMixedTypes="0" containsString="0" containsNumber="1" minValue="0" maxValue="29272.34" count="4">
        <n v="0"/>
        <n v="2062.17"/>
        <n v="27210.17"/>
        <n v="29272.34"/>
      </sharedItems>
    </cacheField>
    <cacheField name="A3_DE_181_A_360_DIAS" numFmtId="2">
      <sharedItems containsSemiMixedTypes="0" containsString="0" containsNumber="1" minValue="0" maxValue="37798.660000000003" count="4">
        <n v="0"/>
        <n v="1651.51"/>
        <n v="36147.15"/>
        <n v="37798.660000000003"/>
      </sharedItems>
    </cacheField>
    <cacheField name="A3_DE_MAS_DE_360_DIAS" numFmtId="2">
      <sharedItems containsSemiMixedTypes="0" containsString="0" containsNumber="1" minValue="0" maxValue="368513" count="5">
        <n v="2"/>
        <n v="3938.82"/>
        <n v="364572.18"/>
        <n v="0"/>
        <n v="368513"/>
      </sharedItems>
    </cacheField>
    <cacheField name="A4_DE_1_A_30_DIAS" numFmtId="2">
      <sharedItems containsSemiMixedTypes="0" containsString="0" containsNumber="1" minValue="138227.51999999999" maxValue="19144630.199999999" count="5">
        <n v="1903637.8"/>
        <n v="829256.51"/>
        <n v="16273508.369999999"/>
        <n v="138227.51999999999"/>
        <n v="19144630.199999999"/>
      </sharedItems>
    </cacheField>
    <cacheField name="A4_DE_31_A_90DIAS" numFmtId="2">
      <sharedItems containsSemiMixedTypes="0" containsString="0" containsNumber="1" minValue="225086.5" maxValue="11558742.140000001" count="5">
        <n v="1152220.54"/>
        <n v="1094295.44"/>
        <n v="9087139.6600000001"/>
        <n v="225086.5"/>
        <n v="11558742.140000001"/>
      </sharedItems>
    </cacheField>
    <cacheField name="A4_DE_91_A_180_DIAS" numFmtId="2">
      <sharedItems containsSemiMixedTypes="0" containsString="0" containsNumber="1" minValue="315073.91000000003" maxValue="10850893.82" count="5">
        <n v="1304877.45"/>
        <n v="1477071.72"/>
        <n v="7753870.7400000002"/>
        <n v="315073.91000000003"/>
        <n v="10850893.82"/>
      </sharedItems>
    </cacheField>
    <cacheField name="A4_DE_MAS_DE_180_DIAS" numFmtId="2">
      <sharedItems containsSemiMixedTypes="0" containsString="0" containsNumber="1" minValue="5083661.34" maxValue="72889770.36999999" count="5">
        <n v="11909514.799999999"/>
        <n v="15221458.799999999"/>
        <n v="40675135.43"/>
        <n v="5083661.34"/>
        <n v="72889770.36999999"/>
      </sharedItems>
    </cacheField>
    <cacheField name="A5_DE_1_A_30_DIAS" numFmtId="2">
      <sharedItems containsSemiMixedTypes="0" containsString="0" containsNumber="1" minValue="12473.16" maxValue="603312.46" count="5">
        <n v="56053.52"/>
        <n v="36884.490000000005"/>
        <n v="497901.29000000004"/>
        <n v="12473.16"/>
        <n v="603312.46"/>
      </sharedItems>
    </cacheField>
    <cacheField name="A5_DE_31_A_90DIAS" numFmtId="2">
      <sharedItems containsSemiMixedTypes="0" containsString="0" containsNumber="1" minValue="12668.09" maxValue="848678.06" count="5">
        <n v="31130.47"/>
        <n v="40100.160000000003"/>
        <n v="764779.34"/>
        <n v="12668.09"/>
        <n v="848678.06"/>
      </sharedItems>
    </cacheField>
    <cacheField name="A5_DE_91_A_180_DIAS" numFmtId="2">
      <sharedItems containsSemiMixedTypes="0" containsString="0" containsNumber="1" minValue="19094.239999999998" maxValue="773598.75999999989" count="5">
        <n v="38427.56"/>
        <n v="51198.170000000006"/>
        <n v="664878.78999999992"/>
        <n v="19094.239999999998"/>
        <n v="773598.75999999989"/>
      </sharedItems>
    </cacheField>
    <cacheField name="A5_DE_MAS_DE_180_DIAS" numFmtId="2">
      <sharedItems containsSemiMixedTypes="0" containsString="0" containsNumber="1" minValue="267020.98" maxValue="3183190.49" count="5">
        <n v="271650.27"/>
        <n v="313624.02999999997"/>
        <n v="2330895.2100000004"/>
        <n v="267020.98"/>
        <n v="3183190.49"/>
      </sharedItems>
    </cacheField>
    <cacheField name="A6_DE_31_A_90DIAS" numFmtId="2">
      <sharedItems containsSemiMixedTypes="0" containsString="0" containsNumber="1" minValue="0" maxValue="0.04" count="2">
        <n v="0"/>
        <n v="0.04"/>
      </sharedItems>
    </cacheField>
    <cacheField name="A6_DE_91_A_180_DIAS" numFmtId="2">
      <sharedItems containsSemiMixedTypes="0" containsString="0" containsNumber="1" minValue="8975.93" maxValue="690242.51" count="5">
        <n v="23787.79"/>
        <n v="30322.11"/>
        <n v="627156.68000000005"/>
        <n v="8975.93"/>
        <n v="690242.51"/>
      </sharedItems>
    </cacheField>
    <cacheField name="A6_DE_181_A_360_DIAS" numFmtId="2">
      <sharedItems containsSemiMixedTypes="0" containsString="0" containsNumber="1" minValue="8805.2000000000007" maxValue="774072.71" count="5">
        <n v="20756.02"/>
        <n v="28021.45"/>
        <n v="716490.04"/>
        <n v="8805.2000000000007"/>
        <n v="774072.71"/>
      </sharedItems>
    </cacheField>
    <cacheField name="A6_DE_MAS_DE_360_DIAS" numFmtId="2">
      <sharedItems containsSemiMixedTypes="0" containsString="0" containsNumber="1" minValue="18490.139999999996" maxValue="2960455.15" count="5">
        <n v="200783.56"/>
        <n v="188519.44"/>
        <n v="2552662.0099999998"/>
        <n v="18490.139999999996"/>
        <n v="2960455.15"/>
      </sharedItems>
    </cacheField>
    <cacheField name="A7_DE_1_A_30_DIAS" numFmtId="2">
      <sharedItems containsSemiMixedTypes="0" containsString="0" containsNumber="1" minValue="52657.46" maxValue="2861517.94" count="5">
        <n v="855220.97"/>
        <n v="160850.01999999999"/>
        <n v="1792789.49"/>
        <n v="52657.46"/>
        <n v="2861517.94"/>
      </sharedItems>
    </cacheField>
    <cacheField name="A7_DE_31_A_90DIAS" numFmtId="2">
      <sharedItems containsSemiMixedTypes="0" containsString="0" containsNumber="1" minValue="96501.18" maxValue="4378545.38" count="5">
        <n v="1537580.7"/>
        <n v="256353.72"/>
        <n v="2488109.7799999998"/>
        <n v="96501.18"/>
        <n v="4378545.38"/>
      </sharedItems>
    </cacheField>
    <cacheField name="A7_DE_181_A_360_DIAS" numFmtId="2">
      <sharedItems containsSemiMixedTypes="0" containsString="0" containsNumber="1" minValue="407850.99999999994" maxValue="18684734.039999999" count="5">
        <n v="7005084.7700000005"/>
        <n v="1160879.49"/>
        <n v="10110918.779999999"/>
        <n v="407850.99999999994"/>
        <n v="18684734.039999999"/>
      </sharedItems>
    </cacheField>
    <cacheField name="A7_DE_MAS_DE_360_DIAS" numFmtId="2">
      <sharedItems containsSemiMixedTypes="0" containsString="0" containsNumber="1" minValue="5102811.32" maxValue="258050158.04999998" count="5">
        <n v="98334912.189999998"/>
        <n v="13487860.199999999"/>
        <n v="141124574.34"/>
        <n v="5102811.32"/>
        <n v="258050158.04999998"/>
      </sharedItems>
    </cacheField>
    <cacheField name="A8_DE_1_A_30_DIAS" numFmtId="2">
      <sharedItems containsSemiMixedTypes="0" containsString="0" containsNumber="1" minValue="7191.76" maxValue="285417.75" count="5">
        <n v="57428.72"/>
        <n v="13028.5"/>
        <n v="207768.77"/>
        <n v="7191.76"/>
        <n v="285417.75"/>
      </sharedItems>
    </cacheField>
    <cacheField name="A8_DE_31_A_90DIAS" numFmtId="2">
      <sharedItems containsSemiMixedTypes="0" containsString="0" containsNumber="1" minValue="8764.5" maxValue="185975.14" count="5">
        <n v="39665.519999999997"/>
        <n v="8764.5"/>
        <n v="126307.42"/>
        <n v="11237.7"/>
        <n v="185975.14"/>
      </sharedItems>
    </cacheField>
    <cacheField name="A8_DE_91_A_360_DIAS" numFmtId="2">
      <sharedItems containsSemiMixedTypes="0" containsString="0" containsNumber="1" minValue="34308.090000000004" maxValue="792482.80999999994" count="5">
        <n v="183953.82"/>
        <n v="39130.089999999997"/>
        <n v="535090.81000000006"/>
        <n v="34308.090000000004"/>
        <n v="792482.80999999994"/>
      </sharedItems>
    </cacheField>
    <cacheField name="A8_DE_MAS_DE_360_DIAS" numFmtId="2">
      <sharedItems containsSemiMixedTypes="0" containsString="0" containsNumber="1" minValue="308007.39" maxValue="8441299.5199999996" count="5">
        <n v="2338440.8199999998"/>
        <n v="308007.39"/>
        <n v="5472481.0700000003"/>
        <n v="322370.24"/>
        <n v="8441299.5199999996"/>
      </sharedItems>
    </cacheField>
    <cacheField name="A9_DE_1_A_30_DIAS" numFmtId="2">
      <sharedItems containsSemiMixedTypes="0" containsString="0" containsNumber="1" containsInteger="1" minValue="0" maxValue="0" count="1">
        <n v="0"/>
      </sharedItems>
    </cacheField>
    <cacheField name="A9_DE_31_A_90DIAS" numFmtId="2">
      <sharedItems containsSemiMixedTypes="0" containsString="0" containsNumber="1" minValue="2706.1600000000003" maxValue="70505.42" count="5">
        <n v="18318.18"/>
        <n v="4220.7"/>
        <n v="45260.38"/>
        <n v="2706.1600000000003"/>
        <n v="70505.42"/>
      </sharedItems>
    </cacheField>
    <cacheField name="A9_DE_91_A_360_DIAS" numFmtId="2">
      <sharedItems containsSemiMixedTypes="0" containsString="0" containsNumber="1" minValue="19323.87" maxValue="462884.98999999993" count="5">
        <n v="55690.64"/>
        <n v="19382.03"/>
        <n v="368488.45"/>
        <n v="19323.87"/>
        <n v="462884.98999999993"/>
      </sharedItems>
    </cacheField>
    <cacheField name="A9_DE_MAS_DE_360_DIAS" numFmtId="2">
      <sharedItems containsSemiMixedTypes="0" containsString="0" containsNumber="1" minValue="7060.42" maxValue="440926.49" count="5">
        <n v="17217.46"/>
        <n v="15498.61"/>
        <n v="401150"/>
        <n v="7060.42"/>
        <n v="440926.49"/>
      </sharedItems>
    </cacheField>
    <cacheField name="A10_DE_1_A_30_DIAS" numFmtId="2">
      <sharedItems containsSemiMixedTypes="0" containsString="0" containsNumber="1" minValue="21824.87" maxValue="2076465.9300000002" count="5">
        <n v="21824.87"/>
        <n v="214406.24"/>
        <n v="1679405.97"/>
        <n v="160828.85"/>
        <n v="2076465.9300000002"/>
      </sharedItems>
    </cacheField>
    <cacheField name="A10_DE_31_A_90DIAS" numFmtId="2">
      <sharedItems containsSemiMixedTypes="0" containsString="0" containsNumber="1" minValue="35409.449999999997" maxValue="3965958.2499999995" count="5">
        <n v="35409.449999999997"/>
        <n v="393331.08"/>
        <n v="3265190.63"/>
        <n v="272027.09000000003"/>
        <n v="3965958.2499999995"/>
      </sharedItems>
    </cacheField>
    <cacheField name="A10_DE_91_A_180_DIAS" numFmtId="2">
      <sharedItems containsSemiMixedTypes="0" containsString="0" containsNumber="1" minValue="49529.35" maxValue="5698661.7300000004" count="5">
        <n v="49529.35"/>
        <n v="598630.24"/>
        <n v="4635584.9399999995"/>
        <n v="414917.19999999995"/>
        <n v="5698661.7300000004"/>
      </sharedItems>
    </cacheField>
    <cacheField name="A10_DE_181_A_360_DIAS" numFmtId="2">
      <sharedItems containsSemiMixedTypes="0" containsString="0" containsNumber="1" minValue="82748.25" maxValue="10917577.620000001" count="5">
        <n v="82748.25"/>
        <n v="1123919.5899999999"/>
        <n v="8918756.6500000004"/>
        <n v="792153.13"/>
        <n v="10917577.620000001"/>
      </sharedItems>
    </cacheField>
    <cacheField name="A10_DE_MAS_DE_360_DIAS" numFmtId="2">
      <sharedItems containsSemiMixedTypes="0" containsString="0" containsNumber="1" minValue="198119.45" maxValue="32055846.760000002" count="5">
        <n v="198119.45"/>
        <n v="3664134.38"/>
        <n v="23251568.699999999"/>
        <n v="4942024.2300000004"/>
        <n v="32055846.760000002"/>
      </sharedItems>
    </cacheField>
    <cacheField name="A11_DE_1_A_30_DIAS" numFmtId="2">
      <sharedItems containsSemiMixedTypes="0" containsString="0" containsNumber="1" minValue="3806.59" maxValue="103795.81" count="5">
        <n v="3806.59"/>
        <n v="17687.849999999999"/>
        <n v="60775.130000000005"/>
        <n v="21526.239999999998"/>
        <n v="103795.81"/>
      </sharedItems>
    </cacheField>
    <cacheField name="A11_DE_31_A_90DIAS" numFmtId="2">
      <sharedItems containsSemiMixedTypes="0" containsString="0" containsNumber="1" minValue="3551.71" maxValue="97374.239999999991" count="5">
        <n v="3551.71"/>
        <n v="16634.23"/>
        <n v="54800.01"/>
        <n v="22388.29"/>
        <n v="97374.239999999991"/>
      </sharedItems>
    </cacheField>
    <cacheField name="A11_DE_91_A_180_DIAS" numFmtId="2">
      <sharedItems containsSemiMixedTypes="0" containsString="0" containsNumber="1" minValue="5523.7" maxValue="119398.75" count="5">
        <n v="5523.7"/>
        <n v="24182.31"/>
        <n v="56804.66"/>
        <n v="32888.080000000002"/>
        <n v="119398.75"/>
      </sharedItems>
    </cacheField>
    <cacheField name="A11_DE_181_A_360_DIAS" numFmtId="2">
      <sharedItems containsSemiMixedTypes="0" containsString="0" containsNumber="1" minValue="9293.31" maxValue="222564.29" count="5">
        <n v="9293.31"/>
        <n v="39678.660000000003"/>
        <n v="108087.58"/>
        <n v="65504.74"/>
        <n v="222564.29"/>
      </sharedItems>
    </cacheField>
    <cacheField name="A11_DE_MAS_DE_360_DIAS" numFmtId="2">
      <sharedItems containsSemiMixedTypes="0" containsString="0" containsNumber="1" minValue="7600.98" maxValue="876793.65" count="5">
        <n v="7600.98"/>
        <n v="68659.100000000006"/>
        <n v="265808.26"/>
        <n v="534725.31000000006"/>
        <n v="876793.65"/>
      </sharedItems>
    </cacheField>
    <cacheField name="A12_DE_1_A_30_DIAS" numFmtId="2">
      <sharedItems containsSemiMixedTypes="0" containsString="0" containsNumber="1" minValue="0" maxValue="0.03" count="2">
        <n v="0"/>
        <n v="0.03"/>
      </sharedItems>
    </cacheField>
    <cacheField name="A12_DE_31_A_90DIAS" numFmtId="2">
      <sharedItems containsSemiMixedTypes="0" containsString="0" containsNumber="1" minValue="3263.76" maxValue="83885.66" count="5">
        <n v="3263.76"/>
        <n v="13415.51"/>
        <n v="49887.86"/>
        <n v="17318.53"/>
        <n v="83885.66"/>
      </sharedItems>
    </cacheField>
    <cacheField name="A12_DE_91_A_180_DIAS" numFmtId="2">
      <sharedItems containsSemiMixedTypes="0" containsString="0" containsNumber="1" minValue="2810.56" maxValue="81256.290000000008" count="5">
        <n v="2810.56"/>
        <n v="13968.64"/>
        <n v="52377.760000000002"/>
        <n v="12099.33"/>
        <n v="81256.290000000008"/>
      </sharedItems>
    </cacheField>
    <cacheField name="A12_DE_181_A_360_DIAS" numFmtId="2">
      <sharedItems containsSemiMixedTypes="0" containsString="0" containsNumber="1" minValue="3911.74" maxValue="168665.71000000002" count="5">
        <n v="3911.74"/>
        <n v="12023.97"/>
        <n v="136121.24"/>
        <n v="16608.759999999998"/>
        <n v="168665.71000000002"/>
      </sharedItems>
    </cacheField>
    <cacheField name="A12_DE_MAS_DE_360_DIAS" numFmtId="2">
      <sharedItems containsSemiMixedTypes="0" containsString="0" containsNumber="1" minValue="7493.45" maxValue="1454386.9200000002" count="5">
        <n v="7493.45"/>
        <n v="20833.560000000001"/>
        <n v="1384129.85"/>
        <n v="41930.06"/>
        <n v="1454386.9200000002"/>
      </sharedItems>
    </cacheField>
    <cacheField name="A13_DE_1_A_30_DIAS" numFmtId="2">
      <sharedItems containsSemiMixedTypes="0" containsString="0" containsNumber="1" containsInteger="1" minValue="0" maxValue="0" count="1">
        <n v="0"/>
      </sharedItems>
    </cacheField>
    <cacheField name="A13_DE_31_A_90DIAS" numFmtId="2">
      <sharedItems containsSemiMixedTypes="0" containsString="0" containsNumber="1" containsInteger="1" minValue="0" maxValue="0" count="1">
        <n v="0"/>
      </sharedItems>
    </cacheField>
    <cacheField name="A13_DE_91_A_180_DIAS" numFmtId="2">
      <sharedItems containsSemiMixedTypes="0" containsString="0" containsNumber="1" containsInteger="1" minValue="0" maxValue="0" count="1">
        <n v="0"/>
      </sharedItems>
    </cacheField>
    <cacheField name="A13_DE_181_A_360_DIAS" numFmtId="2">
      <sharedItems containsSemiMixedTypes="0" containsString="0" containsNumber="1" containsInteger="1" minValue="0" maxValue="0" count="1">
        <n v="0"/>
      </sharedItems>
    </cacheField>
    <cacheField name="A13_DE_MAS_DE_360_DIAS" numFmtId="2">
      <sharedItems containsSemiMixedTypes="0" containsString="0" containsNumber="1" containsInteger="1" minValue="0" maxValue="0" count="1">
        <n v="0"/>
      </sharedItems>
    </cacheField>
    <cacheField name="A14_DE_1_A_30_DIAS" numFmtId="2">
      <sharedItems containsSemiMixedTypes="0" containsString="0" containsNumber="1" containsInteger="1" minValue="0" maxValue="0" count="1">
        <n v="0"/>
      </sharedItems>
    </cacheField>
    <cacheField name="A14_DE_31_A_90DIAS" numFmtId="2">
      <sharedItems containsSemiMixedTypes="0" containsString="0" containsNumber="1" containsInteger="1" minValue="0" maxValue="0" count="1">
        <n v="0"/>
      </sharedItems>
    </cacheField>
    <cacheField name="A14_DE_91_A_180_DIAS" numFmtId="2">
      <sharedItems containsSemiMixedTypes="0" containsString="0" containsNumber="1" containsInteger="1" minValue="0" maxValue="0" count="1">
        <n v="0"/>
      </sharedItems>
    </cacheField>
    <cacheField name="A14_DE_181_A_360_DIAS" numFmtId="2">
      <sharedItems containsSemiMixedTypes="0" containsString="0" containsNumber="1" containsInteger="1" minValue="0" maxValue="0" count="1">
        <n v="0"/>
      </sharedItems>
    </cacheField>
    <cacheField name="A14_DE_MAS_DE_360_DIAS" numFmtId="2">
      <sharedItems containsSemiMixedTypes="0" containsString="0" containsNumber="1" containsInteger="1" minValue="0" maxValue="0" count="1">
        <n v="0"/>
      </sharedItems>
    </cacheField>
    <cacheField name="A15_DE_1_A_30_DIAS" numFmtId="2">
      <sharedItems containsSemiMixedTypes="0" containsString="0" containsNumber="1" containsInteger="1" minValue="0" maxValue="0" count="1">
        <n v="0"/>
      </sharedItems>
    </cacheField>
    <cacheField name="A15_DE_31_A_90DIAS" numFmtId="2">
      <sharedItems containsSemiMixedTypes="0" containsString="0" containsNumber="1" containsInteger="1" minValue="0" maxValue="0" count="1">
        <n v="0"/>
      </sharedItems>
    </cacheField>
    <cacheField name="A15_DE_91_A_180_DIAS" numFmtId="2">
      <sharedItems containsSemiMixedTypes="0" containsString="0" containsNumber="1" containsInteger="1" minValue="0" maxValue="0" count="1">
        <n v="0"/>
      </sharedItems>
    </cacheField>
    <cacheField name="A15_DE_181_A_360_DIAS" numFmtId="2">
      <sharedItems containsSemiMixedTypes="0" containsString="0" containsNumber="1" containsInteger="1" minValue="0" maxValue="0" count="1">
        <n v="0"/>
      </sharedItems>
    </cacheField>
    <cacheField name="A15_DE_MAS_DE_360_DIAS" numFmtId="2">
      <sharedItems containsSemiMixedTypes="0" containsString="0" containsNumber="1" containsInteger="1" minValue="0" maxValue="0" count="1">
        <n v="0"/>
      </sharedItems>
    </cacheField>
    <cacheField name="A16_DE_1_A_30_DIAS" numFmtId="2">
      <sharedItems containsSemiMixedTypes="0" containsString="0" containsNumber="1" minValue="0" maxValue="34089.75" count="2">
        <n v="0"/>
        <n v="34089.75"/>
      </sharedItems>
    </cacheField>
    <cacheField name="A16_DE_31_A_90DIAS" numFmtId="2">
      <sharedItems containsSemiMixedTypes="0" containsString="0" containsNumber="1" minValue="0" maxValue="64124.28" count="2">
        <n v="0"/>
        <n v="64124.28"/>
      </sharedItems>
    </cacheField>
    <cacheField name="A16_DE_91_A_180_DIAS" numFmtId="2">
      <sharedItems containsSemiMixedTypes="0" containsString="0" containsNumber="1" minValue="0" maxValue="87856.98" count="2">
        <n v="0"/>
        <n v="87856.98"/>
      </sharedItems>
    </cacheField>
    <cacheField name="A16_DE_181_A_360_DIAS" numFmtId="2">
      <sharedItems containsSemiMixedTypes="0" containsString="0" containsNumber="1" minValue="0" maxValue="182140.79999999999" count="2">
        <n v="0"/>
        <n v="182140.79999999999"/>
      </sharedItems>
    </cacheField>
    <cacheField name="A16_DE_MAS_DE_360_DIAS" numFmtId="2">
      <sharedItems containsSemiMixedTypes="0" containsString="0" containsNumber="1" minValue="0" maxValue="907765.79" count="2">
        <n v="0"/>
        <n v="907765.79"/>
      </sharedItems>
    </cacheField>
    <cacheField name="A17_DE_1_A_30_DIAS" numFmtId="2">
      <sharedItems containsSemiMixedTypes="0" containsString="0" containsNumber="1" containsInteger="1" minValue="0" maxValue="0" count="1">
        <n v="0"/>
      </sharedItems>
    </cacheField>
    <cacheField name="A17_DE_31_A_90DIAS" numFmtId="2">
      <sharedItems containsSemiMixedTypes="0" containsString="0" containsNumber="1" containsInteger="1" minValue="0" maxValue="0" count="1">
        <n v="0"/>
      </sharedItems>
    </cacheField>
    <cacheField name="A17_DE_91_A_180_DIAS" numFmtId="2">
      <sharedItems containsSemiMixedTypes="0" containsString="0" containsNumber="1" containsInteger="1" minValue="0" maxValue="0" count="1">
        <n v="0"/>
      </sharedItems>
    </cacheField>
    <cacheField name="A17_DE_181_A_360_DIAS" numFmtId="2">
      <sharedItems containsSemiMixedTypes="0" containsString="0" containsNumber="1" containsInteger="1" minValue="0" maxValue="0" count="1">
        <n v="0"/>
      </sharedItems>
    </cacheField>
    <cacheField name="A17_DE_MAS_DE_360_DIAS" numFmtId="2">
      <sharedItems containsSemiMixedTypes="0" containsString="0" containsNumber="1" containsInteger="1" minValue="0" maxValue="0" count="1">
        <n v="0"/>
      </sharedItems>
    </cacheField>
    <cacheField name="A18_DE_1_A_30_DIAS" numFmtId="2">
      <sharedItems containsSemiMixedTypes="0" containsString="0" containsNumber="1" containsInteger="1" minValue="0" maxValue="0" count="1">
        <n v="0"/>
      </sharedItems>
    </cacheField>
    <cacheField name="A18_DE_31_A_90DIAS" numFmtId="2">
      <sharedItems containsSemiMixedTypes="0" containsString="0" containsNumber="1" containsInteger="1" minValue="0" maxValue="0" count="1">
        <n v="0"/>
      </sharedItems>
    </cacheField>
    <cacheField name="A18_DE_91_A_180_DIAS" numFmtId="2">
      <sharedItems containsSemiMixedTypes="0" containsString="0" containsNumber="1" containsInteger="1" minValue="0" maxValue="0" count="1">
        <n v="0"/>
      </sharedItems>
    </cacheField>
    <cacheField name="A18_DE_181_A_360_DIAS" numFmtId="2">
      <sharedItems containsSemiMixedTypes="0" containsString="0" containsNumber="1" containsInteger="1" minValue="0" maxValue="0" count="1">
        <n v="0"/>
      </sharedItems>
    </cacheField>
    <cacheField name="A18_DE_MAS_DE_360_DIAS" numFmtId="2">
      <sharedItems containsSemiMixedTypes="0" containsString="0" containsNumber="1" containsInteger="1" minValue="0" maxValue="0" count="1">
        <n v="0"/>
      </sharedItems>
    </cacheField>
    <cacheField name="A19_DE_1_A_30_DIAS" numFmtId="2">
      <sharedItems containsSemiMixedTypes="0" containsString="0" containsNumber="1" minValue="0" maxValue="897783.26" count="4">
        <n v="318521.84999999998"/>
        <n v="0"/>
        <n v="579261.41"/>
        <n v="897783.26"/>
      </sharedItems>
    </cacheField>
    <cacheField name="A19_DE_31_A_90DIAS" numFmtId="2">
      <sharedItems containsSemiMixedTypes="0" containsString="0" containsNumber="1" minValue="0" maxValue="1738901.11" count="4">
        <n v="588993.89"/>
        <n v="0"/>
        <n v="1149907.22"/>
        <n v="1738901.11"/>
      </sharedItems>
    </cacheField>
    <cacheField name="A19_DE_91_A_180_DIAS" numFmtId="2">
      <sharedItems containsSemiMixedTypes="0" containsString="0" containsNumber="1" minValue="0" maxValue="2686065.17" count="4">
        <n v="913057.43"/>
        <n v="0"/>
        <n v="1773007.74"/>
        <n v="2686065.17"/>
      </sharedItems>
    </cacheField>
    <cacheField name="A19_DE_181_A_360_DIAS" numFmtId="2">
      <sharedItems containsSemiMixedTypes="0" containsString="0" containsNumber="1" minValue="0" maxValue="5419537.5999999996" count="4">
        <n v="1848013.06"/>
        <n v="0"/>
        <n v="3571524.54"/>
        <n v="5419537.5999999996"/>
      </sharedItems>
    </cacheField>
    <cacheField name="A19_DE_MAS_DE_360_DIAS" numFmtId="2">
      <sharedItems containsSemiMixedTypes="0" containsString="0" containsNumber="1" minValue="0" maxValue="33380120.170000002" count="4">
        <n v="10805835.93"/>
        <n v="0"/>
        <n v="22574284.239999998"/>
        <n v="33380120.170000002"/>
      </sharedItems>
    </cacheField>
    <cacheField name="A20_DE_1_A_30_DIAS" numFmtId="2">
      <sharedItems containsSemiMixedTypes="0" containsString="0" containsNumber="1" minValue="0" maxValue="20052.310000000001" count="4">
        <n v="7459.87"/>
        <n v="0"/>
        <n v="12592.44"/>
        <n v="20052.310000000001"/>
      </sharedItems>
    </cacheField>
    <cacheField name="A20_DE_31_A_90DIAS" numFmtId="2">
      <sharedItems containsSemiMixedTypes="0" containsString="0" containsNumber="1" minValue="0" maxValue="19895.55" count="4">
        <n v="6685.87"/>
        <n v="0"/>
        <n v="13209.68"/>
        <n v="19895.55"/>
      </sharedItems>
    </cacheField>
    <cacheField name="A20_DE_91_A_180_DIAS" numFmtId="2">
      <sharedItems containsSemiMixedTypes="0" containsString="0" containsNumber="1" minValue="0" maxValue="30628.22" count="4">
        <n v="10442.51"/>
        <n v="0"/>
        <n v="20185.71"/>
        <n v="30628.22"/>
      </sharedItems>
    </cacheField>
    <cacheField name="A20_DE_181_A_360_DIAS" numFmtId="2">
      <sharedItems containsSemiMixedTypes="0" containsString="0" containsNumber="1" minValue="0" maxValue="63107.02" count="4">
        <n v="20715.75"/>
        <n v="0"/>
        <n v="42391.27"/>
        <n v="63107.02"/>
      </sharedItems>
    </cacheField>
    <cacheField name="A20_DE_MAS_DE_360_DIAS" numFmtId="2">
      <sharedItems containsSemiMixedTypes="0" containsString="0" containsNumber="1" minValue="0" maxValue="227118.25" count="4">
        <n v="54494.080000000002"/>
        <n v="0"/>
        <n v="172624.17"/>
        <n v="227118.25"/>
      </sharedItems>
    </cacheField>
    <cacheField name="A21_DE_1_A_30_DIAS" numFmtId="2">
      <sharedItems containsSemiMixedTypes="0" containsString="0" containsNumber="1" containsInteger="1" minValue="0" maxValue="0" count="1">
        <n v="0"/>
      </sharedItems>
    </cacheField>
    <cacheField name="A21_DE_31_A_90DIAS" numFmtId="2">
      <sharedItems containsSemiMixedTypes="0" containsString="0" containsNumber="1" minValue="0" maxValue="11743.13" count="4">
        <n v="4739.91"/>
        <n v="0"/>
        <n v="7003.22"/>
        <n v="11743.13"/>
      </sharedItems>
    </cacheField>
    <cacheField name="A21_DE_91_A_180_DIAS" numFmtId="2">
      <sharedItems containsSemiMixedTypes="0" containsString="0" containsNumber="1" minValue="0" maxValue="7760.2" count="4">
        <n v="4149.37"/>
        <n v="0"/>
        <n v="3610.83"/>
        <n v="7760.2"/>
      </sharedItems>
    </cacheField>
    <cacheField name="A21_DE_181_A_360_DIAS" numFmtId="2">
      <sharedItems containsSemiMixedTypes="0" containsString="0" containsNumber="1" minValue="0" maxValue="4666.84" count="4">
        <n v="2287.8200000000002"/>
        <n v="0"/>
        <n v="2379.02"/>
        <n v="4666.84"/>
      </sharedItems>
    </cacheField>
    <cacheField name="A21_DE_MAS_DE_360_DIAS" numFmtId="2">
      <sharedItems containsSemiMixedTypes="0" containsString="0" containsNumber="1" minValue="0" maxValue="3031.97" count="4">
        <n v="1821.49"/>
        <n v="0"/>
        <n v="1210.48"/>
        <n v="3031.97"/>
      </sharedItems>
    </cacheField>
    <cacheField name="A22_DE_1_A_30_DIAS" numFmtId="2">
      <sharedItems containsSemiMixedTypes="0" containsString="0" containsNumber="1" minValue="0" maxValue="54968.89" count="2">
        <n v="0"/>
        <n v="54968.89"/>
      </sharedItems>
    </cacheField>
    <cacheField name="A22_DE_31_A_90DIAS" numFmtId="2">
      <sharedItems containsSemiMixedTypes="0" containsString="0" containsNumber="1" minValue="0" maxValue="92441.43" count="2">
        <n v="0"/>
        <n v="92441.43"/>
      </sharedItems>
    </cacheField>
    <cacheField name="A22_DE_91_A_360_DIAS" numFmtId="2">
      <sharedItems containsSemiMixedTypes="0" containsString="0" containsNumber="1" minValue="0" maxValue="422814.92" count="2">
        <n v="0"/>
        <n v="422814.92"/>
      </sharedItems>
    </cacheField>
    <cacheField name="A22_DE_MAS_DE_360_DIAS" numFmtId="2">
      <sharedItems containsSemiMixedTypes="0" containsString="0" containsNumber="1" minValue="0" maxValue="9500640.3300000001" count="2">
        <n v="0"/>
        <n v="9500640.3300000001"/>
      </sharedItems>
    </cacheField>
    <cacheField name="A23_DE_1_A_30_DIAS" numFmtId="2">
      <sharedItems containsSemiMixedTypes="0" containsString="0" containsNumber="1" minValue="0" maxValue="3499.89" count="2">
        <n v="0"/>
        <n v="3499.89"/>
      </sharedItems>
    </cacheField>
    <cacheField name="A23_DE_31_A_90DIAS" numFmtId="2">
      <sharedItems containsSemiMixedTypes="0" containsString="0" containsNumber="1" minValue="0" maxValue="2277.9899999999998" count="2">
        <n v="0"/>
        <n v="2277.9899999999998"/>
      </sharedItems>
    </cacheField>
    <cacheField name="A23_DE_91_A_360_DIAS" numFmtId="2">
      <sharedItems containsSemiMixedTypes="0" containsString="0" containsNumber="1" minValue="0" maxValue="10447.65" count="2">
        <n v="0"/>
        <n v="10447.65"/>
      </sharedItems>
    </cacheField>
    <cacheField name="A23_DE_MAS_DE_360_DIAS" numFmtId="2">
      <sharedItems containsSemiMixedTypes="0" containsString="0" containsNumber="1" minValue="0" maxValue="176430.44" count="2">
        <n v="0"/>
        <n v="176430.44"/>
      </sharedItems>
    </cacheField>
    <cacheField name="A24_DE_1_A_30_DIAS" numFmtId="2">
      <sharedItems containsSemiMixedTypes="0" containsString="0" containsNumber="1" containsInteger="1" minValue="0" maxValue="0" count="1">
        <n v="0"/>
      </sharedItems>
    </cacheField>
    <cacheField name="A24_DE_31_A_90DIAS" numFmtId="2">
      <sharedItems containsSemiMixedTypes="0" containsString="0" containsNumber="1" minValue="0" maxValue="1017.47" count="2">
        <n v="0"/>
        <n v="1017.47"/>
      </sharedItems>
    </cacheField>
    <cacheField name="A24_DE_91_A_360_DIAS" numFmtId="2">
      <sharedItems containsSemiMixedTypes="0" containsString="0" containsNumber="1" minValue="0" maxValue="3851.2799999999997" count="2">
        <n v="0"/>
        <n v="3851.2799999999997"/>
      </sharedItems>
    </cacheField>
    <cacheField name="A24_DE_MAS_DE_360_DIAS" numFmtId="2">
      <sharedItems containsSemiMixedTypes="0" containsString="0" containsNumber="1" minValue="0" maxValue="1916.4599999999998" count="2">
        <n v="0"/>
        <n v="1916.4599999999998"/>
      </sharedItems>
    </cacheField>
    <cacheField name="A25_DE_1_A_30_DIAS" numFmtId="2">
      <sharedItems containsSemiMixedTypes="0" containsString="0" containsNumber="1" containsInteger="1" minValue="0" maxValue="0" count="1">
        <n v="0"/>
      </sharedItems>
    </cacheField>
    <cacheField name="A25_DE_31_A_90DIAS" numFmtId="2">
      <sharedItems containsSemiMixedTypes="0" containsString="0" containsNumber="1" containsInteger="1" minValue="0" maxValue="0" count="1">
        <n v="0"/>
      </sharedItems>
    </cacheField>
    <cacheField name="A25_DE_91_A_180_DIAS" numFmtId="2">
      <sharedItems containsSemiMixedTypes="0" containsString="0" containsNumber="1" containsInteger="1" minValue="0" maxValue="0" count="1">
        <n v="0"/>
      </sharedItems>
    </cacheField>
    <cacheField name="A25_DE_181_A_360_DIAS" numFmtId="2">
      <sharedItems containsSemiMixedTypes="0" containsString="0" containsNumber="1" containsInteger="1" minValue="0" maxValue="0" count="1">
        <n v="0"/>
      </sharedItems>
    </cacheField>
    <cacheField name="A25_DE_MAS_DE_360_DIAS" numFmtId="2">
      <sharedItems containsSemiMixedTypes="0" containsString="0" containsNumber="1" containsInteger="1" minValue="0" maxValue="0" count="1">
        <n v="0"/>
      </sharedItems>
    </cacheField>
    <cacheField name="A26_DE_1_A_30_DIAS" numFmtId="2">
      <sharedItems containsSemiMixedTypes="0" containsString="0" containsNumber="1" containsInteger="1" minValue="0" maxValue="0" count="1">
        <n v="0"/>
      </sharedItems>
    </cacheField>
    <cacheField name="A26_DE_31_A_90DIAS" numFmtId="2">
      <sharedItems containsSemiMixedTypes="0" containsString="0" containsNumber="1" containsInteger="1" minValue="0" maxValue="0" count="1">
        <n v="0"/>
      </sharedItems>
    </cacheField>
    <cacheField name="A26_DE_91_A_180_DIAS" numFmtId="2">
      <sharedItems containsSemiMixedTypes="0" containsString="0" containsNumber="1" containsInteger="1" minValue="0" maxValue="0" count="1">
        <n v="0"/>
      </sharedItems>
    </cacheField>
    <cacheField name="A26_DE_181_A_360_DIAS" numFmtId="2">
      <sharedItems containsSemiMixedTypes="0" containsString="0" containsNumber="1" containsInteger="1" minValue="0" maxValue="0" count="1">
        <n v="0"/>
      </sharedItems>
    </cacheField>
    <cacheField name="A26_DE_MAS_DE_360_DIAS" numFmtId="2">
      <sharedItems containsSemiMixedTypes="0" containsString="0" containsNumber="1" containsInteger="1" minValue="0" maxValue="0" count="1">
        <n v="0"/>
      </sharedItems>
    </cacheField>
    <cacheField name="A27_DE_1_A_30_DIAS" numFmtId="2">
      <sharedItems containsSemiMixedTypes="0" containsString="0" containsNumber="1" containsInteger="1" minValue="0" maxValue="0" count="1">
        <n v="0"/>
      </sharedItems>
    </cacheField>
    <cacheField name="A27_DE_31_A_90DIAS" numFmtId="2">
      <sharedItems containsSemiMixedTypes="0" containsString="0" containsNumber="1" containsInteger="1" minValue="0" maxValue="0" count="1">
        <n v="0"/>
      </sharedItems>
    </cacheField>
    <cacheField name="A27_DE_91_A_180_DIAS" numFmtId="2">
      <sharedItems containsSemiMixedTypes="0" containsString="0" containsNumber="1" containsInteger="1" minValue="0" maxValue="0" count="1">
        <n v="0"/>
      </sharedItems>
    </cacheField>
    <cacheField name="A27_DE_181_A_360_DIAS" numFmtId="2">
      <sharedItems containsSemiMixedTypes="0" containsString="0" containsNumber="1" containsInteger="1" minValue="0" maxValue="0" count="1">
        <n v="0"/>
      </sharedItems>
    </cacheField>
    <cacheField name="A27_DE_MAS_DE_360_DIAS" numFmtId="2">
      <sharedItems containsSemiMixedTypes="0" containsString="0" containsNumber="1" containsInteger="1" minValue="0" maxValue="0" count="1">
        <n v="0"/>
      </sharedItems>
    </cacheField>
    <cacheField name="CARTE_COMER_PRI_POR_VENC" numFmtId="2">
      <sharedItems containsSemiMixedTypes="0" containsString="0" containsNumber="1" minValue="0" maxValue="69059872.979999989" count="5">
        <n v="4532641.0599999996"/>
        <n v="396850.45"/>
        <n v="64130381.469999999"/>
        <n v="0"/>
        <n v="69059872.979999989"/>
      </sharedItems>
    </cacheField>
    <cacheField name="CARTE_COMER_PRI_NO_DEV" numFmtId="2">
      <sharedItems containsSemiMixedTypes="0" containsString="0" containsNumber="1" minValue="0" maxValue="887560.69000000006" count="5">
        <n v="158782.32"/>
        <n v="59193.680000000008"/>
        <n v="669584.68999999994"/>
        <n v="0"/>
        <n v="887560.69000000006"/>
      </sharedItems>
    </cacheField>
    <cacheField name="CARTE_COMER_PRI_VENC" numFmtId="2">
      <sharedItems containsSemiMixedTypes="0" containsString="0" containsNumber="1" minValue="0" maxValue="477470.64" count="5">
        <n v="758.41"/>
        <n v="10676.17"/>
        <n v="466036.06"/>
        <n v="0"/>
        <n v="477470.64"/>
      </sharedItems>
    </cacheField>
    <cacheField name="CARTE_CONSU_PRI_POR_VENC" numFmtId="2">
      <sharedItems containsSemiMixedTypes="0" containsString="0" containsNumber="1" minValue="5762049.2699999996" maxValue="114444036.52999999" count="5">
        <n v="16270250.59"/>
        <n v="18622082.469999999"/>
        <n v="73789654.200000003"/>
        <n v="5762049.2699999996"/>
        <n v="114444036.52999999"/>
      </sharedItems>
    </cacheField>
    <cacheField name="CARTE_CONSU_PRI_NO_DEV" numFmtId="2">
      <sharedItems containsSemiMixedTypes="0" containsString="0" containsNumber="1" minValue="311256.46999999997" maxValue="5408779.7699999996" count="5">
        <n v="397261.82"/>
        <n v="441806.85"/>
        <n v="4258454.6300000008"/>
        <n v="311256.46999999997"/>
        <n v="5408779.7699999996"/>
      </sharedItems>
    </cacheField>
    <cacheField name="CARTE_CONSU_PRI_VENC" numFmtId="2">
      <sharedItems containsSemiMixedTypes="0" containsString="0" containsNumber="1" minValue="36271.269999999997" maxValue="4424770.41" count="5">
        <n v="245327.37"/>
        <n v="246863.04"/>
        <n v="3896308.73"/>
        <n v="36271.269999999997"/>
        <n v="4424770.41"/>
      </sharedItems>
    </cacheField>
    <cacheField name="CARTE_INMOB_POR_VENC" numFmtId="2">
      <sharedItems containsSemiMixedTypes="0" containsString="0" containsNumber="1" minValue="5659820.96" maxValue="283974955.40999997" count="5">
        <n v="107732798.63"/>
        <n v="15065943.43"/>
        <n v="155516392.39000002"/>
        <n v="5659820.96"/>
        <n v="283974955.40999997"/>
      </sharedItems>
    </cacheField>
    <cacheField name="CARTE_INMOB_NO_DEV" numFmtId="2">
      <sharedItems containsSemiMixedTypes="0" containsString="0" containsNumber="1" minValue="368930.48" maxValue="9705175.2199999988" count="5">
        <n v="2619488.88"/>
        <n v="368930.48"/>
        <n v="6341648.0700000003"/>
        <n v="375107.79"/>
        <n v="9705175.2199999988"/>
      </sharedItems>
    </cacheField>
    <cacheField name="CARTE_INMOB_VENC" numFmtId="2">
      <sharedItems containsSemiMixedTypes="0" containsString="0" containsNumber="1" minValue="29090.449999999997" maxValue="974316.89999999991" count="5">
        <n v="91226.28"/>
        <n v="39101.339999999997"/>
        <n v="814898.83000000007"/>
        <n v="29090.449999999997"/>
        <n v="974316.89999999991"/>
      </sharedItems>
    </cacheField>
    <cacheField name="CARTE_MICRO_POR_VENC" numFmtId="2">
      <sharedItems containsSemiMixedTypes="0" containsString="0" containsNumber="1" minValue="387631.37" maxValue="54714510.290000007" count="5">
        <n v="387631.37"/>
        <n v="5994421.5299999993"/>
        <n v="41750506.890000001"/>
        <n v="6581950.5"/>
        <n v="54714510.290000007"/>
      </sharedItems>
    </cacheField>
    <cacheField name="CARTE_MICRO_NO_DEV" numFmtId="2">
      <sharedItems containsSemiMixedTypes="0" containsString="0" containsNumber="1" minValue="29776.289999999997" maxValue="1419926.74" count="5">
        <n v="29776.289999999997"/>
        <n v="166842.15000000002"/>
        <n v="546275.64"/>
        <n v="677032.66"/>
        <n v="1419926.74"/>
      </sharedItems>
    </cacheField>
    <cacheField name="CARTE_MICRO_VENC" numFmtId="2">
      <sharedItems containsSemiMixedTypes="0" containsString="0" containsNumber="1" minValue="17479.509999999998" maxValue="1788194.6100000003" count="5">
        <n v="17479.509999999998"/>
        <n v="60241.710000000006"/>
        <n v="1622516.71"/>
        <n v="87956.68"/>
        <n v="1788194.6100000003"/>
      </sharedItems>
    </cacheField>
    <cacheField name="CARTE_PRODU_POR_VENC" numFmtId="2">
      <sharedItems containsSemiMixedTypes="0" containsString="0" containsNumber="1" containsInteger="1" minValue="0" maxValue="0" count="1">
        <n v="0"/>
      </sharedItems>
    </cacheField>
    <cacheField name="CARTE_PRODU_NO_DEV" numFmtId="2">
      <sharedItems containsSemiMixedTypes="0" containsString="0" containsNumber="1" containsInteger="1" minValue="0" maxValue="0" count="1">
        <n v="0"/>
      </sharedItems>
    </cacheField>
    <cacheField name="CARTE_PRODU_VENC" numFmtId="2">
      <sharedItems containsSemiMixedTypes="0" containsString="0" containsNumber="1" containsInteger="1" minValue="0" maxValue="0" count="1">
        <n v="0"/>
      </sharedItems>
    </cacheField>
    <cacheField name="CARTE_COMER_ORD_POR_VENC" numFmtId="2">
      <sharedItems containsSemiMixedTypes="0" containsString="0" containsNumber="1" minValue="0" maxValue="1275977.6000000001" count="2">
        <n v="0"/>
        <n v="1275977.6000000001"/>
      </sharedItems>
    </cacheField>
    <cacheField name="CARTE_COMER_ORD_NO_DEV" numFmtId="2">
      <sharedItems containsSemiMixedTypes="0" containsString="0" containsNumber="1" containsInteger="1" minValue="0" maxValue="0" count="1">
        <n v="0"/>
      </sharedItems>
    </cacheField>
    <cacheField name="CARTE_COMER_ORD_VENC" numFmtId="2">
      <sharedItems containsSemiMixedTypes="0" containsString="0" containsNumber="1" containsInteger="1" minValue="0" maxValue="0" count="1">
        <n v="0"/>
      </sharedItems>
    </cacheField>
    <cacheField name="CARTE_CONSU_ORD_POR_VENC" numFmtId="2">
      <sharedItems containsSemiMixedTypes="0" containsString="0" containsNumber="1" minValue="0" maxValue="44122407.310000002" count="4">
        <n v="14474422.16"/>
        <n v="0"/>
        <n v="29647985.149999999"/>
        <n v="44122407.310000002"/>
      </sharedItems>
    </cacheField>
    <cacheField name="CARTE_CONSU_ORD_NO_DEV" numFmtId="2">
      <sharedItems containsSemiMixedTypes="0" containsString="0" containsNumber="1" minValue="0" maxValue="360801.35" count="4">
        <n v="99798.080000000002"/>
        <n v="0"/>
        <n v="261003.27000000002"/>
        <n v="360801.35"/>
      </sharedItems>
    </cacheField>
    <cacheField name="CARTE_CONSU_ORD_VENC" numFmtId="2">
      <sharedItems containsSemiMixedTypes="0" containsString="0" containsNumber="1" minValue="0" maxValue="27202.14" count="4">
        <n v="12998.589999999998"/>
        <n v="0"/>
        <n v="14203.55"/>
        <n v="27202.14"/>
      </sharedItems>
    </cacheField>
    <cacheField name="CARTE_INT_PU_POR_VENC" numFmtId="2">
      <sharedItems containsSemiMixedTypes="0" containsString="0" containsNumber="1" minValue="0" maxValue="10070865.57" count="2">
        <n v="0"/>
        <n v="10070865.57"/>
      </sharedItems>
    </cacheField>
    <cacheField name="CARTE_INT_PU_NO_DEV" numFmtId="2">
      <sharedItems containsSemiMixedTypes="0" containsString="0" containsNumber="1" minValue="0" maxValue="192655.97" count="2">
        <n v="0"/>
        <n v="192655.97"/>
      </sharedItems>
    </cacheField>
    <cacheField name="CARTE_INT_PU_VENC" numFmtId="2">
      <sharedItems containsSemiMixedTypes="0" containsString="0" containsNumber="1" minValue="0" maxValue="6785.21" count="2">
        <n v="0"/>
        <n v="6785.21"/>
      </sharedItems>
    </cacheField>
    <cacheField name="CARTE_EDUC_POR_VENC" numFmtId="2">
      <sharedItems containsSemiMixedTypes="0" containsString="0" containsNumber="1" containsInteger="1" minValue="0" maxValue="0" count="1">
        <n v="0"/>
      </sharedItems>
    </cacheField>
    <cacheField name="CARTE_EDUC_NO_DEV" numFmtId="2">
      <sharedItems containsSemiMixedTypes="0" containsString="0" containsNumber="1" containsInteger="1" minValue="0" maxValue="0" count="1">
        <n v="0"/>
      </sharedItems>
    </cacheField>
    <cacheField name="CARTE_EDUC_VENC" numFmtId="2">
      <sharedItems containsSemiMixedTypes="0" containsString="0" containsNumber="1" containsInteger="1" minValue="0" maxValue="0" count="1">
        <n v="0"/>
      </sharedItems>
    </cacheField>
    <cacheField name="Total_Carte_x_vencer" numFmtId="2">
      <sharedItems containsSemiMixedTypes="0" containsString="0" containsNumber="1" minValue="18003820.73" maxValue="577662625.68999994" count="5">
        <n v="143397743.81"/>
        <n v="40079297.880000003"/>
        <n v="376181763.2700001"/>
        <n v="18003820.73"/>
        <n v="577662625.68999994"/>
      </sharedItems>
    </cacheField>
    <cacheField name="Total_Carte_No_Devenga_int" numFmtId="2">
      <sharedItems containsSemiMixedTypes="0" containsString="0" containsNumber="1" minValue="1036773.16" maxValue="17974899.739999995" count="5">
        <n v="3305107.3899999997"/>
        <n v="1036773.16"/>
        <n v="12269622.270000001"/>
        <n v="1363396.92"/>
        <n v="17974899.739999995"/>
      </sharedItems>
    </cacheField>
    <cacheField name="Total_Carte_vencida" numFmtId="2">
      <sharedItems containsSemiMixedTypes="0" containsString="0" containsNumber="1" minValue="153318.39999999999" maxValue="7698739.9100000001" count="5">
        <n v="367790.16000000003"/>
        <n v="356882.26000000007"/>
        <n v="6820749.0899999999"/>
        <n v="153318.39999999999"/>
        <n v="7698739.9100000001"/>
      </sharedItems>
    </cacheField>
    <cacheField name="SUFICIENCIA_PATRIMONIAL" numFmtId="0">
      <sharedItems containsNonDate="0" containsString="0" containsBlank="1" count="1">
        <m/>
      </sharedItems>
    </cacheField>
    <cacheField name="ESTRUCTURA_Y_CALIDAD_DE_ACTIVOS" numFmtId="0">
      <sharedItems containsNonDate="0" containsString="0" containsBlank="1" count="1">
        <m/>
      </sharedItems>
    </cacheField>
    <cacheField name="INDICES_DE_MOROSIDAD" numFmtId="0">
      <sharedItems containsNonDate="0" containsString="0" containsBlank="1" count="1">
        <m/>
      </sharedItems>
    </cacheField>
    <cacheField name="COBERTURA_DE_PROVISIONES_PARA_CARTERA_IMPRODUCTIVA" numFmtId="0">
      <sharedItems containsNonDate="0" containsString="0" containsBlank="1" count="1">
        <m/>
      </sharedItems>
    </cacheField>
    <cacheField name="EFICIENCIA_MICROECONOMICA" numFmtId="0">
      <sharedItems containsNonDate="0" containsString="0" containsBlank="1" count="1">
        <m/>
      </sharedItems>
    </cacheField>
    <cacheField name="RENTABILIDAD" numFmtId="0">
      <sharedItems containsNonDate="0" containsString="0" containsBlank="1" count="1">
        <m/>
      </sharedItems>
    </cacheField>
    <cacheField name="INTERMEDIACION_FINANCIERA" numFmtId="0">
      <sharedItems containsNonDate="0" containsString="0" containsBlank="1" count="1">
        <m/>
      </sharedItems>
    </cacheField>
    <cacheField name="EFICIENCIA_FINANCIERA" numFmtId="0">
      <sharedItems containsNonDate="0" containsString="0" containsBlank="1" count="1">
        <m/>
      </sharedItems>
    </cacheField>
    <cacheField name="RENDIMIENTO_DE_LA_CARTERA" numFmtId="0">
      <sharedItems containsNonDate="0" containsString="0" containsBlank="1" count="1">
        <m/>
      </sharedItems>
    </cacheField>
    <cacheField name="LIQUIDEZ" numFmtId="0">
      <sharedItems containsNonDate="0" containsString="0" containsBlank="1" count="1">
        <m/>
      </sharedItems>
    </cacheField>
    <cacheField name="SOLVENCIA" numFmtId="0">
      <sharedItems containsNonDate="0" containsString="0" containsBlank="1" count="1">
        <m/>
      </sharedItems>
    </cacheField>
    <cacheField name="VULNERABILIDAD_DEL_PATRIMONIO" numFmtId="0">
      <sharedItems containsNonDate="0" containsString="0" containsBlank="1" count="1">
        <m/>
      </sharedItems>
    </cacheField>
    <cacheField name="TOTAL CARTRA NETA" numFmtId="0" formula="A14+A1499" databaseField="0"/>
  </cacheFields>
  <extLst>
    <ext xmlns:x14="http://schemas.microsoft.com/office/spreadsheetml/2009/9/main" uri="{725AE2AE-9491-48be-B2B4-4EB974FC3084}">
      <x14:pivotCacheDefinition pivotCacheId="119"/>
    </ext>
  </extLst>
</pivotCacheDefinition>
</file>

<file path=xl/pivotCache/pivotCacheRecords1.xml><?xml version="1.0" encoding="utf-8"?>
<pivotCacheRecords xmlns="http://schemas.openxmlformats.org/spreadsheetml/2006/main" xmlns:r="http://schemas.openxmlformats.org/officeDocument/2006/relationships" count="336">
  <r>
    <x v="0"/>
    <x v="0"/>
    <x v="0"/>
    <x v="0"/>
    <x v="0"/>
    <n v="235664.99"/>
    <n v="160670.96"/>
    <n v="328665.43"/>
    <n v="750765.86"/>
    <n v="3182049.53"/>
    <n v="4459.2700000000004"/>
    <n v="1438.03"/>
    <n v="1842.26"/>
    <n v="7566.89"/>
    <n v="137481.85999999999"/>
    <n v="0"/>
    <n v="953.99"/>
    <n v="2920.38"/>
    <n v="33935.08"/>
    <n v="101.91"/>
    <n v="11828684.76"/>
    <n v="19706967.420000002"/>
    <n v="29291367.16"/>
    <n v="348471310.14999998"/>
    <n v="1200785.77"/>
    <n v="1210835.79"/>
    <n v="1719788"/>
    <n v="15065058.33"/>
    <n v="333759.35999999999"/>
    <n v="1130586.02"/>
    <n v="806233.3"/>
    <n v="3114656.3"/>
    <n v="192085.88"/>
    <n v="336109.17"/>
    <n v="1535648.52"/>
    <n v="17213078.010000002"/>
    <n v="9213.74"/>
    <n v="6309.21"/>
    <n v="20502.13"/>
    <n v="60784.69"/>
    <n v="0"/>
    <n v="1536.58"/>
    <n v="0"/>
    <n v="2"/>
    <n v="6773461.5300000003"/>
    <n v="11418460.640000001"/>
    <n v="17535353.879999999"/>
    <n v="34693730.07"/>
    <n v="158871390.19"/>
    <n v="846965.34"/>
    <n v="795880.66"/>
    <n v="1149393.06"/>
    <n v="2030602.93"/>
    <n v="7006929.2599999998"/>
    <n v="186128.11"/>
    <n v="826175.09"/>
    <n v="565926.03"/>
    <n v="1205320.98"/>
    <n v="1471659.42"/>
    <n v="0"/>
    <n v="0"/>
    <n v="0"/>
    <n v="0"/>
    <n v="0"/>
    <x v="0"/>
    <x v="0"/>
    <x v="0"/>
    <x v="0"/>
    <x v="0"/>
    <x v="0"/>
    <x v="0"/>
    <x v="0"/>
    <x v="0"/>
    <x v="0"/>
    <n v="0"/>
    <n v="0"/>
    <n v="0"/>
    <n v="0"/>
    <n v="0"/>
    <x v="0"/>
    <x v="0"/>
    <x v="0"/>
    <x v="0"/>
    <x v="0"/>
    <x v="0"/>
    <x v="0"/>
    <x v="0"/>
    <x v="0"/>
    <x v="0"/>
    <n v="66639.399999999994"/>
    <n v="130037.73"/>
    <n v="222412.63"/>
    <n v="419042.48"/>
    <n v="2542720.79"/>
    <n v="0"/>
    <n v="0"/>
    <n v="0"/>
    <n v="0"/>
    <n v="0"/>
    <x v="0"/>
    <n v="0"/>
    <n v="0"/>
    <x v="0"/>
    <x v="0"/>
    <x v="0"/>
    <x v="0"/>
    <x v="0"/>
    <x v="0"/>
    <x v="0"/>
    <x v="0"/>
    <x v="0"/>
    <x v="0"/>
    <x v="0"/>
    <x v="0"/>
    <x v="0"/>
    <x v="0"/>
    <x v="0"/>
    <x v="0"/>
    <x v="0"/>
    <x v="0"/>
    <x v="0"/>
    <x v="0"/>
    <x v="0"/>
    <x v="0"/>
    <x v="0"/>
    <x v="0"/>
    <x v="0"/>
    <x v="0"/>
    <x v="0"/>
    <x v="0"/>
    <x v="0"/>
    <n v="40955731.770000003"/>
    <n v="674903609.46000004"/>
    <n v="-31958439.489999998"/>
    <n v="706862048.95000005"/>
  </r>
  <r>
    <x v="0"/>
    <x v="0"/>
    <x v="0"/>
    <x v="1"/>
    <x v="1"/>
    <n v="88265.37"/>
    <n v="248534.82"/>
    <n v="395100.7"/>
    <n v="698198.33"/>
    <n v="3005034.52"/>
    <n v="5458.57"/>
    <n v="2456.09"/>
    <n v="6765.98"/>
    <n v="10833.23"/>
    <n v="176119.25"/>
    <n v="0"/>
    <n v="1309.54"/>
    <n v="54.79"/>
    <n v="35704.04"/>
    <n v="738.86"/>
    <n v="11055351.460000001"/>
    <n v="19278309.370000001"/>
    <n v="28647039.940000001"/>
    <n v="338768798.30000001"/>
    <n v="1282987.27"/>
    <n v="1393620.34"/>
    <n v="1987790.73"/>
    <n v="16873611.09"/>
    <n v="375474.41"/>
    <n v="1142462.99"/>
    <n v="813653.81"/>
    <n v="3282565.05"/>
    <n v="201286.9"/>
    <n v="331546.57"/>
    <n v="1529200.19"/>
    <n v="16880562.030000001"/>
    <n v="3745.28"/>
    <n v="2545.2399999999998"/>
    <n v="11437.02"/>
    <n v="99674.52"/>
    <n v="0"/>
    <n v="1045.48"/>
    <n v="0"/>
    <n v="2"/>
    <n v="6651428.71"/>
    <n v="11395915.630000001"/>
    <n v="18113112.41"/>
    <n v="35046256.399999999"/>
    <n v="159134911.63"/>
    <n v="877645.12"/>
    <n v="910685.52"/>
    <n v="1325251.23"/>
    <n v="2388555.5299999998"/>
    <n v="8422884.2599999998"/>
    <n v="225784.21"/>
    <n v="843403.09"/>
    <n v="680271.8"/>
    <n v="1219920.1299999999"/>
    <n v="1475074.53"/>
    <n v="0"/>
    <n v="0"/>
    <n v="0"/>
    <n v="0"/>
    <n v="0"/>
    <x v="0"/>
    <x v="0"/>
    <x v="0"/>
    <x v="0"/>
    <x v="0"/>
    <x v="0"/>
    <x v="0"/>
    <x v="0"/>
    <x v="0"/>
    <x v="0"/>
    <n v="0"/>
    <n v="0"/>
    <n v="0"/>
    <n v="0"/>
    <n v="0"/>
    <x v="0"/>
    <x v="0"/>
    <x v="0"/>
    <x v="0"/>
    <x v="0"/>
    <x v="0"/>
    <x v="0"/>
    <x v="0"/>
    <x v="0"/>
    <x v="0"/>
    <n v="82346.100000000006"/>
    <n v="184688.8"/>
    <n v="255870.17"/>
    <n v="526763.98"/>
    <n v="3094239"/>
    <n v="157.53"/>
    <n v="161.55000000000001"/>
    <n v="250.08"/>
    <n v="529.4"/>
    <n v="3747.83"/>
    <x v="0"/>
    <n v="77.290000000000006"/>
    <n v="0"/>
    <x v="0"/>
    <x v="0"/>
    <x v="0"/>
    <x v="0"/>
    <x v="0"/>
    <x v="0"/>
    <x v="0"/>
    <x v="0"/>
    <x v="0"/>
    <x v="0"/>
    <x v="0"/>
    <x v="0"/>
    <x v="0"/>
    <x v="0"/>
    <x v="0"/>
    <x v="0"/>
    <x v="0"/>
    <x v="0"/>
    <x v="0"/>
    <x v="0"/>
    <x v="0"/>
    <x v="0"/>
    <x v="0"/>
    <x v="0"/>
    <x v="0"/>
    <x v="0"/>
    <x v="0"/>
    <x v="0"/>
    <x v="0"/>
    <n v="45884454.68"/>
    <n v="668707102.44000006"/>
    <n v="-32790113.57"/>
    <n v="701497216.00999999"/>
  </r>
  <r>
    <x v="0"/>
    <x v="0"/>
    <x v="0"/>
    <x v="2"/>
    <x v="2"/>
    <n v="90414.84"/>
    <n v="351651.19"/>
    <n v="400231.81"/>
    <n v="705501.11"/>
    <n v="2931684.38"/>
    <n v="2734.52"/>
    <n v="2782.82"/>
    <n v="40746.17"/>
    <n v="8901.8799999999992"/>
    <n v="123072.81"/>
    <n v="0"/>
    <n v="4749.3999999999996"/>
    <n v="121.6"/>
    <n v="35029.870000000003"/>
    <n v="1413.03"/>
    <n v="10743342.810000001"/>
    <n v="19021614.199999999"/>
    <n v="28142734.100000001"/>
    <n v="330426863.22000003"/>
    <n v="1330680.99"/>
    <n v="1448542.13"/>
    <n v="2085089.88"/>
    <n v="17818090.239999998"/>
    <n v="341211.75"/>
    <n v="1109327.74"/>
    <n v="887700.56"/>
    <n v="3373039.41"/>
    <n v="199339.85"/>
    <n v="326646.99"/>
    <n v="1542751.84"/>
    <n v="16693833.16"/>
    <n v="6869.33"/>
    <n v="4673.63"/>
    <n v="15779.24"/>
    <n v="98943.07"/>
    <n v="0"/>
    <n v="1735.42"/>
    <n v="104.42"/>
    <n v="2"/>
    <n v="6618496.4699999997"/>
    <n v="11788802.41"/>
    <n v="18553830.579999998"/>
    <n v="36838202.93"/>
    <n v="160863024.47999999"/>
    <n v="928612.96"/>
    <n v="1007665.89"/>
    <n v="1491320.49"/>
    <n v="2687930.83"/>
    <n v="8770861.4199999999"/>
    <n v="208047.27"/>
    <n v="961915.76"/>
    <n v="698484.56"/>
    <n v="1238872.21"/>
    <n v="1562085.02"/>
    <n v="0"/>
    <n v="0"/>
    <n v="0"/>
    <n v="0"/>
    <n v="0"/>
    <x v="0"/>
    <x v="0"/>
    <x v="0"/>
    <x v="0"/>
    <x v="0"/>
    <x v="0"/>
    <x v="0"/>
    <x v="0"/>
    <x v="0"/>
    <x v="0"/>
    <n v="0"/>
    <n v="0"/>
    <n v="0"/>
    <n v="0"/>
    <n v="0"/>
    <x v="0"/>
    <x v="0"/>
    <x v="0"/>
    <x v="0"/>
    <x v="0"/>
    <x v="0"/>
    <x v="0"/>
    <x v="0"/>
    <x v="0"/>
    <x v="0"/>
    <n v="103169.06"/>
    <n v="235565.95"/>
    <n v="330408.68"/>
    <n v="692326.36"/>
    <n v="3885932.89"/>
    <n v="228"/>
    <n v="464.69"/>
    <n v="719.36"/>
    <n v="1248.3699999999999"/>
    <n v="1814.43"/>
    <x v="1"/>
    <n v="0"/>
    <n v="0"/>
    <x v="0"/>
    <x v="0"/>
    <x v="0"/>
    <x v="0"/>
    <x v="0"/>
    <x v="0"/>
    <x v="0"/>
    <x v="0"/>
    <x v="0"/>
    <x v="0"/>
    <x v="0"/>
    <x v="0"/>
    <x v="0"/>
    <x v="0"/>
    <x v="0"/>
    <x v="0"/>
    <x v="0"/>
    <x v="0"/>
    <x v="0"/>
    <x v="0"/>
    <x v="0"/>
    <x v="0"/>
    <x v="0"/>
    <x v="0"/>
    <x v="0"/>
    <x v="0"/>
    <x v="0"/>
    <x v="0"/>
    <x v="0"/>
    <n v="48301838.310000002"/>
    <n v="666283550.37"/>
    <n v="-33504657.25"/>
    <n v="699788207.62"/>
  </r>
  <r>
    <x v="0"/>
    <x v="0"/>
    <x v="0"/>
    <x v="3"/>
    <x v="3"/>
    <n v="94870.22"/>
    <n v="162529.09"/>
    <n v="545402.44999999995"/>
    <n v="552836.48"/>
    <n v="2851791.71"/>
    <n v="2756.82"/>
    <n v="2808.79"/>
    <n v="40783.68"/>
    <n v="8983.66"/>
    <n v="121541.2"/>
    <n v="0"/>
    <n v="4768.55"/>
    <n v="122.73"/>
    <n v="34380.28"/>
    <n v="2062.62"/>
    <n v="10627244.41"/>
    <n v="18884645.629999999"/>
    <n v="27651032.510000002"/>
    <n v="322973002.13"/>
    <n v="1288399.71"/>
    <n v="1469568.37"/>
    <n v="2074836.68"/>
    <n v="17822791.670000002"/>
    <n v="370473.36"/>
    <n v="1048369.58"/>
    <n v="947164.04"/>
    <n v="3434457.71"/>
    <n v="186054.68"/>
    <n v="324924.46999999997"/>
    <n v="1548667.29"/>
    <n v="16483771.15"/>
    <n v="3835.04"/>
    <n v="2590.58"/>
    <n v="12248.58"/>
    <n v="96272.38"/>
    <n v="0"/>
    <n v="1233.23"/>
    <n v="610.1"/>
    <n v="2"/>
    <n v="6828933.9900000002"/>
    <n v="12297486.73"/>
    <n v="18832538.309999999"/>
    <n v="37702172.020000003"/>
    <n v="162978501.33000001"/>
    <n v="967116.09"/>
    <n v="1074928.67"/>
    <n v="1643628.49"/>
    <n v="2922772.78"/>
    <n v="9633462.2400000002"/>
    <n v="227880.34"/>
    <n v="967301.39"/>
    <n v="800023.95"/>
    <n v="1188882.8"/>
    <n v="1611805.04"/>
    <n v="0"/>
    <n v="0"/>
    <n v="0"/>
    <n v="0"/>
    <n v="0"/>
    <x v="0"/>
    <x v="0"/>
    <x v="0"/>
    <x v="0"/>
    <x v="0"/>
    <x v="0"/>
    <x v="0"/>
    <x v="0"/>
    <x v="0"/>
    <x v="0"/>
    <n v="0"/>
    <n v="0"/>
    <n v="0"/>
    <n v="0"/>
    <n v="0"/>
    <x v="0"/>
    <x v="0"/>
    <x v="0"/>
    <x v="0"/>
    <x v="0"/>
    <x v="0"/>
    <x v="0"/>
    <x v="0"/>
    <x v="0"/>
    <x v="0"/>
    <n v="148335.85"/>
    <n v="265128.32000000001"/>
    <n v="405801.41"/>
    <n v="849676.71"/>
    <n v="4749075.6900000004"/>
    <n v="334.59"/>
    <n v="494.21"/>
    <n v="765.02"/>
    <n v="1619.53"/>
    <n v="8169.39"/>
    <x v="2"/>
    <n v="90.96"/>
    <n v="0"/>
    <x v="0"/>
    <x v="0"/>
    <x v="0"/>
    <x v="0"/>
    <x v="0"/>
    <x v="0"/>
    <x v="0"/>
    <x v="0"/>
    <x v="0"/>
    <x v="0"/>
    <x v="0"/>
    <x v="0"/>
    <x v="0"/>
    <x v="0"/>
    <x v="0"/>
    <x v="0"/>
    <x v="0"/>
    <x v="0"/>
    <x v="0"/>
    <x v="0"/>
    <x v="0"/>
    <x v="0"/>
    <x v="0"/>
    <x v="0"/>
    <x v="0"/>
    <x v="0"/>
    <x v="0"/>
    <x v="0"/>
    <x v="0"/>
    <n v="49840484.18"/>
    <n v="663936995.25"/>
    <n v="-33847911.509999998"/>
    <n v="697784906.75999999"/>
  </r>
  <r>
    <x v="0"/>
    <x v="0"/>
    <x v="0"/>
    <x v="4"/>
    <x v="4"/>
    <n v="89648.69"/>
    <n v="426305.28000000003"/>
    <n v="397024.3"/>
    <n v="548956.44999999995"/>
    <n v="2666725.66"/>
    <n v="3483.72"/>
    <n v="39906.720000000001"/>
    <n v="5181.51"/>
    <n v="11327.41"/>
    <n v="202580.72"/>
    <n v="0"/>
    <n v="2081.23"/>
    <n v="3171.58"/>
    <n v="2405.91"/>
    <n v="440.26"/>
    <n v="10575078.98"/>
    <n v="18543538.550000001"/>
    <n v="27198544.77"/>
    <n v="315821274.39999998"/>
    <n v="1449251.1"/>
    <n v="1575508.21"/>
    <n v="2270362.48"/>
    <n v="20027901.18"/>
    <n v="405565.04"/>
    <n v="1131623.67"/>
    <n v="869734.6"/>
    <n v="3565240.81"/>
    <n v="180899.74"/>
    <n v="328861.02"/>
    <n v="1555561.05"/>
    <n v="16363804.800000001"/>
    <n v="5144.7"/>
    <n v="3514.38"/>
    <n v="16631.310000000001"/>
    <n v="91878.55"/>
    <n v="0"/>
    <n v="1231.21"/>
    <n v="483.74"/>
    <n v="2"/>
    <n v="7075912.2699999996"/>
    <n v="12656042.09"/>
    <n v="19068810.300000001"/>
    <n v="38708868.18"/>
    <n v="165816155.63999999"/>
    <n v="1145351.73"/>
    <n v="1153898.99"/>
    <n v="1767343.74"/>
    <n v="3148657.94"/>
    <n v="10534980.109999999"/>
    <n v="263308.55"/>
    <n v="933608.17"/>
    <n v="802183.6"/>
    <n v="1215845.54"/>
    <n v="1723634.01"/>
    <n v="0"/>
    <n v="0"/>
    <n v="0"/>
    <n v="0"/>
    <n v="0"/>
    <x v="0"/>
    <x v="0"/>
    <x v="0"/>
    <x v="0"/>
    <x v="0"/>
    <x v="0"/>
    <x v="0"/>
    <x v="0"/>
    <x v="0"/>
    <x v="0"/>
    <n v="0"/>
    <n v="0"/>
    <n v="0"/>
    <n v="0"/>
    <n v="0"/>
    <x v="0"/>
    <x v="0"/>
    <x v="0"/>
    <x v="0"/>
    <x v="0"/>
    <x v="0"/>
    <x v="0"/>
    <x v="0"/>
    <x v="0"/>
    <x v="0"/>
    <n v="158952.92000000001"/>
    <n v="328413.52"/>
    <n v="509179.16"/>
    <n v="1056108.44"/>
    <n v="5868830.7400000002"/>
    <n v="8248.8700000000008"/>
    <n v="688.09"/>
    <n v="1065.17"/>
    <n v="2254.9"/>
    <n v="6497.45"/>
    <x v="3"/>
    <n v="364.97"/>
    <n v="0"/>
    <x v="0"/>
    <x v="0"/>
    <x v="0"/>
    <x v="0"/>
    <x v="0"/>
    <x v="0"/>
    <x v="0"/>
    <x v="0"/>
    <x v="0"/>
    <x v="0"/>
    <x v="0"/>
    <x v="0"/>
    <x v="0"/>
    <x v="0"/>
    <x v="0"/>
    <x v="0"/>
    <x v="0"/>
    <x v="0"/>
    <x v="0"/>
    <x v="0"/>
    <x v="0"/>
    <x v="0"/>
    <x v="0"/>
    <x v="0"/>
    <x v="0"/>
    <x v="0"/>
    <x v="0"/>
    <x v="0"/>
    <x v="0"/>
    <n v="54392733.060000002"/>
    <n v="664795103.74000001"/>
    <n v="-35541126.270000003"/>
    <n v="700336230.00999999"/>
  </r>
  <r>
    <x v="0"/>
    <x v="0"/>
    <x v="0"/>
    <x v="5"/>
    <x v="5"/>
    <n v="203476.57"/>
    <n v="323471.09999999998"/>
    <n v="405533.12"/>
    <n v="571870.55000000005"/>
    <n v="2751155.21"/>
    <n v="2437.71"/>
    <n v="38837.660000000003"/>
    <n v="3542.99"/>
    <n v="7915.02"/>
    <n v="149612.18"/>
    <n v="0"/>
    <n v="1872.56"/>
    <n v="3047.7"/>
    <n v="2405.91"/>
    <n v="0"/>
    <n v="10494974.310000001"/>
    <n v="18215319.109999999"/>
    <n v="27326938.98"/>
    <n v="313704105.26999998"/>
    <n v="1534477.16"/>
    <n v="1540796.94"/>
    <n v="2250826.9900000002"/>
    <n v="19292058.059999999"/>
    <n v="470629.35"/>
    <n v="1172376.53"/>
    <n v="726269.39"/>
    <n v="3702775.4"/>
    <n v="188172.05"/>
    <n v="340187.25"/>
    <n v="1536279.15"/>
    <n v="16242790.02"/>
    <n v="4247.5"/>
    <n v="2875.57"/>
    <n v="13672.31"/>
    <n v="68301.89"/>
    <n v="0"/>
    <n v="1380.76"/>
    <n v="498.28"/>
    <n v="2"/>
    <n v="7329211.7699999996"/>
    <n v="12767805.960000001"/>
    <n v="19903599.969999999"/>
    <n v="39811552.18"/>
    <n v="170665009.65000001"/>
    <n v="1211597.1599999999"/>
    <n v="1185583.27"/>
    <n v="1796909.24"/>
    <n v="3134157.59"/>
    <n v="10040700.67"/>
    <n v="327605.06"/>
    <n v="981375.48"/>
    <n v="808832.84"/>
    <n v="1062285.3500000001"/>
    <n v="1955057.56"/>
    <n v="0"/>
    <n v="0"/>
    <n v="0"/>
    <n v="0"/>
    <n v="0"/>
    <x v="0"/>
    <x v="0"/>
    <x v="0"/>
    <x v="0"/>
    <x v="0"/>
    <x v="0"/>
    <x v="0"/>
    <x v="0"/>
    <x v="0"/>
    <x v="0"/>
    <n v="0"/>
    <n v="0"/>
    <n v="0"/>
    <n v="0"/>
    <n v="0"/>
    <x v="0"/>
    <x v="0"/>
    <x v="0"/>
    <x v="0"/>
    <x v="0"/>
    <x v="0"/>
    <x v="0"/>
    <x v="0"/>
    <x v="0"/>
    <x v="0"/>
    <n v="196111.64"/>
    <n v="404488.79"/>
    <n v="635885.42000000004"/>
    <n v="1308160.22"/>
    <n v="7279761.75"/>
    <n v="8721.77"/>
    <n v="1477.64"/>
    <n v="2287.44"/>
    <n v="4282.79"/>
    <n v="14345.84"/>
    <x v="4"/>
    <n v="651.44000000000005"/>
    <n v="90.96"/>
    <x v="0"/>
    <x v="0"/>
    <x v="0"/>
    <x v="0"/>
    <x v="0"/>
    <x v="0"/>
    <x v="0"/>
    <x v="0"/>
    <x v="0"/>
    <x v="0"/>
    <x v="0"/>
    <x v="0"/>
    <x v="0"/>
    <x v="0"/>
    <x v="0"/>
    <x v="0"/>
    <x v="0"/>
    <x v="0"/>
    <x v="0"/>
    <x v="0"/>
    <x v="0"/>
    <x v="0"/>
    <x v="0"/>
    <x v="0"/>
    <x v="0"/>
    <x v="0"/>
    <x v="0"/>
    <x v="0"/>
    <x v="0"/>
    <n v="53527174.920000002"/>
    <n v="670266266.59000003"/>
    <n v="-35866768.369999997"/>
    <n v="706133034.96000004"/>
  </r>
  <r>
    <x v="0"/>
    <x v="0"/>
    <x v="0"/>
    <x v="6"/>
    <x v="6"/>
    <n v="142522.53"/>
    <n v="406026.02"/>
    <n v="265304.92"/>
    <n v="644106.27"/>
    <n v="2993731.49"/>
    <n v="38098.699999999997"/>
    <n v="1148.06"/>
    <n v="1500.92"/>
    <n v="3661.03"/>
    <n v="79187.289999999994"/>
    <n v="0"/>
    <n v="553.39"/>
    <n v="3288.38"/>
    <n v="2405.91"/>
    <n v="0"/>
    <n v="11000149.51"/>
    <n v="18880593.530000001"/>
    <n v="28225874.309999999"/>
    <n v="323756795.07999998"/>
    <n v="1437332.01"/>
    <n v="1050480.07"/>
    <n v="1477079.31"/>
    <n v="11646391.359999999"/>
    <n v="1"/>
    <n v="1125336.8600000001"/>
    <n v="780321.03"/>
    <n v="3750894.54"/>
    <n v="183430.58"/>
    <n v="342928.51"/>
    <n v="1534207.62"/>
    <n v="16142831.470000001"/>
    <n v="5420.11"/>
    <n v="3701.55"/>
    <n v="17089.36"/>
    <n v="91790.45"/>
    <n v="0"/>
    <n v="1619.82"/>
    <n v="492.62"/>
    <n v="2"/>
    <n v="7944034.5599999996"/>
    <n v="13296689.060000001"/>
    <n v="20859311.370000001"/>
    <n v="41482603.299999997"/>
    <n v="175611622.03999999"/>
    <n v="1166986.67"/>
    <n v="929832.31"/>
    <n v="1318972.49"/>
    <n v="2267502.83"/>
    <n v="6635904.96"/>
    <n v="10325.44"/>
    <n v="1063180.31"/>
    <n v="766932.89"/>
    <n v="1109486.1399999999"/>
    <n v="2109180.2000000002"/>
    <n v="0"/>
    <n v="0"/>
    <n v="0"/>
    <n v="0"/>
    <n v="0"/>
    <x v="0"/>
    <x v="0"/>
    <x v="0"/>
    <x v="0"/>
    <x v="0"/>
    <x v="0"/>
    <x v="0"/>
    <x v="0"/>
    <x v="0"/>
    <x v="0"/>
    <n v="0"/>
    <n v="0"/>
    <n v="0"/>
    <n v="0"/>
    <n v="0"/>
    <x v="0"/>
    <x v="0"/>
    <x v="0"/>
    <x v="0"/>
    <x v="0"/>
    <x v="0"/>
    <x v="0"/>
    <x v="0"/>
    <x v="0"/>
    <x v="0"/>
    <n v="242178.5"/>
    <n v="506946.45"/>
    <n v="788179.05"/>
    <n v="1631631.71"/>
    <n v="9322937.5"/>
    <n v="1154.33"/>
    <n v="1183.74"/>
    <n v="1832.47"/>
    <n v="3879.22"/>
    <n v="14125.67"/>
    <x v="0"/>
    <n v="8360.64"/>
    <n v="284.7"/>
    <x v="0"/>
    <x v="0"/>
    <x v="0"/>
    <x v="0"/>
    <x v="0"/>
    <x v="0"/>
    <x v="0"/>
    <x v="0"/>
    <x v="0"/>
    <x v="0"/>
    <x v="0"/>
    <x v="0"/>
    <x v="0"/>
    <x v="0"/>
    <x v="0"/>
    <x v="0"/>
    <x v="0"/>
    <x v="0"/>
    <x v="0"/>
    <x v="0"/>
    <x v="0"/>
    <x v="0"/>
    <x v="0"/>
    <x v="0"/>
    <x v="0"/>
    <x v="0"/>
    <x v="0"/>
    <x v="0"/>
    <x v="0"/>
    <n v="38926920.780000001"/>
    <n v="679287921.04999995"/>
    <n v="-35843635.109999999"/>
    <n v="715131556.15999997"/>
  </r>
  <r>
    <x v="0"/>
    <x v="0"/>
    <x v="0"/>
    <x v="7"/>
    <x v="7"/>
    <n v="95564.53"/>
    <n v="467574.9"/>
    <n v="375462.97"/>
    <n v="639501.05000000005"/>
    <n v="2744015.89"/>
    <n v="39318.32"/>
    <n v="2391.06"/>
    <n v="3406.54"/>
    <n v="7647.26"/>
    <n v="125236.47"/>
    <n v="0"/>
    <n v="1089.98"/>
    <n v="242.93"/>
    <n v="3047.7"/>
    <n v="2405.91"/>
    <n v="10883382.630000001"/>
    <n v="19010564.969999999"/>
    <n v="28589298.370000001"/>
    <n v="327094369.98000002"/>
    <n v="1721377.91"/>
    <n v="1142843.76"/>
    <n v="1621998.1"/>
    <n v="12790205.029999999"/>
    <n v="52958.19"/>
    <n v="1274419.9099999999"/>
    <n v="843419.93"/>
    <n v="3827910.39"/>
    <n v="200990.91"/>
    <n v="331111.51"/>
    <n v="1542920.86"/>
    <n v="16200761.73"/>
    <n v="2299.61"/>
    <n v="1568.61"/>
    <n v="7415.98"/>
    <n v="40121.33"/>
    <n v="0"/>
    <n v="751.49"/>
    <n v="994.49"/>
    <n v="2"/>
    <n v="7822180.4699999997"/>
    <n v="13341581.15"/>
    <n v="21183131.870000001"/>
    <n v="41527330.960000001"/>
    <n v="173488066.52000001"/>
    <n v="1391598.01"/>
    <n v="1035714.98"/>
    <n v="1441133.36"/>
    <n v="2504317.59"/>
    <n v="7779030.7300000004"/>
    <n v="74066.34"/>
    <n v="1166331.29"/>
    <n v="806654.37"/>
    <n v="1202121.1399999999"/>
    <n v="2154411.0099999998"/>
    <n v="0"/>
    <n v="0"/>
    <n v="0"/>
    <n v="0"/>
    <n v="0"/>
    <x v="0"/>
    <x v="0"/>
    <x v="0"/>
    <x v="0"/>
    <x v="0"/>
    <x v="0"/>
    <x v="0"/>
    <x v="0"/>
    <x v="0"/>
    <x v="0"/>
    <n v="0"/>
    <n v="0"/>
    <n v="0"/>
    <n v="0"/>
    <n v="0"/>
    <x v="0"/>
    <x v="0"/>
    <x v="0"/>
    <x v="0"/>
    <x v="0"/>
    <x v="0"/>
    <x v="0"/>
    <x v="0"/>
    <x v="0"/>
    <x v="0"/>
    <n v="311075.09000000003"/>
    <n v="642476.37"/>
    <n v="995193.8"/>
    <n v="2063927.97"/>
    <n v="12248937.58"/>
    <n v="1145.1500000000001"/>
    <n v="1174.3399999999999"/>
    <n v="1817.9"/>
    <n v="3848.36"/>
    <n v="11473.13"/>
    <x v="0"/>
    <n v="8433.18"/>
    <n v="480.88"/>
    <x v="0"/>
    <x v="0"/>
    <x v="0"/>
    <x v="0"/>
    <x v="0"/>
    <x v="0"/>
    <x v="0"/>
    <x v="0"/>
    <x v="0"/>
    <x v="0"/>
    <x v="0"/>
    <x v="0"/>
    <x v="0"/>
    <x v="0"/>
    <x v="0"/>
    <x v="0"/>
    <x v="0"/>
    <x v="0"/>
    <x v="0"/>
    <x v="0"/>
    <x v="0"/>
    <x v="0"/>
    <x v="0"/>
    <x v="0"/>
    <x v="0"/>
    <x v="0"/>
    <x v="0"/>
    <x v="0"/>
    <x v="0"/>
    <n v="43096824.659999996"/>
    <n v="687165855.94000006"/>
    <n v="-37730390.799999997"/>
    <n v="724896246.74000001"/>
  </r>
  <r>
    <x v="0"/>
    <x v="0"/>
    <x v="0"/>
    <x v="8"/>
    <x v="8"/>
    <n v="272808.05"/>
    <n v="188434.42"/>
    <n v="372839.04"/>
    <n v="599333.73"/>
    <n v="2638423.88"/>
    <n v="2271.5100000000002"/>
    <n v="2059.94"/>
    <n v="3165.21"/>
    <n v="6316.93"/>
    <n v="99242.67"/>
    <n v="0"/>
    <n v="1266.8900000000001"/>
    <n v="630.66999999999996"/>
    <n v="0"/>
    <n v="0"/>
    <n v="11400337.630000001"/>
    <n v="19533831.050000001"/>
    <n v="29440788.440000001"/>
    <n v="335591036.43000001"/>
    <n v="1630433.47"/>
    <n v="993071.06"/>
    <n v="1397907.44"/>
    <n v="10215921.119999999"/>
    <n v="59898.22"/>
    <n v="1188402.74"/>
    <n v="989477.48"/>
    <n v="3763092.77"/>
    <n v="187966.42"/>
    <n v="331354.46999999997"/>
    <n v="1547344.48"/>
    <n v="16424141.560000001"/>
    <n v="2319.73"/>
    <n v="1582.34"/>
    <n v="7478.56"/>
    <n v="39262.19"/>
    <n v="0"/>
    <n v="762.71"/>
    <n v="1003.48"/>
    <n v="2"/>
    <n v="8045260.3499999996"/>
    <n v="13633497.77"/>
    <n v="21576528.870000001"/>
    <n v="41307188.780000001"/>
    <n v="173104435.06"/>
    <n v="1413275.14"/>
    <n v="926731.26"/>
    <n v="1344904.94"/>
    <n v="2262474.34"/>
    <n v="6514986.21"/>
    <n v="90466.89"/>
    <n v="1015885.05"/>
    <n v="1034728.01"/>
    <n v="1210673.98"/>
    <n v="1969199.97"/>
    <n v="0"/>
    <n v="0"/>
    <n v="0"/>
    <n v="0"/>
    <n v="0"/>
    <x v="0"/>
    <x v="0"/>
    <x v="0"/>
    <x v="0"/>
    <x v="0"/>
    <x v="0"/>
    <x v="0"/>
    <x v="0"/>
    <x v="0"/>
    <x v="0"/>
    <n v="0"/>
    <n v="0"/>
    <n v="0"/>
    <n v="0"/>
    <n v="0"/>
    <x v="0"/>
    <x v="0"/>
    <x v="0"/>
    <x v="0"/>
    <x v="0"/>
    <x v="0"/>
    <x v="0"/>
    <x v="0"/>
    <x v="0"/>
    <x v="0"/>
    <n v="372148.31"/>
    <n v="778848.09"/>
    <n v="1198754.3700000001"/>
    <n v="2467270.52"/>
    <n v="14973024.17"/>
    <n v="1429.77"/>
    <n v="1466.24"/>
    <n v="2269.75"/>
    <n v="4804.8999999999996"/>
    <n v="13702.31"/>
    <x v="0"/>
    <n v="1007.53"/>
    <n v="8141.8"/>
    <x v="1"/>
    <x v="0"/>
    <x v="0"/>
    <x v="0"/>
    <x v="0"/>
    <x v="0"/>
    <x v="0"/>
    <x v="0"/>
    <x v="0"/>
    <x v="0"/>
    <x v="0"/>
    <x v="0"/>
    <x v="0"/>
    <x v="0"/>
    <x v="0"/>
    <x v="0"/>
    <x v="0"/>
    <x v="0"/>
    <x v="0"/>
    <x v="0"/>
    <x v="0"/>
    <x v="0"/>
    <x v="0"/>
    <x v="0"/>
    <x v="0"/>
    <x v="0"/>
    <x v="0"/>
    <x v="0"/>
    <x v="0"/>
    <n v="38221808.18"/>
    <n v="695986941.13"/>
    <n v="-38220462.939999998"/>
    <n v="734207404.07000005"/>
  </r>
  <r>
    <x v="0"/>
    <x v="0"/>
    <x v="0"/>
    <x v="9"/>
    <x v="9"/>
    <n v="87646.52"/>
    <n v="252220.45"/>
    <n v="388350.18"/>
    <n v="599860.34"/>
    <n v="2729353.68"/>
    <n v="1328.84"/>
    <n v="1096.9100000000001"/>
    <n v="1684.05"/>
    <n v="3227.77"/>
    <n v="97566.399999999994"/>
    <n v="0"/>
    <n v="804.78"/>
    <n v="1009.25"/>
    <n v="0"/>
    <n v="0"/>
    <n v="11497207.050000001"/>
    <n v="19781975.350000001"/>
    <n v="29804069.440000001"/>
    <n v="341413741.67000002"/>
    <n v="1871350.13"/>
    <n v="983267.51"/>
    <n v="1413107.15"/>
    <n v="10294916.289999999"/>
    <n v="31021.86"/>
    <n v="1345971.09"/>
    <n v="1073594.75"/>
    <n v="3759417.5"/>
    <n v="194949.54"/>
    <n v="330023.06"/>
    <n v="1566554.46"/>
    <n v="16512306.970000001"/>
    <n v="1564.25"/>
    <n v="1067.6099999999999"/>
    <n v="5050.24"/>
    <n v="6740.18"/>
    <n v="0"/>
    <n v="510.76"/>
    <n v="1012.26"/>
    <n v="2"/>
    <n v="7989414.3499999996"/>
    <n v="13833882.869999999"/>
    <n v="21319555.129999999"/>
    <n v="41201234.140000001"/>
    <n v="170490774.34999999"/>
    <n v="1403188.32"/>
    <n v="947358.94"/>
    <n v="1389057.12"/>
    <n v="2344090.0099999998"/>
    <n v="6776547.6299999999"/>
    <n v="14321.29"/>
    <n v="1246193.73"/>
    <n v="1125458.29"/>
    <n v="1249741.72"/>
    <n v="1968892.38"/>
    <n v="0"/>
    <n v="0"/>
    <n v="0"/>
    <n v="0"/>
    <n v="0"/>
    <x v="0"/>
    <x v="0"/>
    <x v="0"/>
    <x v="0"/>
    <x v="0"/>
    <x v="0"/>
    <x v="0"/>
    <x v="0"/>
    <x v="0"/>
    <x v="0"/>
    <n v="0"/>
    <n v="0"/>
    <n v="0"/>
    <n v="0"/>
    <n v="0"/>
    <x v="0"/>
    <x v="0"/>
    <x v="0"/>
    <x v="0"/>
    <x v="0"/>
    <x v="0"/>
    <x v="0"/>
    <x v="0"/>
    <x v="0"/>
    <x v="0"/>
    <n v="446152.46"/>
    <n v="912607.41"/>
    <n v="1414922.09"/>
    <n v="2941178.23"/>
    <n v="17886572.199999999"/>
    <n v="3687.3"/>
    <n v="3320.74"/>
    <n v="5324.98"/>
    <n v="11020.81"/>
    <n v="28226.58"/>
    <x v="0"/>
    <n v="2136.13"/>
    <n v="8372.39"/>
    <x v="2"/>
    <x v="0"/>
    <x v="0"/>
    <x v="0"/>
    <x v="0"/>
    <x v="0"/>
    <x v="0"/>
    <x v="0"/>
    <x v="0"/>
    <x v="0"/>
    <x v="0"/>
    <x v="0"/>
    <x v="0"/>
    <x v="0"/>
    <x v="0"/>
    <x v="0"/>
    <x v="0"/>
    <x v="0"/>
    <x v="0"/>
    <x v="0"/>
    <x v="0"/>
    <x v="0"/>
    <x v="0"/>
    <x v="0"/>
    <x v="0"/>
    <x v="0"/>
    <x v="0"/>
    <x v="0"/>
    <x v="0"/>
    <n v="39422534.640000001"/>
    <n v="703685012.20000005"/>
    <n v="-39332074.380000003"/>
    <n v="743017086.58000004"/>
  </r>
  <r>
    <x v="0"/>
    <x v="0"/>
    <x v="0"/>
    <x v="10"/>
    <x v="10"/>
    <n v="90763.06"/>
    <n v="407053.26"/>
    <n v="267366.09000000003"/>
    <n v="623531.92000000004"/>
    <n v="3622147.69"/>
    <n v="1992.46"/>
    <n v="1770.56"/>
    <n v="2718.31"/>
    <n v="5382.16"/>
    <n v="119553.62"/>
    <n v="0"/>
    <n v="1133.3800000000001"/>
    <n v="1064.57"/>
    <n v="242.93"/>
    <n v="0"/>
    <n v="11876938.060000001"/>
    <n v="20382407.600000001"/>
    <n v="30186371.289999999"/>
    <n v="348301101.31999999"/>
    <n v="1549677.08"/>
    <n v="995888.64000000001"/>
    <n v="1368339.04"/>
    <n v="9817265.3699999992"/>
    <n v="70461.929999999993"/>
    <n v="1368846.61"/>
    <n v="1227069.6000000001"/>
    <n v="3861051.32"/>
    <n v="203094.02"/>
    <n v="342586.44"/>
    <n v="1578147.02"/>
    <n v="16901099.469999999"/>
    <n v="694.17"/>
    <n v="470.33"/>
    <n v="2235.84"/>
    <n v="4437.79"/>
    <n v="0"/>
    <n v="225.79"/>
    <n v="0"/>
    <n v="2"/>
    <n v="8341766.5700000003"/>
    <n v="14291243.560000001"/>
    <n v="20691632.68"/>
    <n v="41090151.020000003"/>
    <n v="168950428.38999999"/>
    <n v="1197860.1100000001"/>
    <n v="965688.04"/>
    <n v="1309530.8700000001"/>
    <n v="2274681.42"/>
    <n v="6261821.8499999996"/>
    <n v="13012.62"/>
    <n v="1340107.3899999999"/>
    <n v="1169933.75"/>
    <n v="1266013.3"/>
    <n v="2131095.4900000002"/>
    <n v="0"/>
    <n v="0"/>
    <n v="0"/>
    <n v="0"/>
    <n v="0"/>
    <x v="0"/>
    <x v="0"/>
    <x v="0"/>
    <x v="0"/>
    <x v="0"/>
    <x v="0"/>
    <x v="0"/>
    <x v="0"/>
    <x v="0"/>
    <x v="0"/>
    <n v="0"/>
    <n v="0"/>
    <n v="0"/>
    <n v="0"/>
    <n v="0"/>
    <x v="0"/>
    <x v="0"/>
    <x v="0"/>
    <x v="0"/>
    <x v="0"/>
    <x v="0"/>
    <x v="0"/>
    <x v="0"/>
    <x v="0"/>
    <x v="0"/>
    <n v="516719.5"/>
    <n v="1038820.7"/>
    <n v="1615148.53"/>
    <n v="3368921.81"/>
    <n v="20725692.960000001"/>
    <n v="4122.1899999999996"/>
    <n v="3823.79"/>
    <n v="5920"/>
    <n v="12280.08"/>
    <n v="31176"/>
    <x v="0"/>
    <n v="2910.68"/>
    <n v="8575.3700000000008"/>
    <x v="3"/>
    <x v="0"/>
    <x v="0"/>
    <x v="0"/>
    <x v="0"/>
    <x v="0"/>
    <x v="0"/>
    <x v="0"/>
    <x v="0"/>
    <x v="0"/>
    <x v="0"/>
    <x v="0"/>
    <x v="0"/>
    <x v="0"/>
    <x v="0"/>
    <x v="0"/>
    <x v="0"/>
    <x v="0"/>
    <x v="0"/>
    <x v="0"/>
    <x v="0"/>
    <x v="0"/>
    <x v="0"/>
    <x v="0"/>
    <x v="0"/>
    <x v="0"/>
    <x v="0"/>
    <x v="0"/>
    <x v="0"/>
    <n v="38399557.329999998"/>
    <n v="714385020.51999998"/>
    <n v="-39427669.770000003"/>
    <n v="753812690.28999996"/>
  </r>
  <r>
    <x v="0"/>
    <x v="0"/>
    <x v="0"/>
    <x v="11"/>
    <x v="11"/>
    <n v="99300"/>
    <n v="295718.24"/>
    <n v="266211.89"/>
    <n v="626365.9"/>
    <n v="3558761.02"/>
    <n v="26473.64"/>
    <n v="278.26"/>
    <n v="427.21"/>
    <n v="890.98"/>
    <n v="44468.05"/>
    <n v="0"/>
    <n v="522.59"/>
    <n v="881.59"/>
    <n v="488.12"/>
    <n v="0"/>
    <n v="11864418.09"/>
    <n v="20872881.16"/>
    <n v="31155015.140000001"/>
    <n v="353724584.60000002"/>
    <n v="1076583.9099999999"/>
    <n v="805785.13"/>
    <n v="1084705.1200000001"/>
    <n v="6829840.3099999996"/>
    <n v="8759.73"/>
    <n v="1437142.73"/>
    <n v="1333125.57"/>
    <n v="3973863.24"/>
    <n v="198950.64"/>
    <n v="363011.45"/>
    <n v="1580632.05"/>
    <n v="17204210.57"/>
    <n v="0"/>
    <n v="0"/>
    <n v="0"/>
    <n v="0"/>
    <n v="0"/>
    <n v="0"/>
    <n v="0"/>
    <n v="2"/>
    <n v="8379689.1900000004"/>
    <n v="14255555.310000001"/>
    <n v="20847631"/>
    <n v="41170667.710000001"/>
    <n v="166424875.05000001"/>
    <n v="990929.46"/>
    <n v="822117.88"/>
    <n v="1086679.44"/>
    <n v="1863411.38"/>
    <n v="4735218.18"/>
    <n v="13012.62"/>
    <n v="1062204.76"/>
    <n v="1195839.04"/>
    <n v="1478241.57"/>
    <n v="2225708.29"/>
    <n v="0"/>
    <n v="0"/>
    <n v="0"/>
    <n v="0"/>
    <n v="0"/>
    <x v="0"/>
    <x v="0"/>
    <x v="0"/>
    <x v="0"/>
    <x v="0"/>
    <x v="0"/>
    <x v="0"/>
    <x v="0"/>
    <x v="0"/>
    <x v="0"/>
    <n v="0"/>
    <n v="0"/>
    <n v="0"/>
    <n v="0"/>
    <n v="0"/>
    <x v="0"/>
    <x v="0"/>
    <x v="0"/>
    <x v="0"/>
    <x v="0"/>
    <x v="0"/>
    <x v="0"/>
    <x v="0"/>
    <x v="0"/>
    <x v="0"/>
    <n v="566193.79"/>
    <n v="1148590.54"/>
    <n v="1780666.05"/>
    <n v="3708841.46"/>
    <n v="22853257.010000002"/>
    <n v="3513.27"/>
    <n v="3286.61"/>
    <n v="5088.01"/>
    <n v="10513.69"/>
    <n v="25230.7"/>
    <x v="0"/>
    <n v="2661.54"/>
    <n v="1242.6500000000001"/>
    <x v="4"/>
    <x v="0"/>
    <x v="0"/>
    <x v="0"/>
    <x v="0"/>
    <x v="0"/>
    <x v="0"/>
    <x v="0"/>
    <x v="0"/>
    <x v="0"/>
    <x v="0"/>
    <x v="0"/>
    <x v="0"/>
    <x v="0"/>
    <x v="0"/>
    <x v="0"/>
    <x v="0"/>
    <x v="0"/>
    <x v="0"/>
    <x v="0"/>
    <x v="0"/>
    <x v="0"/>
    <x v="0"/>
    <x v="0"/>
    <x v="0"/>
    <x v="0"/>
    <x v="0"/>
    <x v="0"/>
    <x v="0"/>
    <n v="32157356.170000002"/>
    <n v="716755532.52999997"/>
    <n v="-38347851.5"/>
    <n v="755103384.02999997"/>
  </r>
  <r>
    <x v="0"/>
    <x v="1"/>
    <x v="1"/>
    <x v="0"/>
    <x v="0"/>
    <n v="74816.86"/>
    <n v="71302.33"/>
    <n v="134462.17000000001"/>
    <n v="258640.14"/>
    <n v="1731200.5"/>
    <n v="11869.8"/>
    <n v="41222.269999999997"/>
    <n v="55833.440000000002"/>
    <n v="103880.46"/>
    <n v="230553.67"/>
    <n v="11631.04"/>
    <n v="47352.9"/>
    <n v="28156.06"/>
    <n v="41156.449999999997"/>
    <n v="18163.580000000002"/>
    <n v="8810935.1300000008"/>
    <n v="16188029"/>
    <n v="23689376.109999999"/>
    <n v="261148991.09999999"/>
    <n v="411427.52"/>
    <n v="769018.03"/>
    <n v="1091050.68"/>
    <n v="8936753.6799999997"/>
    <n v="367902.66"/>
    <n v="420353.08"/>
    <n v="378426.59"/>
    <n v="1539662.64"/>
    <n v="1026.3699999999999"/>
    <n v="2995.39"/>
    <n v="13015.78"/>
    <n v="153794.71"/>
    <n v="0"/>
    <n v="0"/>
    <n v="0"/>
    <n v="0"/>
    <n v="0"/>
    <n v="0"/>
    <n v="0"/>
    <n v="0"/>
    <n v="3916214.4"/>
    <n v="6889168.7000000002"/>
    <n v="10227706.23"/>
    <n v="19426922.260000002"/>
    <n v="87600405.310000002"/>
    <n v="205291.07"/>
    <n v="368394.28"/>
    <n v="525269.07999999996"/>
    <n v="909351.64"/>
    <n v="3078385.49"/>
    <n v="184291.32"/>
    <n v="271574.39"/>
    <n v="202560.07"/>
    <n v="255947.17"/>
    <n v="400137.22"/>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20905616.280000001"/>
    <n v="436147818.38"/>
    <n v="-25096800.390000001"/>
    <n v="461244618.76999998"/>
  </r>
  <r>
    <x v="0"/>
    <x v="1"/>
    <x v="1"/>
    <x v="1"/>
    <x v="1"/>
    <n v="58416.58"/>
    <n v="87340.91"/>
    <n v="149126.73000000001"/>
    <n v="294814.28000000003"/>
    <n v="1807553.72"/>
    <n v="11653.91"/>
    <n v="16560.419999999998"/>
    <n v="43795.42"/>
    <n v="59861.51"/>
    <n v="105991.29"/>
    <n v="11869.8"/>
    <n v="28377.81"/>
    <n v="29517.13"/>
    <n v="48209.77"/>
    <n v="20638.11"/>
    <n v="8642029.25"/>
    <n v="16651872.58"/>
    <n v="24062455.300000001"/>
    <n v="263782512.09999999"/>
    <n v="364488.87"/>
    <n v="718127.38"/>
    <n v="1002347.11"/>
    <n v="8156747.5300000003"/>
    <n v="354073.8"/>
    <n v="429445.38"/>
    <n v="389244.19"/>
    <n v="1554279.05"/>
    <n v="1539.27"/>
    <n v="2570.15"/>
    <n v="12795.41"/>
    <n v="152559.67000000001"/>
    <n v="0"/>
    <n v="0"/>
    <n v="0"/>
    <n v="0"/>
    <n v="0"/>
    <n v="0"/>
    <n v="0"/>
    <n v="0"/>
    <n v="3602064.58"/>
    <n v="7123721.7800000003"/>
    <n v="10344929.83"/>
    <n v="19249067.370000001"/>
    <n v="87184489.599999994"/>
    <n v="180605.49"/>
    <n v="351929.25"/>
    <n v="514341.1"/>
    <n v="857957.45"/>
    <n v="2994977.46"/>
    <n v="190507.74"/>
    <n v="252085.58"/>
    <n v="236111.17"/>
    <n v="260347.08"/>
    <n v="415418.32"/>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9599509.120000001"/>
    <n v="437146455.74000001"/>
    <n v="-25662912.489999998"/>
    <n v="462809368.23000002"/>
  </r>
  <r>
    <x v="0"/>
    <x v="1"/>
    <x v="1"/>
    <x v="2"/>
    <x v="2"/>
    <n v="48031.43"/>
    <n v="118947.33"/>
    <n v="159024.03"/>
    <n v="285404.59999999998"/>
    <n v="1736261.97"/>
    <n v="11660.11"/>
    <n v="17186.28"/>
    <n v="18461.830000000002"/>
    <n v="43194.81"/>
    <n v="103705.58"/>
    <n v="3320.58"/>
    <n v="14715.13"/>
    <n v="20260.66"/>
    <n v="24567.119999999999"/>
    <n v="21574.880000000001"/>
    <n v="8589738.0500000007"/>
    <n v="16592895.199999999"/>
    <n v="24334835.460000001"/>
    <n v="267140588.96000001"/>
    <n v="432824.79"/>
    <n v="797284.66"/>
    <n v="1151674.08"/>
    <n v="9614438.9600000009"/>
    <n v="408897.61"/>
    <n v="464088.39"/>
    <n v="359509.42"/>
    <n v="1543029.43"/>
    <n v="1098.98"/>
    <n v="2991.32"/>
    <n v="12861.84"/>
    <n v="150568.78"/>
    <n v="0"/>
    <n v="0"/>
    <n v="0"/>
    <n v="0"/>
    <n v="0"/>
    <n v="0"/>
    <n v="0"/>
    <n v="0"/>
    <n v="3612440.52"/>
    <n v="6895278.4900000002"/>
    <n v="10241350.060000001"/>
    <n v="19445739.140000001"/>
    <n v="85817560.079999998"/>
    <n v="209012.53"/>
    <n v="384450.6"/>
    <n v="575069.81999999995"/>
    <n v="976904.27"/>
    <n v="3446698.44"/>
    <n v="203522.59"/>
    <n v="266096.3"/>
    <n v="245475.14"/>
    <n v="268427.07"/>
    <n v="416990.28"/>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22043041.359999999"/>
    <n v="440769381.07999998"/>
    <n v="-26459276.52"/>
    <n v="467228657.60000002"/>
  </r>
  <r>
    <x v="0"/>
    <x v="1"/>
    <x v="1"/>
    <x v="3"/>
    <x v="3"/>
    <n v="44405.33"/>
    <n v="102933.83"/>
    <n v="155185.87"/>
    <n v="298925.94"/>
    <n v="1681253.91"/>
    <n v="4400.3100000000004"/>
    <n v="31947.21"/>
    <n v="23586.29"/>
    <n v="49028.18"/>
    <n v="86086.54"/>
    <n v="11160.11"/>
    <n v="13738"/>
    <n v="20285.599999999999"/>
    <n v="24006.95"/>
    <n v="31455.439999999999"/>
    <n v="8757827.8699999992"/>
    <n v="17067971.82"/>
    <n v="24879023.27"/>
    <n v="270724073.06999999"/>
    <n v="373709.17"/>
    <n v="748795.75"/>
    <n v="1067379.74"/>
    <n v="8850813.3800000008"/>
    <n v="385965.19"/>
    <n v="470772.22"/>
    <n v="362905.02"/>
    <n v="1536657.69"/>
    <n v="1114.03"/>
    <n v="2995.71"/>
    <n v="12873.4"/>
    <n v="149201.09"/>
    <n v="0"/>
    <n v="0"/>
    <n v="0"/>
    <n v="0"/>
    <n v="0"/>
    <n v="0"/>
    <n v="0"/>
    <n v="0"/>
    <n v="3595518.59"/>
    <n v="7018773.5599999996"/>
    <n v="10339712.48"/>
    <n v="19520060.829999998"/>
    <n v="86800873.879999995"/>
    <n v="182492.05"/>
    <n v="374410.21"/>
    <n v="536154.14"/>
    <n v="916615.05"/>
    <n v="3312211.01"/>
    <n v="196502.95"/>
    <n v="263003.59999999998"/>
    <n v="236612.86"/>
    <n v="286536.96999999997"/>
    <n v="422983.75"/>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20820215.379999999"/>
    <n v="444813826.05000001"/>
    <n v="-27159113.809999999"/>
    <n v="471972939.86000001"/>
  </r>
  <r>
    <x v="0"/>
    <x v="1"/>
    <x v="1"/>
    <x v="4"/>
    <x v="4"/>
    <n v="56820.6"/>
    <n v="93704.61"/>
    <n v="155632.97"/>
    <n v="309366.18"/>
    <n v="1706550.76"/>
    <n v="18333.59"/>
    <n v="11604.7"/>
    <n v="18229.16"/>
    <n v="38313.919999999998"/>
    <n v="16666.7"/>
    <n v="2614.6"/>
    <n v="18742.599999999999"/>
    <n v="20314.12"/>
    <n v="25619.38"/>
    <n v="32398.58"/>
    <n v="8847001.0399999991"/>
    <n v="16787051.539999999"/>
    <n v="24970959.719999999"/>
    <n v="273054559.61000001"/>
    <n v="442027.38"/>
    <n v="786974.7"/>
    <n v="1178515.32"/>
    <n v="10141448.699999999"/>
    <n v="399974.66"/>
    <n v="493592.03"/>
    <n v="379283.65"/>
    <n v="1550553.23"/>
    <n v="1487.54"/>
    <n v="2583.62"/>
    <n v="12905.01"/>
    <n v="147768.76999999999"/>
    <n v="0"/>
    <n v="0"/>
    <n v="0"/>
    <n v="0"/>
    <n v="0"/>
    <n v="0"/>
    <n v="0"/>
    <n v="0"/>
    <n v="3625960.77"/>
    <n v="6794983.46"/>
    <n v="10379380.300000001"/>
    <n v="19540085.829999998"/>
    <n v="86260494.560000002"/>
    <n v="217508.97"/>
    <n v="402532.99"/>
    <n v="608719.82999999996"/>
    <n v="1039801.38"/>
    <n v="3867295.84"/>
    <n v="209539"/>
    <n v="283780.33"/>
    <n v="222943.01"/>
    <n v="321531.68"/>
    <n v="421484.58"/>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23170344.629999999"/>
    <n v="447834831.05000001"/>
    <n v="-28082810.469999999"/>
    <n v="475917641.51999998"/>
  </r>
  <r>
    <x v="0"/>
    <x v="1"/>
    <x v="1"/>
    <x v="5"/>
    <x v="5"/>
    <n v="37931.61"/>
    <n v="110252.68"/>
    <n v="147569.60999999999"/>
    <n v="266473.11"/>
    <n v="1577210.39"/>
    <n v="11827.91"/>
    <n v="13467.25"/>
    <n v="33775.22"/>
    <n v="30505.919999999998"/>
    <n v="80952.62"/>
    <n v="20119.3"/>
    <n v="12317.53"/>
    <n v="21297.62"/>
    <n v="33056.800000000003"/>
    <n v="33345.86"/>
    <n v="8730158.3800000008"/>
    <n v="17406747.469999999"/>
    <n v="25238612.18"/>
    <n v="277085604.47000003"/>
    <n v="376434.34"/>
    <n v="755191.45"/>
    <n v="1070384.46"/>
    <n v="9453289.9700000007"/>
    <n v="397059.65"/>
    <n v="474720.45"/>
    <n v="395489.42"/>
    <n v="1543191.58"/>
    <n v="1063.57"/>
    <n v="2992.2"/>
    <n v="12927.23"/>
    <n v="145986"/>
    <n v="0"/>
    <n v="0"/>
    <n v="0"/>
    <n v="0"/>
    <n v="0"/>
    <n v="0"/>
    <n v="0"/>
    <n v="0"/>
    <n v="3494040.7"/>
    <n v="6983533.71"/>
    <n v="10488975.029999999"/>
    <n v="19589816.93"/>
    <n v="86295661.739999995"/>
    <n v="200807.99"/>
    <n v="383187.83"/>
    <n v="572659.02"/>
    <n v="976490.88"/>
    <n v="3592420.93"/>
    <n v="212583.34"/>
    <n v="284805.37"/>
    <n v="226383.93"/>
    <n v="327682.92"/>
    <n v="412048.32"/>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21945497.879999999"/>
    <n v="450769427.49000001"/>
    <n v="-28791627.399999999"/>
    <n v="479561054.88999999"/>
  </r>
  <r>
    <x v="0"/>
    <x v="1"/>
    <x v="1"/>
    <x v="6"/>
    <x v="6"/>
    <n v="51102.03"/>
    <n v="101094.75"/>
    <n v="145922.35999999999"/>
    <n v="286400.96999999997"/>
    <n v="1538434.59"/>
    <n v="3348.21"/>
    <n v="20238.080000000002"/>
    <n v="33775.22"/>
    <n v="30505.919999999998"/>
    <n v="70833.58"/>
    <n v="11827.91"/>
    <n v="22733.9"/>
    <n v="21326.69"/>
    <n v="31545.83"/>
    <n v="44202.16"/>
    <n v="8979655.8000000007"/>
    <n v="17886278.190000001"/>
    <n v="25754343.32"/>
    <n v="284532347.61000001"/>
    <n v="267123.95"/>
    <n v="544943.44999999995"/>
    <n v="728764.52"/>
    <n v="5817933.7000000002"/>
    <n v="258205.73"/>
    <n v="486816.54"/>
    <n v="415376.28"/>
    <n v="1551417.84"/>
    <n v="1012.91"/>
    <n v="2960.89"/>
    <n v="12946.72"/>
    <n v="144607.34"/>
    <n v="0"/>
    <n v="0"/>
    <n v="0"/>
    <n v="0"/>
    <n v="0"/>
    <n v="0"/>
    <n v="0"/>
    <n v="0"/>
    <n v="3637603.17"/>
    <n v="7124100.1900000004"/>
    <n v="10513731.27"/>
    <n v="19834681.960000001"/>
    <n v="86745505.109999999"/>
    <n v="151134.60999999999"/>
    <n v="310091.13"/>
    <n v="428372.92"/>
    <n v="743432.24"/>
    <n v="2552546.13"/>
    <n v="148702.07"/>
    <n v="283550.42"/>
    <n v="238621.87"/>
    <n v="344036.48"/>
    <n v="416775.5"/>
    <n v="0"/>
    <n v="0"/>
    <n v="0"/>
    <n v="0"/>
    <n v="0"/>
    <x v="0"/>
    <x v="0"/>
    <x v="0"/>
    <x v="0"/>
    <x v="0"/>
    <x v="0"/>
    <x v="0"/>
    <x v="0"/>
    <x v="0"/>
    <x v="0"/>
    <n v="833.33"/>
    <n v="1666.66"/>
    <n v="2499.9899999999998"/>
    <n v="5000.0200000000004"/>
    <n v="0"/>
    <x v="0"/>
    <x v="0"/>
    <x v="0"/>
    <x v="0"/>
    <x v="0"/>
    <x v="0"/>
    <x v="0"/>
    <x v="0"/>
    <x v="0"/>
    <x v="0"/>
    <n v="0"/>
    <n v="0"/>
    <n v="0"/>
    <n v="0"/>
    <n v="0"/>
    <n v="0"/>
    <n v="0"/>
    <n v="0"/>
    <n v="0"/>
    <n v="0"/>
    <x v="0"/>
    <n v="0"/>
    <n v="0"/>
    <x v="0"/>
    <x v="0"/>
    <x v="0"/>
    <x v="0"/>
    <x v="0"/>
    <x v="0"/>
    <x v="0"/>
    <x v="0"/>
    <x v="0"/>
    <x v="0"/>
    <x v="0"/>
    <x v="0"/>
    <x v="0"/>
    <x v="0"/>
    <x v="0"/>
    <x v="0"/>
    <x v="0"/>
    <x v="0"/>
    <x v="0"/>
    <x v="0"/>
    <x v="0"/>
    <x v="0"/>
    <x v="0"/>
    <x v="0"/>
    <x v="0"/>
    <x v="0"/>
    <x v="0"/>
    <x v="0"/>
    <x v="0"/>
    <n v="15978182.880000001"/>
    <n v="453685847.22000003"/>
    <n v="-29595064.84"/>
    <n v="483280912.06"/>
  </r>
  <r>
    <x v="0"/>
    <x v="1"/>
    <x v="1"/>
    <x v="7"/>
    <x v="7"/>
    <n v="56859.02"/>
    <n v="86274.9"/>
    <n v="149421.9"/>
    <n v="293133.44"/>
    <n v="1531756.21"/>
    <n v="10119.040000000001"/>
    <n v="13467.25"/>
    <n v="33775.22"/>
    <n v="28943.42"/>
    <n v="69047.87"/>
    <n v="3348.21"/>
    <n v="30161.5"/>
    <n v="21357.200000000001"/>
    <n v="33164.57"/>
    <n v="45167.51"/>
    <n v="9518518.9800000004"/>
    <n v="17709439.280000001"/>
    <n v="26143184.149999999"/>
    <n v="287638718.25999999"/>
    <n v="290765.96000000002"/>
    <n v="507355.83"/>
    <n v="732201.24"/>
    <n v="5932119.5599999996"/>
    <n v="253953.24"/>
    <n v="490333.4"/>
    <n v="412564.81"/>
    <n v="1543682.8"/>
    <n v="1430.99"/>
    <n v="2548.27"/>
    <n v="12969.25"/>
    <n v="143229.57999999999"/>
    <n v="0"/>
    <n v="0"/>
    <n v="0"/>
    <n v="0"/>
    <n v="0"/>
    <n v="0"/>
    <n v="0"/>
    <n v="0"/>
    <n v="3764680.55"/>
    <n v="7055989.4100000001"/>
    <n v="10488678.939999999"/>
    <n v="19827178.300000001"/>
    <n v="86274635.689999998"/>
    <n v="164746.66"/>
    <n v="296421.13"/>
    <n v="428341.71"/>
    <n v="733143.33"/>
    <n v="2520302.77"/>
    <n v="143659.82"/>
    <n v="294792.23"/>
    <n v="248556.98"/>
    <n v="360238.6"/>
    <n v="418167.41"/>
    <n v="0"/>
    <n v="0"/>
    <n v="0"/>
    <n v="0"/>
    <n v="0"/>
    <x v="0"/>
    <x v="0"/>
    <x v="0"/>
    <x v="0"/>
    <x v="0"/>
    <x v="0"/>
    <x v="0"/>
    <x v="0"/>
    <x v="0"/>
    <x v="0"/>
    <n v="833.33"/>
    <n v="1666.66"/>
    <n v="2499.9899999999998"/>
    <n v="4166.6899999999996"/>
    <n v="0"/>
    <x v="0"/>
    <x v="0"/>
    <x v="0"/>
    <x v="0"/>
    <x v="0"/>
    <x v="0"/>
    <x v="0"/>
    <x v="0"/>
    <x v="0"/>
    <x v="0"/>
    <n v="0"/>
    <n v="0"/>
    <n v="0"/>
    <n v="0"/>
    <n v="0"/>
    <n v="0"/>
    <n v="0"/>
    <n v="0"/>
    <n v="0"/>
    <n v="0"/>
    <x v="0"/>
    <n v="0"/>
    <n v="0"/>
    <x v="0"/>
    <x v="0"/>
    <x v="0"/>
    <x v="0"/>
    <x v="0"/>
    <x v="0"/>
    <x v="0"/>
    <x v="0"/>
    <x v="0"/>
    <x v="0"/>
    <x v="0"/>
    <x v="0"/>
    <x v="0"/>
    <x v="0"/>
    <x v="0"/>
    <x v="0"/>
    <x v="0"/>
    <x v="0"/>
    <x v="0"/>
    <x v="0"/>
    <x v="0"/>
    <x v="0"/>
    <x v="0"/>
    <x v="0"/>
    <x v="0"/>
    <x v="0"/>
    <x v="0"/>
    <x v="0"/>
    <x v="0"/>
    <n v="16059899.27"/>
    <n v="456565606.55000001"/>
    <n v="-30202106.510000002"/>
    <n v="486767713.06"/>
  </r>
  <r>
    <x v="0"/>
    <x v="1"/>
    <x v="1"/>
    <x v="8"/>
    <x v="8"/>
    <n v="45136.04"/>
    <n v="113360.08"/>
    <n v="150665.01999999999"/>
    <n v="325620.94"/>
    <n v="1948799.83"/>
    <n v="10119.040000000001"/>
    <n v="23656.18"/>
    <n v="15252.96"/>
    <n v="28943.42"/>
    <n v="67262.16"/>
    <n v="10119.040000000001"/>
    <n v="20390.41"/>
    <n v="30322.59"/>
    <n v="41558.28"/>
    <n v="46142"/>
    <n v="9302774.0800000001"/>
    <n v="18092296.640000001"/>
    <n v="26854907.010000002"/>
    <n v="289763257.16000003"/>
    <n v="279276.53000000003"/>
    <n v="519116.9"/>
    <n v="757637.81"/>
    <n v="5967125.71"/>
    <n v="276204.62"/>
    <n v="455324.35"/>
    <n v="427312.15"/>
    <n v="1544981.44"/>
    <n v="1076.0899999999999"/>
    <n v="3018.56"/>
    <n v="12978.57"/>
    <n v="141495.31"/>
    <n v="0"/>
    <n v="0"/>
    <n v="0"/>
    <n v="0"/>
    <n v="0"/>
    <n v="0"/>
    <n v="0"/>
    <n v="0"/>
    <n v="3672977.43"/>
    <n v="7242301.2400000002"/>
    <n v="10516724.949999999"/>
    <n v="19695863.309999999"/>
    <n v="85849040.700000003"/>
    <n v="166984.62"/>
    <n v="320884.07"/>
    <n v="456956.86"/>
    <n v="767788.23"/>
    <n v="2519282.12"/>
    <n v="165068.64000000001"/>
    <n v="285792.71999999997"/>
    <n v="263069.18"/>
    <n v="364173.27"/>
    <n v="427998.07"/>
    <n v="0"/>
    <n v="0"/>
    <n v="0"/>
    <n v="0"/>
    <n v="0"/>
    <x v="0"/>
    <x v="0"/>
    <x v="0"/>
    <x v="0"/>
    <x v="0"/>
    <x v="0"/>
    <x v="0"/>
    <x v="0"/>
    <x v="0"/>
    <x v="0"/>
    <n v="833.33"/>
    <n v="1666.66"/>
    <n v="2499.9899999999998"/>
    <n v="3333.36"/>
    <n v="0"/>
    <x v="0"/>
    <x v="0"/>
    <x v="0"/>
    <x v="0"/>
    <x v="0"/>
    <x v="0"/>
    <x v="0"/>
    <x v="0"/>
    <x v="0"/>
    <x v="0"/>
    <n v="0"/>
    <n v="0"/>
    <n v="0"/>
    <n v="0"/>
    <n v="0"/>
    <n v="0"/>
    <n v="0"/>
    <n v="0"/>
    <n v="0"/>
    <n v="0"/>
    <x v="0"/>
    <n v="0"/>
    <n v="0"/>
    <x v="0"/>
    <x v="0"/>
    <x v="0"/>
    <x v="0"/>
    <x v="0"/>
    <x v="0"/>
    <x v="0"/>
    <x v="0"/>
    <x v="0"/>
    <x v="0"/>
    <x v="0"/>
    <x v="0"/>
    <x v="0"/>
    <x v="0"/>
    <x v="0"/>
    <x v="0"/>
    <x v="0"/>
    <x v="0"/>
    <x v="0"/>
    <x v="0"/>
    <x v="0"/>
    <x v="0"/>
    <x v="0"/>
    <x v="0"/>
    <x v="0"/>
    <x v="0"/>
    <x v="0"/>
    <x v="0"/>
    <x v="0"/>
    <n v="16258743.369999999"/>
    <n v="459179112.86000001"/>
    <n v="-30820256.809999999"/>
    <n v="489999369.67000002"/>
  </r>
  <r>
    <x v="0"/>
    <x v="1"/>
    <x v="1"/>
    <x v="9"/>
    <x v="9"/>
    <n v="62480.49"/>
    <n v="92992.39"/>
    <n v="158306.22"/>
    <n v="321020.96999999997"/>
    <n v="1906271.51"/>
    <n v="1785.71"/>
    <n v="30427.01"/>
    <n v="13690.46"/>
    <n v="27380.959999999999"/>
    <n v="57143.08"/>
    <n v="10119.040000000001"/>
    <n v="17119.04"/>
    <n v="29427.89"/>
    <n v="38487.29"/>
    <n v="42963.39"/>
    <n v="9650727.3800000008"/>
    <n v="17995427.129999999"/>
    <n v="26931743.57"/>
    <n v="292647926.10000002"/>
    <n v="286739.09000000003"/>
    <n v="528305.43000000005"/>
    <n v="784134.22"/>
    <n v="6381831.1100000003"/>
    <n v="271149.09000000003"/>
    <n v="488006.88"/>
    <n v="416041.72"/>
    <n v="1458751.1"/>
    <n v="1065.33"/>
    <n v="3023.34"/>
    <n v="13010.88"/>
    <n v="140045.41"/>
    <n v="0"/>
    <n v="0"/>
    <n v="0"/>
    <n v="0"/>
    <n v="0"/>
    <n v="0"/>
    <n v="0"/>
    <n v="0"/>
    <n v="3885980.1"/>
    <n v="6998040.9699999997"/>
    <n v="10636299.73"/>
    <n v="19690960.210000001"/>
    <n v="85430623.420000002"/>
    <n v="177200.78"/>
    <n v="330823.82"/>
    <n v="482046.55"/>
    <n v="800867.8"/>
    <n v="2700885.87"/>
    <n v="170893.83"/>
    <n v="302109.5"/>
    <n v="271386.73"/>
    <n v="363586.17"/>
    <n v="449780.54"/>
    <n v="0"/>
    <n v="0"/>
    <n v="0"/>
    <n v="0"/>
    <n v="0"/>
    <x v="0"/>
    <x v="0"/>
    <x v="0"/>
    <x v="0"/>
    <x v="0"/>
    <x v="0"/>
    <x v="0"/>
    <x v="0"/>
    <x v="0"/>
    <x v="0"/>
    <n v="833.33"/>
    <n v="1666.66"/>
    <n v="2499.9899999999998"/>
    <n v="2500.0300000000002"/>
    <n v="0"/>
    <x v="0"/>
    <x v="0"/>
    <x v="0"/>
    <x v="0"/>
    <x v="0"/>
    <x v="0"/>
    <x v="0"/>
    <x v="0"/>
    <x v="0"/>
    <x v="0"/>
    <n v="0"/>
    <n v="0"/>
    <n v="0"/>
    <n v="0"/>
    <n v="0"/>
    <n v="0"/>
    <n v="0"/>
    <n v="0"/>
    <n v="0"/>
    <n v="0"/>
    <x v="0"/>
    <n v="0"/>
    <n v="0"/>
    <x v="0"/>
    <x v="0"/>
    <x v="0"/>
    <x v="0"/>
    <x v="0"/>
    <x v="0"/>
    <x v="0"/>
    <x v="0"/>
    <x v="0"/>
    <x v="0"/>
    <x v="0"/>
    <x v="0"/>
    <x v="0"/>
    <x v="0"/>
    <x v="0"/>
    <x v="0"/>
    <x v="0"/>
    <x v="0"/>
    <x v="0"/>
    <x v="0"/>
    <x v="0"/>
    <x v="0"/>
    <x v="0"/>
    <x v="0"/>
    <x v="0"/>
    <x v="0"/>
    <x v="0"/>
    <x v="0"/>
    <x v="0"/>
    <n v="16933084.100000001"/>
    <n v="462309551.33999997"/>
    <n v="-31196977.920000002"/>
    <n v="493506529.25999999"/>
  </r>
  <r>
    <x v="0"/>
    <x v="1"/>
    <x v="1"/>
    <x v="10"/>
    <x v="10"/>
    <n v="56683.97"/>
    <n v="85797.51"/>
    <n v="158164"/>
    <n v="314989.99"/>
    <n v="2298633.1800000002"/>
    <n v="20307.97"/>
    <n v="11904.75"/>
    <n v="13690.46"/>
    <n v="27380.959999999999"/>
    <n v="55357.37"/>
    <n v="1785.71"/>
    <n v="18452.37"/>
    <n v="35375.79"/>
    <n v="38546.32"/>
    <n v="43956.46"/>
    <n v="9243676.2300000004"/>
    <n v="18687935.120000001"/>
    <n v="26911543.300000001"/>
    <n v="294260187.44999999"/>
    <n v="289239.64"/>
    <n v="583760.65"/>
    <n v="809058.49"/>
    <n v="6461272.5099999998"/>
    <n v="290189.38"/>
    <n v="525881.63"/>
    <n v="422983.08"/>
    <n v="1470102.18"/>
    <n v="1494.64"/>
    <n v="2599.16"/>
    <n v="13033.9"/>
    <n v="138664.01"/>
    <n v="0"/>
    <n v="0"/>
    <n v="0"/>
    <n v="0"/>
    <n v="0"/>
    <n v="0"/>
    <n v="0"/>
    <n v="0"/>
    <n v="3685932.59"/>
    <n v="7302139.2699999996"/>
    <n v="10531153.58"/>
    <n v="19505802.140000001"/>
    <n v="84552821.569999993"/>
    <n v="183423.63"/>
    <n v="361852.21"/>
    <n v="496240.03"/>
    <n v="820404.38"/>
    <n v="2752574.14"/>
    <n v="176154.99"/>
    <n v="327410.7"/>
    <n v="280144.51"/>
    <n v="370169.29"/>
    <n v="486830.83"/>
    <n v="0"/>
    <n v="0"/>
    <n v="0"/>
    <n v="0"/>
    <n v="0"/>
    <x v="0"/>
    <x v="0"/>
    <x v="0"/>
    <x v="0"/>
    <x v="0"/>
    <x v="0"/>
    <x v="0"/>
    <x v="0"/>
    <x v="0"/>
    <x v="0"/>
    <n v="833.33"/>
    <n v="1666.66"/>
    <n v="2499.9899999999998"/>
    <n v="1666.7"/>
    <n v="0"/>
    <x v="0"/>
    <x v="0"/>
    <x v="0"/>
    <x v="0"/>
    <x v="0"/>
    <x v="0"/>
    <x v="0"/>
    <x v="0"/>
    <x v="0"/>
    <x v="0"/>
    <n v="0"/>
    <n v="0"/>
    <n v="0"/>
    <n v="0"/>
    <n v="0"/>
    <n v="0"/>
    <n v="0"/>
    <n v="0"/>
    <n v="0"/>
    <n v="0"/>
    <x v="0"/>
    <n v="0"/>
    <n v="0"/>
    <x v="0"/>
    <x v="0"/>
    <x v="0"/>
    <x v="0"/>
    <x v="0"/>
    <x v="0"/>
    <x v="0"/>
    <x v="0"/>
    <x v="0"/>
    <x v="0"/>
    <x v="0"/>
    <x v="0"/>
    <x v="0"/>
    <x v="0"/>
    <x v="0"/>
    <x v="0"/>
    <x v="0"/>
    <x v="0"/>
    <x v="0"/>
    <x v="0"/>
    <x v="0"/>
    <x v="0"/>
    <x v="0"/>
    <x v="0"/>
    <x v="0"/>
    <x v="0"/>
    <x v="0"/>
    <x v="0"/>
    <x v="0"/>
    <n v="17374450.43"/>
    <n v="463439592.27999997"/>
    <n v="-31692776.440000001"/>
    <n v="495132368.72000003"/>
  </r>
  <r>
    <x v="0"/>
    <x v="1"/>
    <x v="1"/>
    <x v="11"/>
    <x v="11"/>
    <n v="41012.959999999999"/>
    <n v="106953.14"/>
    <n v="160357.21"/>
    <n v="301277.40999999997"/>
    <n v="2211368.73"/>
    <n v="10119.040000000001"/>
    <n v="3571.42"/>
    <n v="13690.46"/>
    <n v="27380.959999999999"/>
    <n v="53571.66"/>
    <n v="20307.97"/>
    <n v="10119.040000000001"/>
    <n v="25375.53"/>
    <n v="48495.21"/>
    <n v="52341.16"/>
    <n v="9524365.2799999993"/>
    <n v="19136588.300000001"/>
    <n v="26649352"/>
    <n v="296204272.01999998"/>
    <n v="272503.64"/>
    <n v="540863.74"/>
    <n v="725603.02"/>
    <n v="5861598.8399999999"/>
    <n v="248145.14"/>
    <n v="488296.03"/>
    <n v="431471.43"/>
    <n v="1476886.39"/>
    <n v="1020.27"/>
    <n v="2996.16"/>
    <n v="13030.24"/>
    <n v="136911.48000000001"/>
    <n v="0"/>
    <n v="0"/>
    <n v="0"/>
    <n v="0"/>
    <n v="0"/>
    <n v="0"/>
    <n v="0"/>
    <n v="0"/>
    <n v="3647588.27"/>
    <n v="7368777.8399999999"/>
    <n v="10501061.01"/>
    <n v="19521776.760000002"/>
    <n v="84003376.150000006"/>
    <n v="172358.41"/>
    <n v="347573.1"/>
    <n v="463732.38"/>
    <n v="762625.42"/>
    <n v="2569711.36"/>
    <n v="166438.19"/>
    <n v="324363.39"/>
    <n v="285992.49"/>
    <n v="389311.79"/>
    <n v="498994.27"/>
    <n v="0"/>
    <n v="0"/>
    <n v="0"/>
    <n v="0"/>
    <n v="0"/>
    <x v="0"/>
    <x v="0"/>
    <x v="0"/>
    <x v="0"/>
    <x v="0"/>
    <x v="0"/>
    <x v="0"/>
    <x v="0"/>
    <x v="0"/>
    <x v="0"/>
    <n v="833.33"/>
    <n v="1666.66"/>
    <n v="2499.9899999999998"/>
    <n v="833.37"/>
    <n v="0"/>
    <x v="0"/>
    <x v="0"/>
    <x v="0"/>
    <x v="0"/>
    <x v="0"/>
    <x v="0"/>
    <x v="0"/>
    <x v="0"/>
    <x v="0"/>
    <x v="0"/>
    <n v="0"/>
    <n v="0"/>
    <n v="0"/>
    <n v="0"/>
    <n v="0"/>
    <n v="0"/>
    <n v="0"/>
    <n v="0"/>
    <n v="0"/>
    <n v="0"/>
    <x v="0"/>
    <n v="0"/>
    <n v="0"/>
    <x v="0"/>
    <x v="0"/>
    <x v="0"/>
    <x v="0"/>
    <x v="0"/>
    <x v="0"/>
    <x v="0"/>
    <x v="0"/>
    <x v="0"/>
    <x v="0"/>
    <x v="0"/>
    <x v="0"/>
    <x v="0"/>
    <x v="0"/>
    <x v="0"/>
    <x v="0"/>
    <x v="0"/>
    <x v="0"/>
    <x v="0"/>
    <x v="0"/>
    <x v="0"/>
    <x v="0"/>
    <x v="0"/>
    <x v="0"/>
    <x v="0"/>
    <x v="0"/>
    <x v="0"/>
    <x v="0"/>
    <x v="0"/>
    <n v="16291441.48"/>
    <n v="464202969.32999998"/>
    <n v="-31626390.73"/>
    <n v="495829360.06"/>
  </r>
  <r>
    <x v="0"/>
    <x v="2"/>
    <x v="2"/>
    <x v="0"/>
    <x v="0"/>
    <n v="0"/>
    <n v="0"/>
    <n v="0"/>
    <n v="0"/>
    <n v="0"/>
    <n v="0"/>
    <n v="0"/>
    <n v="0"/>
    <n v="0"/>
    <n v="0"/>
    <n v="0"/>
    <n v="0"/>
    <n v="0"/>
    <n v="0"/>
    <n v="0"/>
    <n v="955700.7"/>
    <n v="1909212.35"/>
    <n v="2341761.9900000002"/>
    <n v="33364608.109999999"/>
    <n v="40901.82"/>
    <n v="64835.040000000001"/>
    <n v="93941.119999999995"/>
    <n v="883506.03"/>
    <n v="25102.82"/>
    <n v="36106.06"/>
    <n v="24883.25"/>
    <n v="64152.82"/>
    <n v="16774.900000000001"/>
    <n v="28757.57"/>
    <n v="131711.45000000001"/>
    <n v="2182482.59"/>
    <n v="1843.98"/>
    <n v="1268.3699999999999"/>
    <n v="5777.73"/>
    <n v="75360.78"/>
    <n v="0"/>
    <n v="600.91999999999996"/>
    <n v="3896.19"/>
    <n v="3113.27"/>
    <n v="1419221.48"/>
    <n v="2101592.48"/>
    <n v="4627002.6900000004"/>
    <n v="11317442.380000001"/>
    <n v="17411541.43"/>
    <n v="124192.29"/>
    <n v="155619.24"/>
    <n v="213224.14"/>
    <n v="357821.92"/>
    <n v="1016717.17"/>
    <n v="76851.820000000007"/>
    <n v="208139.68"/>
    <n v="224684.44"/>
    <n v="226178.15"/>
    <n v="468829.33"/>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397548.38"/>
    <n v="76124374.060000002"/>
    <n v="-6080984.4400000004"/>
    <n v="82205358.5"/>
  </r>
  <r>
    <x v="0"/>
    <x v="2"/>
    <x v="2"/>
    <x v="1"/>
    <x v="1"/>
    <n v="0"/>
    <n v="0"/>
    <n v="0"/>
    <n v="0"/>
    <n v="0"/>
    <n v="0"/>
    <n v="0"/>
    <n v="0"/>
    <n v="0"/>
    <n v="0"/>
    <n v="0"/>
    <n v="0"/>
    <n v="0"/>
    <n v="0"/>
    <n v="0"/>
    <n v="981796.66"/>
    <n v="1900962.45"/>
    <n v="2416371.04"/>
    <n v="33613202.109999999"/>
    <n v="42543.66"/>
    <n v="62447.27"/>
    <n v="93601.48"/>
    <n v="778915.46"/>
    <n v="26295.61"/>
    <n v="38977.68"/>
    <n v="26787.200000000001"/>
    <n v="50454.84"/>
    <n v="18399"/>
    <n v="28080.99"/>
    <n v="131904.32000000001"/>
    <n v="2168472.77"/>
    <n v="1868.93"/>
    <n v="1269.3499999999999"/>
    <n v="5817.89"/>
    <n v="74678.600000000006"/>
    <n v="0"/>
    <n v="616.09"/>
    <n v="4171.55"/>
    <n v="3438.83"/>
    <n v="1199256.18"/>
    <n v="2070025.35"/>
    <n v="5469042.6900000004"/>
    <n v="10771083.310000001"/>
    <n v="17029504.260000002"/>
    <n v="133719.23000000001"/>
    <n v="142759.32"/>
    <n v="222492.72"/>
    <n v="371483.98"/>
    <n v="1084363.25"/>
    <n v="107592.38"/>
    <n v="228730.83"/>
    <n v="225081.02"/>
    <n v="228225.15"/>
    <n v="392962.35"/>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349294.67"/>
    <n v="76026015.439999998"/>
    <n v="-6121380.3600000003"/>
    <n v="82147395.799999997"/>
  </r>
  <r>
    <x v="0"/>
    <x v="2"/>
    <x v="2"/>
    <x v="2"/>
    <x v="2"/>
    <n v="0"/>
    <n v="0"/>
    <n v="0"/>
    <n v="0"/>
    <n v="0"/>
    <n v="0"/>
    <n v="0"/>
    <n v="0"/>
    <n v="0"/>
    <n v="0"/>
    <n v="0"/>
    <n v="0"/>
    <n v="0"/>
    <n v="0"/>
    <n v="0"/>
    <n v="1003882.39"/>
    <n v="1934900.17"/>
    <n v="2470172.3199999998"/>
    <n v="34162962.509999998"/>
    <n v="42048.03"/>
    <n v="64875.39"/>
    <n v="98406.78"/>
    <n v="859942.17"/>
    <n v="31297.43"/>
    <n v="45524.34"/>
    <n v="30203.79"/>
    <n v="55464.86"/>
    <n v="18001.11"/>
    <n v="28657.63"/>
    <n v="135956.19"/>
    <n v="2229428.73"/>
    <n v="1884.93"/>
    <n v="1280.23"/>
    <n v="6045.79"/>
    <n v="73812.490000000005"/>
    <n v="0"/>
    <n v="611.33000000000004"/>
    <n v="4458.62"/>
    <n v="3767.85"/>
    <n v="1149471.83"/>
    <n v="2456831"/>
    <n v="5868179.9800000004"/>
    <n v="10208349.5"/>
    <n v="16759559.75"/>
    <n v="133260.79999999999"/>
    <n v="150371.19"/>
    <n v="227114.16"/>
    <n v="383995.57"/>
    <n v="1011993.33"/>
    <n v="67838.05"/>
    <n v="283189.76000000001"/>
    <n v="236271.57"/>
    <n v="263161.08"/>
    <n v="407536.4"/>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484355.9400000004"/>
    <n v="76543789.430000007"/>
    <n v="-6366919.6200000001"/>
    <n v="82910709.049999997"/>
  </r>
  <r>
    <x v="0"/>
    <x v="2"/>
    <x v="2"/>
    <x v="3"/>
    <x v="3"/>
    <n v="0"/>
    <n v="0"/>
    <n v="0"/>
    <n v="0"/>
    <n v="0"/>
    <n v="0"/>
    <n v="0"/>
    <n v="0"/>
    <n v="0"/>
    <n v="0"/>
    <n v="0"/>
    <n v="0"/>
    <n v="0"/>
    <n v="0"/>
    <n v="0"/>
    <n v="1027642.96"/>
    <n v="1968644.24"/>
    <n v="2512309.2200000002"/>
    <n v="34674306.659999996"/>
    <n v="46288.34"/>
    <n v="66581.820000000007"/>
    <n v="98973.22"/>
    <n v="838300.99"/>
    <n v="24092.66"/>
    <n v="50053.84"/>
    <n v="35932.67"/>
    <n v="60750.12"/>
    <n v="17815.330000000002"/>
    <n v="27698.1"/>
    <n v="129678.67"/>
    <n v="2184291.5699999998"/>
    <n v="1910.39"/>
    <n v="1290.9100000000001"/>
    <n v="5932.47"/>
    <n v="73273.11"/>
    <n v="0"/>
    <n v="616.55999999999995"/>
    <n v="4738.91"/>
    <n v="4098.8900000000003"/>
    <n v="1300605.97"/>
    <n v="3399273.51"/>
    <n v="5750189.04"/>
    <n v="9073004.8100000005"/>
    <n v="16417713.98"/>
    <n v="139689.48000000001"/>
    <n v="153054.34"/>
    <n v="231703.77"/>
    <n v="403075.59"/>
    <n v="1199875.55"/>
    <n v="47774.720000000001"/>
    <n v="251130.01"/>
    <n v="251094.52"/>
    <n v="308232.19"/>
    <n v="427523.11"/>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725988.18"/>
    <n v="76612882.569999993"/>
    <n v="-6596279.6699999999"/>
    <n v="83209162.239999995"/>
  </r>
  <r>
    <x v="0"/>
    <x v="2"/>
    <x v="2"/>
    <x v="4"/>
    <x v="4"/>
    <n v="0"/>
    <n v="0"/>
    <n v="0"/>
    <n v="0"/>
    <n v="0"/>
    <n v="0"/>
    <n v="0"/>
    <n v="0"/>
    <n v="0"/>
    <n v="0"/>
    <n v="0"/>
    <n v="0"/>
    <n v="0"/>
    <n v="0"/>
    <n v="0"/>
    <n v="1034439.54"/>
    <n v="2004402.6"/>
    <n v="2549463.33"/>
    <n v="35240567.829999998"/>
    <n v="48538.33"/>
    <n v="71925.009999999995"/>
    <n v="107429.33"/>
    <n v="909798.59"/>
    <n v="26847.4"/>
    <n v="47559.76"/>
    <n v="41031.24"/>
    <n v="65800.89"/>
    <n v="18147.259999999998"/>
    <n v="27344"/>
    <n v="127472.91"/>
    <n v="2161478.4900000002"/>
    <n v="1907.56"/>
    <n v="1301.96"/>
    <n v="6148.2"/>
    <n v="72408.12"/>
    <n v="0"/>
    <n v="641.04"/>
    <n v="5021.5600000000004"/>
    <n v="4432.8"/>
    <n v="1416745.4"/>
    <n v="3578362.57"/>
    <n v="6266835.9900000002"/>
    <n v="7903100.3399999999"/>
    <n v="15958685.869999999"/>
    <n v="142526.20000000001"/>
    <n v="160571.81"/>
    <n v="242597.1"/>
    <n v="433329.69"/>
    <n v="1243857.5900000001"/>
    <n v="63255.7"/>
    <n v="171950.84"/>
    <n v="270967.93"/>
    <n v="338156.19"/>
    <n v="442399.7"/>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920404.54"/>
    <n v="76466510.200000003"/>
    <n v="-6740940.4699999997"/>
    <n v="83207450.670000002"/>
  </r>
  <r>
    <x v="0"/>
    <x v="2"/>
    <x v="2"/>
    <x v="5"/>
    <x v="5"/>
    <n v="0"/>
    <n v="0"/>
    <n v="0"/>
    <n v="0"/>
    <n v="0"/>
    <n v="0"/>
    <n v="0"/>
    <n v="0"/>
    <n v="0"/>
    <n v="0"/>
    <n v="0"/>
    <n v="0"/>
    <n v="0"/>
    <n v="0"/>
    <n v="0"/>
    <n v="1054476.18"/>
    <n v="2077703.04"/>
    <n v="2657492.7599999998"/>
    <n v="36403305.710000001"/>
    <n v="33147.4"/>
    <n v="45723.67"/>
    <n v="66651.05"/>
    <n v="502745.89"/>
    <n v="15728.71"/>
    <n v="46141.62"/>
    <n v="41465.15"/>
    <n v="71818.080000000002"/>
    <n v="18718.400000000001"/>
    <n v="28087.81"/>
    <n v="133562.21"/>
    <n v="2244583.44"/>
    <n v="1932.93"/>
    <n v="1304.08"/>
    <n v="6042.12"/>
    <n v="71859.38"/>
    <n v="0"/>
    <n v="627.33000000000004"/>
    <n v="5325.97"/>
    <n v="4769.43"/>
    <n v="1813677.09"/>
    <n v="3196932.54"/>
    <n v="6499133.3700000001"/>
    <n v="7640570.6500000004"/>
    <n v="16260771.210000001"/>
    <n v="121904.83"/>
    <n v="124731.86"/>
    <n v="194595"/>
    <n v="326910.75"/>
    <n v="904867.54"/>
    <n v="67624.39"/>
    <n v="189300.37"/>
    <n v="246134.46"/>
    <n v="351689.71"/>
    <n v="476043.49"/>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3919085.21"/>
    <n v="77216665.510000005"/>
    <n v="-6731434.1100000003"/>
    <n v="83948099.620000005"/>
  </r>
  <r>
    <x v="0"/>
    <x v="2"/>
    <x v="2"/>
    <x v="6"/>
    <x v="6"/>
    <n v="0"/>
    <n v="0"/>
    <n v="0"/>
    <n v="0"/>
    <n v="0"/>
    <n v="0"/>
    <n v="0"/>
    <n v="0"/>
    <n v="0"/>
    <n v="0"/>
    <n v="0"/>
    <n v="0"/>
    <n v="0"/>
    <n v="0"/>
    <n v="0"/>
    <n v="1099413.81"/>
    <n v="2104187.0299999998"/>
    <n v="2699222.5"/>
    <n v="37134618.439999998"/>
    <n v="41805.49"/>
    <n v="39926.230000000003"/>
    <n v="58803.92"/>
    <n v="446903.49"/>
    <n v="0"/>
    <n v="40063.82"/>
    <n v="39582.83"/>
    <n v="62481.5"/>
    <n v="17778.96"/>
    <n v="27882.18"/>
    <n v="131431.04000000001"/>
    <n v="2242977.9900000002"/>
    <n v="1940.17"/>
    <n v="1323.81"/>
    <n v="6252.57"/>
    <n v="70979.94"/>
    <n v="0"/>
    <n v="642.02"/>
    <n v="5495.64"/>
    <n v="5227.09"/>
    <n v="1930947.35"/>
    <n v="3448443.33"/>
    <n v="6478702.0499999998"/>
    <n v="7190721.04"/>
    <n v="16177304.550000001"/>
    <n v="149314.66"/>
    <n v="106764.24"/>
    <n v="161084.28"/>
    <n v="282025.42"/>
    <n v="759913.59"/>
    <n v="0"/>
    <n v="182922.46"/>
    <n v="210327.61"/>
    <n v="362475.78"/>
    <n v="437400.52"/>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3473657.08"/>
    <n v="77520160.25"/>
    <n v="-6637127.0999999996"/>
    <n v="84157287.349999994"/>
  </r>
  <r>
    <x v="0"/>
    <x v="2"/>
    <x v="2"/>
    <x v="7"/>
    <x v="7"/>
    <n v="0"/>
    <n v="0"/>
    <n v="0"/>
    <n v="0"/>
    <n v="0"/>
    <n v="0"/>
    <n v="0"/>
    <n v="0"/>
    <n v="0"/>
    <n v="0"/>
    <n v="0"/>
    <n v="0"/>
    <n v="0"/>
    <n v="0"/>
    <n v="0"/>
    <n v="1095013.6000000001"/>
    <n v="2109505.56"/>
    <n v="2702876.9"/>
    <n v="37587986.82"/>
    <n v="44873.88"/>
    <n v="42361.94"/>
    <n v="62777.37"/>
    <n v="498892.61"/>
    <n v="0"/>
    <n v="39474.300000000003"/>
    <n v="38541.379999999997"/>
    <n v="63451.9"/>
    <n v="16412.62"/>
    <n v="26850.240000000002"/>
    <n v="130518.41"/>
    <n v="2237141.92"/>
    <n v="1956.78"/>
    <n v="1335.15"/>
    <n v="6306.19"/>
    <n v="70260.160000000003"/>
    <n v="0"/>
    <n v="638.21"/>
    <n v="5551.99"/>
    <n v="5812.76"/>
    <n v="2023123.46"/>
    <n v="3978113.83"/>
    <n v="5308267.2"/>
    <n v="7445025.3099999996"/>
    <n v="15809033.800000001"/>
    <n v="154245.48000000001"/>
    <n v="120952.31"/>
    <n v="177633.32"/>
    <n v="321228.3"/>
    <n v="958622.7"/>
    <n v="0"/>
    <n v="290488.63"/>
    <n v="179159.62"/>
    <n v="366595.3"/>
    <n v="496818.46"/>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3947978.74"/>
    <n v="77665270.670000002"/>
    <n v="-6752577.7400000002"/>
    <n v="84417848.409999996"/>
  </r>
  <r>
    <x v="0"/>
    <x v="2"/>
    <x v="2"/>
    <x v="8"/>
    <x v="8"/>
    <n v="0"/>
    <n v="0"/>
    <n v="0"/>
    <n v="0"/>
    <n v="0"/>
    <n v="0"/>
    <n v="0"/>
    <n v="0"/>
    <n v="0"/>
    <n v="0"/>
    <n v="0"/>
    <n v="0"/>
    <n v="0"/>
    <n v="0"/>
    <n v="0"/>
    <n v="1134951.51"/>
    <n v="2140323.88"/>
    <n v="2769280.91"/>
    <n v="37806586.020000003"/>
    <n v="47035.27"/>
    <n v="45199.22"/>
    <n v="66723.570000000007"/>
    <n v="477531.59"/>
    <n v="0"/>
    <n v="42229.88"/>
    <n v="37279.29"/>
    <n v="68046.13"/>
    <n v="16893.55"/>
    <n v="26678.82"/>
    <n v="128760.69"/>
    <n v="2182525.04"/>
    <n v="2322.63"/>
    <n v="1584.06"/>
    <n v="7308.18"/>
    <n v="92880.88"/>
    <n v="0"/>
    <n v="767.35"/>
    <n v="5599.52"/>
    <n v="6403.44"/>
    <n v="2004772.08"/>
    <n v="4050046.93"/>
    <n v="4336580.16"/>
    <n v="7952210.3300000001"/>
    <n v="16277557.859999999"/>
    <n v="159481.97"/>
    <n v="116643.63"/>
    <n v="181658.27"/>
    <n v="300537.09000000003"/>
    <n v="881007.01"/>
    <n v="0"/>
    <n v="303225.46999999997"/>
    <n v="226939.8"/>
    <n v="350043.17"/>
    <n v="535476.67000000004"/>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3955924.09"/>
    <n v="77889139.099999994"/>
    <n v="-6893952.7699999996"/>
    <n v="84783091.870000005"/>
  </r>
  <r>
    <x v="0"/>
    <x v="2"/>
    <x v="2"/>
    <x v="9"/>
    <x v="9"/>
    <n v="0"/>
    <n v="0"/>
    <n v="0"/>
    <n v="0"/>
    <n v="0"/>
    <n v="0"/>
    <n v="0"/>
    <n v="0"/>
    <n v="0"/>
    <n v="0"/>
    <n v="0"/>
    <n v="0"/>
    <n v="0"/>
    <n v="0"/>
    <n v="0"/>
    <n v="1156212.98"/>
    <n v="2136074.29"/>
    <n v="2804347.42"/>
    <n v="38289296.189999998"/>
    <n v="51689.32"/>
    <n v="47626.68"/>
    <n v="71392.28"/>
    <n v="520404.74"/>
    <n v="0"/>
    <n v="46406.48"/>
    <n v="39365.050000000003"/>
    <n v="71061.649999999994"/>
    <n v="15703.16"/>
    <n v="26337.65"/>
    <n v="127805.04"/>
    <n v="2201104.52"/>
    <n v="2342.37"/>
    <n v="1597.5"/>
    <n v="7541.14"/>
    <n v="91849.9"/>
    <n v="0"/>
    <n v="764.84"/>
    <n v="5760.85"/>
    <n v="7009.46"/>
    <n v="2307831.4900000002"/>
    <n v="3752174.96"/>
    <n v="3251559.41"/>
    <n v="8589943.3300000001"/>
    <n v="16419328.16"/>
    <n v="173999.05"/>
    <n v="126283.72"/>
    <n v="192941.62"/>
    <n v="341470.59"/>
    <n v="966782.05"/>
    <n v="0"/>
    <n v="284888.46000000002"/>
    <n v="367094.41"/>
    <n v="320347.23"/>
    <n v="593898.11"/>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332517.5"/>
    <n v="78458611.730000004"/>
    <n v="-6951624.3700000001"/>
    <n v="85410236.099999994"/>
  </r>
  <r>
    <x v="0"/>
    <x v="2"/>
    <x v="2"/>
    <x v="10"/>
    <x v="10"/>
    <n v="0"/>
    <n v="0"/>
    <n v="0"/>
    <n v="0"/>
    <n v="0"/>
    <n v="0"/>
    <n v="0"/>
    <n v="0"/>
    <n v="0"/>
    <n v="0"/>
    <n v="0"/>
    <n v="0"/>
    <n v="0"/>
    <n v="0"/>
    <n v="0"/>
    <n v="1160725.04"/>
    <n v="2237587.7599999998"/>
    <n v="2766256.96"/>
    <n v="38549225.009999998"/>
    <n v="57578.37"/>
    <n v="54324.24"/>
    <n v="74977.83"/>
    <n v="556527.34"/>
    <n v="0"/>
    <n v="53162.45"/>
    <n v="42889.03"/>
    <n v="75726.210000000006"/>
    <n v="17486.759999999998"/>
    <n v="27289.02"/>
    <n v="127475.06"/>
    <n v="2253784.17"/>
    <n v="2162.39"/>
    <n v="1361.15"/>
    <n v="6302.37"/>
    <n v="68222.73"/>
    <n v="0"/>
    <n v="507.68"/>
    <n v="5694.54"/>
    <n v="7610.38"/>
    <n v="2178367.36"/>
    <n v="3086258.77"/>
    <n v="3241429.87"/>
    <n v="9173616.1699999999"/>
    <n v="16825187.530000001"/>
    <n v="176112.77"/>
    <n v="139493.54"/>
    <n v="183600.2"/>
    <n v="339692.88"/>
    <n v="939307.45"/>
    <n v="0"/>
    <n v="344620.99"/>
    <n v="384178.28"/>
    <n v="323340.5"/>
    <n v="634638.43999999994"/>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472031.76"/>
    <n v="79073678.540000007"/>
    <n v="-7043042.7000000002"/>
    <n v="86116721.239999995"/>
  </r>
  <r>
    <x v="0"/>
    <x v="2"/>
    <x v="2"/>
    <x v="11"/>
    <x v="11"/>
    <n v="0"/>
    <n v="0"/>
    <n v="0"/>
    <n v="0"/>
    <n v="0"/>
    <n v="0"/>
    <n v="0"/>
    <n v="0"/>
    <n v="0"/>
    <n v="0"/>
    <n v="0"/>
    <n v="0"/>
    <n v="0"/>
    <n v="0"/>
    <n v="0"/>
    <n v="1137205.6599999999"/>
    <n v="2299338.66"/>
    <n v="2787383.96"/>
    <n v="39543670.710000001"/>
    <n v="34923.050000000003"/>
    <n v="32500.86"/>
    <n v="44952.03"/>
    <n v="285800.2"/>
    <n v="0"/>
    <n v="34344.620000000003"/>
    <n v="40560.42"/>
    <n v="79122.679999999993"/>
    <n v="14909.61"/>
    <n v="28851.200000000001"/>
    <n v="127261"/>
    <n v="2277768.4"/>
    <n v="2023.93"/>
    <n v="1396.09"/>
    <n v="6506.38"/>
    <n v="67306.11"/>
    <n v="0"/>
    <n v="668.99"/>
    <n v="5733.27"/>
    <n v="8226.4699999999993"/>
    <n v="1953387.32"/>
    <n v="2199626.84"/>
    <n v="3939422.1"/>
    <n v="10730287.83"/>
    <n v="17387239.84"/>
    <n v="126378.21"/>
    <n v="100104.12"/>
    <n v="135535.65"/>
    <n v="245396.05"/>
    <n v="621554.06000000006"/>
    <n v="0"/>
    <n v="261389.61"/>
    <n v="363764.52"/>
    <n v="336322.04"/>
    <n v="661441.74"/>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3495951.1"/>
    <n v="80684993.340000004"/>
    <n v="-7237310.8899999997"/>
    <n v="87922304.230000004"/>
  </r>
  <r>
    <x v="0"/>
    <x v="3"/>
    <x v="3"/>
    <x v="0"/>
    <x v="0"/>
    <n v="1707.06"/>
    <n v="3462.16"/>
    <n v="3051.43"/>
    <n v="0"/>
    <n v="0"/>
    <n v="0"/>
    <n v="0"/>
    <n v="0"/>
    <n v="0"/>
    <n v="0"/>
    <n v="0"/>
    <n v="0"/>
    <n v="0"/>
    <n v="0"/>
    <n v="0"/>
    <n v="1743507.77"/>
    <n v="2835753.43"/>
    <n v="4153850.23"/>
    <n v="42224975.479999997"/>
    <n v="60223.93"/>
    <n v="63138.82"/>
    <n v="79348.429999999993"/>
    <n v="386455.19"/>
    <n v="82992.740000000005"/>
    <n v="177309.32"/>
    <n v="200748.22"/>
    <n v="923863.36"/>
    <n v="50479.94"/>
    <n v="82065.14"/>
    <n v="384988.64"/>
    <n v="8841998.4299999997"/>
    <n v="191.9"/>
    <n v="297.66000000000003"/>
    <n v="935.59"/>
    <n v="29884.38"/>
    <n v="1711.65"/>
    <n v="1660.14"/>
    <n v="11251.95"/>
    <n v="56414.54"/>
    <n v="975201.08"/>
    <n v="1451439.99"/>
    <n v="2204819.52"/>
    <n v="3647271.26"/>
    <n v="18071758.16"/>
    <n v="68115.23"/>
    <n v="69670.34"/>
    <n v="83793.8"/>
    <n v="123012.84"/>
    <n v="308953.89"/>
    <n v="92370.57"/>
    <n v="213278.55"/>
    <n v="262980.05"/>
    <n v="446745.12"/>
    <n v="876263.35"/>
    <n v="0"/>
    <n v="0"/>
    <n v="0"/>
    <n v="0"/>
    <n v="0"/>
    <x v="0"/>
    <x v="0"/>
    <x v="0"/>
    <x v="0"/>
    <x v="0"/>
    <x v="0"/>
    <x v="0"/>
    <x v="0"/>
    <x v="0"/>
    <x v="0"/>
    <n v="0"/>
    <n v="0"/>
    <n v="0"/>
    <n v="0"/>
    <n v="0"/>
    <x v="0"/>
    <x v="0"/>
    <x v="0"/>
    <x v="0"/>
    <x v="0"/>
    <x v="0"/>
    <x v="0"/>
    <x v="0"/>
    <x v="0"/>
    <x v="0"/>
    <n v="7177.88"/>
    <n v="18560.830000000002"/>
    <n v="26285.32"/>
    <n v="55994.55"/>
    <n v="457529.93"/>
    <n v="0"/>
    <n v="0"/>
    <n v="0"/>
    <n v="0"/>
    <n v="0"/>
    <x v="0"/>
    <n v="0"/>
    <n v="0"/>
    <x v="0"/>
    <x v="0"/>
    <x v="0"/>
    <x v="0"/>
    <x v="0"/>
    <x v="0"/>
    <x v="0"/>
    <x v="0"/>
    <x v="0"/>
    <x v="0"/>
    <x v="0"/>
    <x v="0"/>
    <x v="0"/>
    <x v="0"/>
    <x v="0"/>
    <x v="0"/>
    <x v="0"/>
    <x v="0"/>
    <x v="0"/>
    <x v="0"/>
    <x v="0"/>
    <x v="0"/>
    <x v="0"/>
    <x v="0"/>
    <x v="0"/>
    <x v="0"/>
    <x v="0"/>
    <x v="0"/>
    <x v="0"/>
    <n v="4621611.5599999996"/>
    <n v="86009637.010000005"/>
    <n v="-5853852.7800000003"/>
    <n v="91863489.790000007"/>
  </r>
  <r>
    <x v="0"/>
    <x v="3"/>
    <x v="3"/>
    <x v="1"/>
    <x v="1"/>
    <n v="2149.2399999999998"/>
    <n v="3035.56"/>
    <n v="1754.99"/>
    <n v="0"/>
    <n v="0"/>
    <n v="0"/>
    <n v="0"/>
    <n v="0"/>
    <n v="0"/>
    <n v="0"/>
    <n v="0"/>
    <n v="0"/>
    <n v="0"/>
    <n v="0"/>
    <n v="0"/>
    <n v="1737116.47"/>
    <n v="2796071.76"/>
    <n v="4151932.83"/>
    <n v="42518675.890000001"/>
    <n v="67684.44"/>
    <n v="68965.09"/>
    <n v="95437.49"/>
    <n v="487546.22"/>
    <n v="92940.14"/>
    <n v="176640.82"/>
    <n v="203446.83"/>
    <n v="912157.9"/>
    <n v="48916.639999999999"/>
    <n v="84523.12"/>
    <n v="391784.83"/>
    <n v="8938602.1199999992"/>
    <n v="256.13"/>
    <n v="387.12"/>
    <n v="1090.96"/>
    <n v="46694.34"/>
    <n v="1254.3800000000001"/>
    <n v="2634.38"/>
    <n v="10896.99"/>
    <n v="56284.01"/>
    <n v="945644.56"/>
    <n v="1511840.32"/>
    <n v="2200603.88"/>
    <n v="3730233.25"/>
    <n v="18669897.23"/>
    <n v="61376.06"/>
    <n v="58571.199999999997"/>
    <n v="77813.119999999995"/>
    <n v="115174.21"/>
    <n v="317433.3"/>
    <n v="104972.31"/>
    <n v="209632.06"/>
    <n v="275638.40000000002"/>
    <n v="464216.08"/>
    <n v="929171.75"/>
    <n v="0"/>
    <n v="0"/>
    <n v="0"/>
    <n v="0"/>
    <n v="0"/>
    <x v="0"/>
    <x v="0"/>
    <x v="0"/>
    <x v="0"/>
    <x v="0"/>
    <x v="0"/>
    <x v="0"/>
    <x v="0"/>
    <x v="0"/>
    <x v="0"/>
    <n v="0"/>
    <n v="0"/>
    <n v="0"/>
    <n v="0"/>
    <n v="0"/>
    <x v="0"/>
    <x v="0"/>
    <x v="0"/>
    <x v="0"/>
    <x v="0"/>
    <x v="0"/>
    <x v="0"/>
    <x v="0"/>
    <x v="0"/>
    <x v="0"/>
    <n v="9590.81"/>
    <n v="19043.169999999998"/>
    <n v="32793.019999999997"/>
    <n v="69779.83"/>
    <n v="564269.01"/>
    <n v="0"/>
    <n v="0"/>
    <n v="0"/>
    <n v="0"/>
    <n v="0"/>
    <x v="0"/>
    <n v="0"/>
    <n v="0"/>
    <x v="0"/>
    <x v="0"/>
    <x v="0"/>
    <x v="0"/>
    <x v="0"/>
    <x v="0"/>
    <x v="0"/>
    <x v="0"/>
    <x v="0"/>
    <x v="0"/>
    <x v="0"/>
    <x v="0"/>
    <x v="0"/>
    <x v="0"/>
    <x v="0"/>
    <x v="0"/>
    <x v="0"/>
    <x v="0"/>
    <x v="0"/>
    <x v="0"/>
    <x v="0"/>
    <x v="0"/>
    <x v="0"/>
    <x v="0"/>
    <x v="0"/>
    <x v="0"/>
    <x v="0"/>
    <x v="0"/>
    <x v="0"/>
    <n v="4838315.7300000004"/>
    <n v="87357509.689999998"/>
    <n v="-5909064.5700000003"/>
    <n v="93266574.260000005"/>
  </r>
  <r>
    <x v="0"/>
    <x v="3"/>
    <x v="3"/>
    <x v="2"/>
    <x v="2"/>
    <n v="1739.12"/>
    <n v="2604.9499999999998"/>
    <n v="446.48"/>
    <n v="0"/>
    <n v="0"/>
    <n v="0"/>
    <n v="0"/>
    <n v="0"/>
    <n v="0"/>
    <n v="0"/>
    <n v="0"/>
    <n v="0"/>
    <n v="0"/>
    <n v="0"/>
    <n v="0"/>
    <n v="1799392.46"/>
    <n v="2877250.4"/>
    <n v="4189685.97"/>
    <n v="43931342.850000001"/>
    <n v="66254.42"/>
    <n v="72650.11"/>
    <n v="93136.99"/>
    <n v="542907.73"/>
    <n v="76439.98"/>
    <n v="168433.3"/>
    <n v="190357.25"/>
    <n v="868252.21"/>
    <n v="48703.09"/>
    <n v="83467.990000000005"/>
    <n v="392801.79"/>
    <n v="9021672.3300000001"/>
    <n v="864.51"/>
    <n v="1230.44"/>
    <n v="4147.76"/>
    <n v="134597.35"/>
    <n v="1265.6400000000001"/>
    <n v="2951.85"/>
    <n v="11072.64"/>
    <n v="55306.99"/>
    <n v="916084.22"/>
    <n v="1669446.21"/>
    <n v="2101370.42"/>
    <n v="3874971.14"/>
    <n v="18985535.010000002"/>
    <n v="57509.74"/>
    <n v="55900.800000000003"/>
    <n v="75218.66"/>
    <n v="120181.71"/>
    <n v="390083.09"/>
    <n v="94063.85"/>
    <n v="208420.48000000001"/>
    <n v="267719.78999999998"/>
    <n v="455420.47"/>
    <n v="920744.39"/>
    <n v="0"/>
    <n v="0"/>
    <n v="0"/>
    <n v="0"/>
    <n v="0"/>
    <x v="0"/>
    <x v="0"/>
    <x v="0"/>
    <x v="0"/>
    <x v="0"/>
    <x v="0"/>
    <x v="0"/>
    <x v="0"/>
    <x v="0"/>
    <x v="0"/>
    <n v="0"/>
    <n v="0"/>
    <n v="0"/>
    <n v="0"/>
    <n v="0"/>
    <x v="0"/>
    <x v="0"/>
    <x v="0"/>
    <x v="0"/>
    <x v="0"/>
    <x v="0"/>
    <x v="0"/>
    <x v="0"/>
    <x v="0"/>
    <x v="0"/>
    <n v="11581.42"/>
    <n v="21948.93"/>
    <n v="37907.9"/>
    <n v="78111.19"/>
    <n v="616727.51"/>
    <n v="0"/>
    <n v="0"/>
    <n v="0"/>
    <n v="0"/>
    <n v="0"/>
    <x v="0"/>
    <n v="0"/>
    <n v="0"/>
    <x v="0"/>
    <x v="0"/>
    <x v="0"/>
    <x v="0"/>
    <x v="0"/>
    <x v="0"/>
    <x v="0"/>
    <x v="0"/>
    <x v="0"/>
    <x v="0"/>
    <x v="0"/>
    <x v="0"/>
    <x v="0"/>
    <x v="0"/>
    <x v="0"/>
    <x v="0"/>
    <x v="0"/>
    <x v="0"/>
    <x v="0"/>
    <x v="0"/>
    <x v="0"/>
    <x v="0"/>
    <x v="0"/>
    <x v="0"/>
    <x v="0"/>
    <x v="0"/>
    <x v="0"/>
    <x v="0"/>
    <x v="0"/>
    <n v="4935132.1500000004"/>
    <n v="89784224.870000005"/>
    <n v="-5813698.6600000001"/>
    <n v="95597923.530000001"/>
  </r>
  <r>
    <x v="0"/>
    <x v="3"/>
    <x v="3"/>
    <x v="3"/>
    <x v="3"/>
    <n v="1296.44"/>
    <n v="1754.99"/>
    <n v="0"/>
    <n v="0"/>
    <n v="0"/>
    <n v="0"/>
    <n v="0"/>
    <n v="0"/>
    <n v="0"/>
    <n v="0"/>
    <n v="0"/>
    <n v="0"/>
    <n v="0"/>
    <n v="0"/>
    <n v="0"/>
    <n v="1813357.26"/>
    <n v="2942604.82"/>
    <n v="4154493.12"/>
    <n v="44310042.960000001"/>
    <n v="77228.45"/>
    <n v="83398.13"/>
    <n v="111639.37"/>
    <n v="733765.44"/>
    <n v="75147.48"/>
    <n v="162466.53"/>
    <n v="178017.05"/>
    <n v="835656.31"/>
    <n v="47514.23"/>
    <n v="86058.87"/>
    <n v="398899.91"/>
    <n v="9047294.2300000004"/>
    <n v="161.91"/>
    <n v="244.7"/>
    <n v="689.57"/>
    <n v="28334.400000000001"/>
    <n v="1785.07"/>
    <n v="3578.1"/>
    <n v="13779.33"/>
    <n v="131495.5"/>
    <n v="1068466.2"/>
    <n v="1597069.1"/>
    <n v="2186335.23"/>
    <n v="3936407.16"/>
    <n v="19560227.25"/>
    <n v="58721.17"/>
    <n v="56593.21"/>
    <n v="78243.59"/>
    <n v="125008.71"/>
    <n v="334909.93"/>
    <n v="84809.88"/>
    <n v="192427.47"/>
    <n v="247668.96"/>
    <n v="418620.69"/>
    <n v="816016.39"/>
    <n v="0"/>
    <n v="0"/>
    <n v="0"/>
    <n v="0"/>
    <n v="0"/>
    <x v="0"/>
    <x v="0"/>
    <x v="0"/>
    <x v="0"/>
    <x v="0"/>
    <x v="0"/>
    <x v="0"/>
    <x v="0"/>
    <x v="0"/>
    <x v="0"/>
    <n v="0"/>
    <n v="0"/>
    <n v="0"/>
    <n v="0"/>
    <n v="0"/>
    <x v="0"/>
    <x v="0"/>
    <x v="0"/>
    <x v="0"/>
    <x v="0"/>
    <x v="0"/>
    <x v="0"/>
    <x v="0"/>
    <x v="0"/>
    <x v="0"/>
    <n v="13021.54"/>
    <n v="24111.68"/>
    <n v="41167.620000000003"/>
    <n v="84925.11"/>
    <n v="666439.78"/>
    <n v="0"/>
    <n v="0"/>
    <n v="0"/>
    <n v="0"/>
    <n v="0"/>
    <x v="0"/>
    <n v="0"/>
    <n v="0"/>
    <x v="0"/>
    <x v="0"/>
    <x v="0"/>
    <x v="0"/>
    <x v="0"/>
    <x v="0"/>
    <x v="0"/>
    <x v="0"/>
    <x v="0"/>
    <x v="0"/>
    <x v="0"/>
    <x v="0"/>
    <x v="0"/>
    <x v="0"/>
    <x v="0"/>
    <x v="0"/>
    <x v="0"/>
    <x v="0"/>
    <x v="0"/>
    <x v="0"/>
    <x v="0"/>
    <x v="0"/>
    <x v="0"/>
    <x v="0"/>
    <x v="0"/>
    <x v="0"/>
    <x v="0"/>
    <x v="0"/>
    <x v="0"/>
    <n v="4850407.34"/>
    <n v="91220109.629999995"/>
    <n v="-5611785.21"/>
    <n v="96831894.840000004"/>
  </r>
  <r>
    <x v="0"/>
    <x v="3"/>
    <x v="3"/>
    <x v="4"/>
    <x v="4"/>
    <n v="1308.51"/>
    <n v="446.48"/>
    <n v="0"/>
    <n v="0"/>
    <n v="0"/>
    <n v="0"/>
    <n v="0"/>
    <n v="0"/>
    <n v="0"/>
    <n v="0"/>
    <n v="0"/>
    <n v="0"/>
    <n v="0"/>
    <n v="0"/>
    <n v="0"/>
    <n v="1812027.42"/>
    <n v="2881037.89"/>
    <n v="4287860.16"/>
    <n v="45395966.039999999"/>
    <n v="79738.91"/>
    <n v="86634.04"/>
    <n v="119330.46"/>
    <n v="886836.53"/>
    <n v="77168.259999999995"/>
    <n v="182989.53"/>
    <n v="175109.48"/>
    <n v="837010.07"/>
    <n v="49748.3"/>
    <n v="123690.56"/>
    <n v="404540.99"/>
    <n v="9069308.0500000007"/>
    <n v="315.73"/>
    <n v="477.2"/>
    <n v="1519.75"/>
    <n v="45449.31"/>
    <n v="1470.71"/>
    <n v="2555.38"/>
    <n v="11636.59"/>
    <n v="86889.48"/>
    <n v="1123631.5900000001"/>
    <n v="1471496.79"/>
    <n v="2261313.83"/>
    <n v="4114932.57"/>
    <n v="20063057.359999999"/>
    <n v="55162.61"/>
    <n v="54933.46"/>
    <n v="75181.7"/>
    <n v="124222.93"/>
    <n v="353792.24"/>
    <n v="87094.79"/>
    <n v="190393.71"/>
    <n v="253231.2"/>
    <n v="438987.52000000002"/>
    <n v="880651.75"/>
    <n v="0"/>
    <n v="0"/>
    <n v="0"/>
    <n v="0"/>
    <n v="0"/>
    <x v="0"/>
    <x v="0"/>
    <x v="0"/>
    <x v="0"/>
    <x v="0"/>
    <x v="0"/>
    <x v="0"/>
    <x v="0"/>
    <x v="0"/>
    <x v="0"/>
    <n v="0"/>
    <n v="0"/>
    <n v="0"/>
    <n v="0"/>
    <n v="0"/>
    <x v="0"/>
    <x v="0"/>
    <x v="0"/>
    <x v="0"/>
    <x v="0"/>
    <x v="0"/>
    <x v="0"/>
    <x v="0"/>
    <x v="0"/>
    <x v="0"/>
    <n v="14359.7"/>
    <n v="27219.9"/>
    <n v="46285.64"/>
    <n v="95858.92"/>
    <n v="735453.2"/>
    <n v="0"/>
    <n v="0"/>
    <n v="0"/>
    <n v="0"/>
    <n v="0"/>
    <x v="0"/>
    <n v="0"/>
    <n v="0"/>
    <x v="0"/>
    <x v="0"/>
    <x v="0"/>
    <x v="0"/>
    <x v="0"/>
    <x v="0"/>
    <x v="0"/>
    <x v="0"/>
    <x v="0"/>
    <x v="0"/>
    <x v="0"/>
    <x v="0"/>
    <x v="0"/>
    <x v="0"/>
    <x v="0"/>
    <x v="0"/>
    <x v="0"/>
    <x v="0"/>
    <x v="0"/>
    <x v="0"/>
    <x v="0"/>
    <x v="0"/>
    <x v="0"/>
    <x v="0"/>
    <x v="0"/>
    <x v="0"/>
    <x v="0"/>
    <x v="0"/>
    <x v="0"/>
    <n v="5108783.34"/>
    <n v="93381319.480000004"/>
    <n v="-5707007.7599999998"/>
    <n v="99088327.239999995"/>
  </r>
  <r>
    <x v="0"/>
    <x v="3"/>
    <x v="3"/>
    <x v="5"/>
    <x v="5"/>
    <n v="446.48"/>
    <n v="0"/>
    <n v="0"/>
    <n v="0"/>
    <n v="0"/>
    <n v="0"/>
    <n v="0"/>
    <n v="0"/>
    <n v="0"/>
    <n v="0"/>
    <n v="0"/>
    <n v="0"/>
    <n v="0"/>
    <n v="0"/>
    <n v="0"/>
    <n v="1981246.39"/>
    <n v="2975476.5"/>
    <n v="4378232.29"/>
    <n v="46319750.719999999"/>
    <n v="65345.88"/>
    <n v="63688.03"/>
    <n v="82713.81"/>
    <n v="670974.43000000005"/>
    <n v="54903.48"/>
    <n v="157082.45000000001"/>
    <n v="175445.68"/>
    <n v="906058.84"/>
    <n v="50458.2"/>
    <n v="87147.29"/>
    <n v="410973.66"/>
    <n v="9209480.6500000004"/>
    <n v="201.1"/>
    <n v="303.94"/>
    <n v="967.98"/>
    <n v="32854.53"/>
    <n v="1483.91"/>
    <n v="2993.57"/>
    <n v="10280.17"/>
    <n v="85635.65"/>
    <n v="1105840.07"/>
    <n v="1553459.7"/>
    <n v="2489430.4900000002"/>
    <n v="4100026.26"/>
    <n v="20681016.760000002"/>
    <n v="46650.89"/>
    <n v="45520.93"/>
    <n v="50515.28"/>
    <n v="81982.17"/>
    <n v="237275.71"/>
    <n v="71531.240000000005"/>
    <n v="172661.57"/>
    <n v="232939.83"/>
    <n v="422474.83"/>
    <n v="914912.2"/>
    <n v="0"/>
    <n v="0"/>
    <n v="0"/>
    <n v="0"/>
    <n v="0"/>
    <x v="0"/>
    <x v="0"/>
    <x v="0"/>
    <x v="0"/>
    <x v="0"/>
    <x v="0"/>
    <x v="0"/>
    <x v="0"/>
    <x v="0"/>
    <x v="0"/>
    <n v="0"/>
    <n v="0"/>
    <n v="0"/>
    <n v="0"/>
    <n v="0"/>
    <x v="0"/>
    <x v="0"/>
    <x v="0"/>
    <x v="0"/>
    <x v="0"/>
    <x v="0"/>
    <x v="0"/>
    <x v="0"/>
    <x v="0"/>
    <x v="0"/>
    <n v="16094.76"/>
    <n v="31211.14"/>
    <n v="53969.87"/>
    <n v="107455.21"/>
    <n v="804473.36"/>
    <n v="0"/>
    <n v="0"/>
    <n v="0"/>
    <n v="0"/>
    <n v="0"/>
    <x v="0"/>
    <n v="0"/>
    <n v="0"/>
    <x v="0"/>
    <x v="0"/>
    <x v="0"/>
    <x v="0"/>
    <x v="0"/>
    <x v="0"/>
    <x v="0"/>
    <x v="0"/>
    <x v="0"/>
    <x v="0"/>
    <x v="0"/>
    <x v="0"/>
    <x v="0"/>
    <x v="0"/>
    <x v="0"/>
    <x v="0"/>
    <x v="0"/>
    <x v="0"/>
    <x v="0"/>
    <x v="0"/>
    <x v="0"/>
    <x v="0"/>
    <x v="0"/>
    <x v="0"/>
    <x v="0"/>
    <x v="0"/>
    <x v="0"/>
    <x v="0"/>
    <x v="0"/>
    <n v="4587398.0999999996"/>
    <n v="95036237.129999995"/>
    <n v="-5907350.7699999996"/>
    <n v="100943587.90000001"/>
  </r>
  <r>
    <x v="0"/>
    <x v="3"/>
    <x v="3"/>
    <x v="6"/>
    <x v="6"/>
    <n v="0"/>
    <n v="0"/>
    <n v="0"/>
    <n v="0"/>
    <n v="0"/>
    <n v="0"/>
    <n v="0"/>
    <n v="0"/>
    <n v="0"/>
    <n v="0"/>
    <n v="0"/>
    <n v="0"/>
    <n v="0"/>
    <n v="0"/>
    <n v="0"/>
    <n v="1942560.77"/>
    <n v="2989788.8"/>
    <n v="4410967.63"/>
    <n v="46648773.590000004"/>
    <n v="85438.64"/>
    <n v="86739.37"/>
    <n v="113278.84"/>
    <n v="985374.5"/>
    <n v="50571.040000000001"/>
    <n v="159383.28"/>
    <n v="170976.63"/>
    <n v="855478.85"/>
    <n v="49560.18"/>
    <n v="87359.1"/>
    <n v="405821.21"/>
    <n v="9090882.7100000009"/>
    <n v="703.95"/>
    <n v="1063.9000000000001"/>
    <n v="3388.33"/>
    <n v="83782.06"/>
    <n v="1497.24"/>
    <n v="2788.54"/>
    <n v="11193.07"/>
    <n v="84806.65"/>
    <n v="1055870.71"/>
    <n v="1593444.29"/>
    <n v="2645061.91"/>
    <n v="4202643.83"/>
    <n v="20934336.379999999"/>
    <n v="59199.72"/>
    <n v="59459.08"/>
    <n v="71177.64"/>
    <n v="124902.31"/>
    <n v="378833.87"/>
    <n v="64466.71"/>
    <n v="169777.7"/>
    <n v="224099.64"/>
    <n v="403903.7"/>
    <n v="890804.79"/>
    <n v="0"/>
    <n v="0"/>
    <n v="0"/>
    <n v="0"/>
    <n v="0"/>
    <x v="0"/>
    <x v="0"/>
    <x v="0"/>
    <x v="0"/>
    <x v="0"/>
    <x v="0"/>
    <x v="0"/>
    <x v="0"/>
    <x v="0"/>
    <x v="0"/>
    <n v="0"/>
    <n v="0"/>
    <n v="0"/>
    <n v="0"/>
    <n v="0"/>
    <x v="0"/>
    <x v="0"/>
    <x v="0"/>
    <x v="0"/>
    <x v="0"/>
    <x v="0"/>
    <x v="0"/>
    <x v="0"/>
    <x v="0"/>
    <x v="0"/>
    <n v="17364.25"/>
    <n v="34108.54"/>
    <n v="57046.3"/>
    <n v="114950.72"/>
    <n v="850262.26"/>
    <n v="275.2"/>
    <n v="282.02"/>
    <n v="436.19"/>
    <n v="921.95"/>
    <n v="5548.34"/>
    <x v="0"/>
    <n v="135.09"/>
    <n v="0"/>
    <x v="0"/>
    <x v="0"/>
    <x v="0"/>
    <x v="0"/>
    <x v="0"/>
    <x v="0"/>
    <x v="0"/>
    <x v="0"/>
    <x v="0"/>
    <x v="0"/>
    <x v="0"/>
    <x v="0"/>
    <x v="0"/>
    <x v="0"/>
    <x v="0"/>
    <x v="0"/>
    <x v="0"/>
    <x v="0"/>
    <x v="0"/>
    <x v="0"/>
    <x v="0"/>
    <x v="0"/>
    <x v="0"/>
    <x v="0"/>
    <x v="0"/>
    <x v="0"/>
    <x v="0"/>
    <x v="0"/>
    <x v="0"/>
    <n v="5150688.84"/>
    <n v="96086396.700000003"/>
    <n v="-6195095.3200000003"/>
    <n v="102281492.02"/>
  </r>
  <r>
    <x v="0"/>
    <x v="3"/>
    <x v="3"/>
    <x v="7"/>
    <x v="7"/>
    <n v="0"/>
    <n v="0"/>
    <n v="0"/>
    <n v="0"/>
    <n v="0"/>
    <n v="0"/>
    <n v="0"/>
    <n v="0"/>
    <n v="0"/>
    <n v="0"/>
    <n v="0"/>
    <n v="0"/>
    <n v="0"/>
    <n v="0"/>
    <n v="0"/>
    <n v="1864031.59"/>
    <n v="3026376.45"/>
    <n v="4452069.17"/>
    <n v="47003777.670000002"/>
    <n v="78888.73"/>
    <n v="78903.31"/>
    <n v="101651.07"/>
    <n v="1009982.36"/>
    <n v="49852.76"/>
    <n v="158523.76"/>
    <n v="164244.99"/>
    <n v="832269.65"/>
    <n v="50286.67"/>
    <n v="87932.96"/>
    <n v="409940.57"/>
    <n v="9083321.1300000008"/>
    <n v="340.92"/>
    <n v="515.26"/>
    <n v="1640.98"/>
    <n v="46025.33"/>
    <n v="1510.7"/>
    <n v="2633"/>
    <n v="11605.81"/>
    <n v="83970.21"/>
    <n v="1055458.54"/>
    <n v="1583044.12"/>
    <n v="2681102.58"/>
    <n v="4198931.72"/>
    <n v="20937481.280000001"/>
    <n v="58859.64"/>
    <n v="57647.23"/>
    <n v="71920.56"/>
    <n v="121520.62"/>
    <n v="333383.37"/>
    <n v="65159.51"/>
    <n v="168464.29"/>
    <n v="222830.13"/>
    <n v="405989.87"/>
    <n v="968957.88"/>
    <n v="0"/>
    <n v="0"/>
    <n v="0"/>
    <n v="0"/>
    <n v="0"/>
    <x v="0"/>
    <x v="0"/>
    <x v="0"/>
    <x v="0"/>
    <x v="0"/>
    <x v="0"/>
    <x v="0"/>
    <x v="0"/>
    <x v="0"/>
    <x v="0"/>
    <n v="0"/>
    <n v="0"/>
    <n v="0"/>
    <n v="0"/>
    <n v="0"/>
    <x v="0"/>
    <x v="0"/>
    <x v="0"/>
    <x v="0"/>
    <x v="0"/>
    <x v="0"/>
    <x v="0"/>
    <x v="0"/>
    <x v="0"/>
    <x v="0"/>
    <n v="18974.830000000002"/>
    <n v="36434.39"/>
    <n v="60644.43"/>
    <n v="121990.22"/>
    <n v="869468.88"/>
    <n v="0"/>
    <n v="0"/>
    <n v="0"/>
    <n v="0"/>
    <n v="0"/>
    <x v="0"/>
    <n v="0"/>
    <n v="0"/>
    <x v="0"/>
    <x v="0"/>
    <x v="0"/>
    <x v="0"/>
    <x v="0"/>
    <x v="0"/>
    <x v="0"/>
    <x v="0"/>
    <x v="0"/>
    <x v="0"/>
    <x v="0"/>
    <x v="0"/>
    <x v="0"/>
    <x v="0"/>
    <x v="0"/>
    <x v="0"/>
    <x v="0"/>
    <x v="0"/>
    <x v="0"/>
    <x v="0"/>
    <x v="0"/>
    <x v="0"/>
    <x v="0"/>
    <x v="0"/>
    <x v="0"/>
    <x v="0"/>
    <x v="0"/>
    <x v="0"/>
    <x v="0"/>
    <n v="5097291.9400000004"/>
    <n v="96272960.959999993"/>
    <n v="-6365598.1799999997"/>
    <n v="102638559.14"/>
  </r>
  <r>
    <x v="0"/>
    <x v="3"/>
    <x v="3"/>
    <x v="8"/>
    <x v="8"/>
    <n v="0"/>
    <n v="0"/>
    <n v="0"/>
    <n v="0"/>
    <n v="0"/>
    <n v="0"/>
    <n v="0"/>
    <n v="0"/>
    <n v="0"/>
    <n v="0"/>
    <n v="0"/>
    <n v="0"/>
    <n v="0"/>
    <n v="0"/>
    <n v="0"/>
    <n v="1875326.47"/>
    <n v="3083354.35"/>
    <n v="4621912.91"/>
    <n v="47420062.25"/>
    <n v="76688.31"/>
    <n v="77424.87"/>
    <n v="104146.39"/>
    <n v="1024971.96"/>
    <n v="58537.98"/>
    <n v="165051.63"/>
    <n v="175018.29"/>
    <n v="910796.77"/>
    <n v="53003.32"/>
    <n v="91293.21"/>
    <n v="422715.77"/>
    <n v="9111965.0199999996"/>
    <n v="209.06"/>
    <n v="314.79000000000002"/>
    <n v="1008.79"/>
    <n v="28982.3"/>
    <n v="1730.84"/>
    <n v="3005.1"/>
    <n v="13344.11"/>
    <n v="115640.42"/>
    <n v="1079376.73"/>
    <n v="1780808.62"/>
    <n v="2532022.7400000002"/>
    <n v="4137946.7"/>
    <n v="20983052.539999999"/>
    <n v="57370.37"/>
    <n v="57861.86"/>
    <n v="72570.710000000006"/>
    <n v="113075.42"/>
    <n v="326549.71999999997"/>
    <n v="67194.58"/>
    <n v="165141.91"/>
    <n v="222276.09"/>
    <n v="399857.73"/>
    <n v="1014262.3"/>
    <n v="0"/>
    <n v="0"/>
    <n v="0"/>
    <n v="0"/>
    <n v="0"/>
    <x v="0"/>
    <x v="0"/>
    <x v="0"/>
    <x v="0"/>
    <x v="0"/>
    <x v="0"/>
    <x v="0"/>
    <x v="0"/>
    <x v="0"/>
    <x v="0"/>
    <n v="0"/>
    <n v="0"/>
    <n v="0"/>
    <n v="0"/>
    <n v="0"/>
    <x v="0"/>
    <x v="0"/>
    <x v="0"/>
    <x v="0"/>
    <x v="0"/>
    <x v="0"/>
    <x v="0"/>
    <x v="0"/>
    <x v="0"/>
    <x v="0"/>
    <n v="20253.52"/>
    <n v="42467.839999999997"/>
    <n v="63437.97"/>
    <n v="130306.26"/>
    <n v="952753.87"/>
    <n v="0"/>
    <n v="0"/>
    <n v="0"/>
    <n v="0"/>
    <n v="0"/>
    <x v="0"/>
    <n v="0"/>
    <n v="0"/>
    <x v="0"/>
    <x v="0"/>
    <x v="0"/>
    <x v="0"/>
    <x v="0"/>
    <x v="0"/>
    <x v="0"/>
    <x v="0"/>
    <x v="0"/>
    <x v="0"/>
    <x v="0"/>
    <x v="0"/>
    <x v="0"/>
    <x v="0"/>
    <x v="0"/>
    <x v="0"/>
    <x v="0"/>
    <x v="0"/>
    <x v="0"/>
    <x v="0"/>
    <x v="0"/>
    <x v="0"/>
    <x v="0"/>
    <x v="0"/>
    <x v="0"/>
    <x v="0"/>
    <x v="0"/>
    <x v="0"/>
    <x v="0"/>
    <n v="5253032.3"/>
    <n v="97138020.900000006"/>
    <n v="-6517071.4900000002"/>
    <n v="103655092.39"/>
  </r>
  <r>
    <x v="0"/>
    <x v="3"/>
    <x v="3"/>
    <x v="9"/>
    <x v="9"/>
    <n v="0"/>
    <n v="0"/>
    <n v="0"/>
    <n v="0"/>
    <n v="0"/>
    <n v="0"/>
    <n v="0"/>
    <n v="0"/>
    <n v="0"/>
    <n v="0"/>
    <n v="0"/>
    <n v="0"/>
    <n v="0"/>
    <n v="0"/>
    <n v="0"/>
    <n v="1911175.37"/>
    <n v="3153097.68"/>
    <n v="4624786"/>
    <n v="47950399.729999997"/>
    <n v="77656.34"/>
    <n v="75943.61"/>
    <n v="100702.6"/>
    <n v="717361.03"/>
    <n v="59641.78"/>
    <n v="164550.03"/>
    <n v="173276.79999999999"/>
    <n v="939558.53"/>
    <n v="52013.98"/>
    <n v="92392.4"/>
    <n v="430471.35"/>
    <n v="9180506.2599999998"/>
    <n v="210.98"/>
    <n v="317.69"/>
    <n v="1020.35"/>
    <n v="28864.03"/>
    <n v="1746.39"/>
    <n v="3029.63"/>
    <n v="14372.96"/>
    <n v="114673.38"/>
    <n v="1021196.27"/>
    <n v="1818879.65"/>
    <n v="2518424.37"/>
    <n v="4132739.55"/>
    <n v="20887013.359999999"/>
    <n v="68464.3"/>
    <n v="67143.05"/>
    <n v="86633.81"/>
    <n v="152243.18"/>
    <n v="555422.94999999995"/>
    <n v="65733.119999999995"/>
    <n v="172500.82"/>
    <n v="218519.39"/>
    <n v="391411.69"/>
    <n v="1005333.49"/>
    <n v="0"/>
    <n v="0"/>
    <n v="0"/>
    <n v="0"/>
    <n v="0"/>
    <x v="0"/>
    <x v="0"/>
    <x v="0"/>
    <x v="0"/>
    <x v="0"/>
    <x v="0"/>
    <x v="0"/>
    <x v="0"/>
    <x v="0"/>
    <x v="0"/>
    <n v="0"/>
    <n v="0"/>
    <n v="0"/>
    <n v="0"/>
    <n v="0"/>
    <x v="0"/>
    <x v="0"/>
    <x v="0"/>
    <x v="0"/>
    <x v="0"/>
    <x v="0"/>
    <x v="0"/>
    <x v="0"/>
    <x v="0"/>
    <x v="0"/>
    <n v="22523.23"/>
    <n v="41781.82"/>
    <n v="66585.850000000006"/>
    <n v="136432"/>
    <n v="977896.41"/>
    <n v="0"/>
    <n v="0"/>
    <n v="0"/>
    <n v="0"/>
    <n v="0"/>
    <x v="0"/>
    <n v="0"/>
    <n v="0"/>
    <x v="0"/>
    <x v="0"/>
    <x v="0"/>
    <x v="0"/>
    <x v="0"/>
    <x v="0"/>
    <x v="0"/>
    <x v="0"/>
    <x v="0"/>
    <x v="0"/>
    <x v="0"/>
    <x v="0"/>
    <x v="0"/>
    <x v="0"/>
    <x v="0"/>
    <x v="0"/>
    <x v="0"/>
    <x v="0"/>
    <x v="0"/>
    <x v="0"/>
    <x v="0"/>
    <x v="0"/>
    <x v="0"/>
    <x v="0"/>
    <x v="0"/>
    <x v="0"/>
    <x v="0"/>
    <x v="0"/>
    <x v="0"/>
    <n v="5256331.93"/>
    <n v="97843365.709999993"/>
    <n v="-6431281.5"/>
    <n v="104274647.20999999"/>
  </r>
  <r>
    <x v="0"/>
    <x v="3"/>
    <x v="3"/>
    <x v="10"/>
    <x v="10"/>
    <n v="0"/>
    <n v="0"/>
    <n v="0"/>
    <n v="0"/>
    <n v="0"/>
    <n v="0"/>
    <n v="0"/>
    <n v="0"/>
    <n v="0"/>
    <n v="0"/>
    <n v="0"/>
    <n v="0"/>
    <n v="0"/>
    <n v="0"/>
    <n v="0"/>
    <n v="2125277.67"/>
    <n v="3258597.06"/>
    <n v="4470322.74"/>
    <n v="48159865.240000002"/>
    <n v="65639.02"/>
    <n v="67837.440000000002"/>
    <n v="84828.21"/>
    <n v="652340.64"/>
    <n v="61948.02"/>
    <n v="171638.17"/>
    <n v="168952.1"/>
    <n v="960998.81"/>
    <n v="52356.4"/>
    <n v="95763.34"/>
    <n v="429820.62"/>
    <n v="9309772.1199999992"/>
    <n v="0"/>
    <n v="0"/>
    <n v="0"/>
    <n v="0"/>
    <n v="1974.98"/>
    <n v="3948.19"/>
    <n v="15308.24"/>
    <n v="142444.65"/>
    <n v="1270196.57"/>
    <n v="1813785.64"/>
    <n v="2377904.5699999998"/>
    <n v="4116169.91"/>
    <n v="20912248.969999999"/>
    <n v="66697"/>
    <n v="71327.839999999997"/>
    <n v="78991.62"/>
    <n v="123991.35"/>
    <n v="460562.26"/>
    <n v="72102.38"/>
    <n v="198243.62"/>
    <n v="218024.95"/>
    <n v="401253.86"/>
    <n v="1128544.8700000001"/>
    <n v="0"/>
    <n v="0"/>
    <n v="0"/>
    <n v="0"/>
    <n v="0"/>
    <x v="0"/>
    <x v="0"/>
    <x v="0"/>
    <x v="0"/>
    <x v="0"/>
    <x v="0"/>
    <x v="0"/>
    <x v="0"/>
    <x v="0"/>
    <x v="0"/>
    <n v="0"/>
    <n v="0"/>
    <n v="0"/>
    <n v="0"/>
    <n v="0"/>
    <x v="0"/>
    <x v="0"/>
    <x v="0"/>
    <x v="0"/>
    <x v="0"/>
    <x v="0"/>
    <x v="0"/>
    <x v="0"/>
    <x v="0"/>
    <x v="0"/>
    <n v="20930.95"/>
    <n v="42235.199999999997"/>
    <n v="63558.53"/>
    <n v="132558.51"/>
    <n v="948720.58"/>
    <n v="0"/>
    <n v="0"/>
    <n v="0"/>
    <n v="0"/>
    <n v="0"/>
    <x v="0"/>
    <n v="0"/>
    <n v="0"/>
    <x v="0"/>
    <x v="0"/>
    <x v="0"/>
    <x v="0"/>
    <x v="0"/>
    <x v="0"/>
    <x v="0"/>
    <x v="0"/>
    <x v="0"/>
    <x v="0"/>
    <x v="0"/>
    <x v="0"/>
    <x v="0"/>
    <x v="0"/>
    <x v="0"/>
    <x v="0"/>
    <x v="0"/>
    <x v="0"/>
    <x v="0"/>
    <x v="0"/>
    <x v="0"/>
    <x v="0"/>
    <x v="0"/>
    <x v="0"/>
    <x v="0"/>
    <x v="0"/>
    <x v="0"/>
    <x v="0"/>
    <x v="0"/>
    <n v="5217598.22"/>
    <n v="98304698.379999995"/>
    <n v="-6512984.46"/>
    <n v="104817682.84"/>
  </r>
  <r>
    <x v="0"/>
    <x v="3"/>
    <x v="3"/>
    <x v="11"/>
    <x v="11"/>
    <n v="0"/>
    <n v="0"/>
    <n v="0"/>
    <n v="0"/>
    <n v="0"/>
    <n v="0"/>
    <n v="0"/>
    <n v="0"/>
    <n v="0"/>
    <n v="0"/>
    <n v="0"/>
    <n v="0"/>
    <n v="0"/>
    <n v="0"/>
    <n v="0"/>
    <n v="1870412.13"/>
    <n v="3365719.21"/>
    <n v="4660016.51"/>
    <n v="48782981.390000001"/>
    <n v="34705.629999999997"/>
    <n v="38210.25"/>
    <n v="46343.9"/>
    <n v="353314.36"/>
    <n v="60739.77"/>
    <n v="144980.12"/>
    <n v="161475.22"/>
    <n v="934378.6"/>
    <n v="50392.53"/>
    <n v="98484.43"/>
    <n v="438723.91"/>
    <n v="9473533.3900000006"/>
    <n v="0"/>
    <n v="0"/>
    <n v="0"/>
    <n v="0"/>
    <n v="1780.58"/>
    <n v="3067.87"/>
    <n v="14293.69"/>
    <n v="109175.21"/>
    <n v="1189736.3"/>
    <n v="1833138.55"/>
    <n v="2351744.84"/>
    <n v="4302563.91"/>
    <n v="21360703.559999999"/>
    <n v="28762.59"/>
    <n v="29858.59"/>
    <n v="36506.85"/>
    <n v="66143.81"/>
    <n v="217676.92"/>
    <n v="71903.210000000006"/>
    <n v="162188.34"/>
    <n v="211248.23"/>
    <n v="380704.81"/>
    <n v="1072012.74"/>
    <n v="0"/>
    <n v="0"/>
    <n v="0"/>
    <n v="0"/>
    <n v="0"/>
    <x v="0"/>
    <x v="0"/>
    <x v="0"/>
    <x v="0"/>
    <x v="0"/>
    <x v="0"/>
    <x v="0"/>
    <x v="0"/>
    <x v="0"/>
    <x v="0"/>
    <n v="0"/>
    <n v="0"/>
    <n v="0"/>
    <n v="0"/>
    <n v="0"/>
    <x v="0"/>
    <x v="0"/>
    <x v="0"/>
    <x v="0"/>
    <x v="0"/>
    <x v="0"/>
    <x v="0"/>
    <x v="0"/>
    <x v="0"/>
    <x v="0"/>
    <n v="21578.55"/>
    <n v="43385.18"/>
    <n v="65133.88"/>
    <n v="135825.57999999999"/>
    <n v="958288.12"/>
    <n v="0"/>
    <n v="0"/>
    <n v="0"/>
    <n v="0"/>
    <n v="0"/>
    <x v="0"/>
    <n v="0"/>
    <n v="0"/>
    <x v="0"/>
    <x v="0"/>
    <x v="0"/>
    <x v="0"/>
    <x v="0"/>
    <x v="0"/>
    <x v="0"/>
    <x v="0"/>
    <x v="0"/>
    <x v="0"/>
    <x v="0"/>
    <x v="0"/>
    <x v="0"/>
    <x v="0"/>
    <x v="0"/>
    <x v="0"/>
    <x v="0"/>
    <x v="0"/>
    <x v="0"/>
    <x v="0"/>
    <x v="0"/>
    <x v="0"/>
    <x v="0"/>
    <x v="0"/>
    <x v="0"/>
    <x v="0"/>
    <x v="0"/>
    <x v="0"/>
    <x v="0"/>
    <n v="4179471.29"/>
    <n v="98969677.629999995"/>
    <n v="-6212155.6299999999"/>
    <n v="105181833.26000001"/>
  </r>
  <r>
    <x v="0"/>
    <x v="4"/>
    <x v="4"/>
    <x v="0"/>
    <x v="0"/>
    <n v="0"/>
    <n v="0"/>
    <n v="0"/>
    <n v="0"/>
    <n v="0"/>
    <n v="0"/>
    <n v="0"/>
    <n v="0"/>
    <n v="0"/>
    <n v="0"/>
    <n v="0"/>
    <n v="0"/>
    <n v="0"/>
    <n v="0"/>
    <n v="0"/>
    <n v="1093007.48"/>
    <n v="2178521.58"/>
    <n v="3307739.4"/>
    <n v="36110772.450000003"/>
    <n v="96081.18"/>
    <n v="123716.79"/>
    <n v="173571.96"/>
    <n v="1034841.14"/>
    <n v="37966.26"/>
    <n v="87509.97"/>
    <n v="87709.03"/>
    <n v="399641.53"/>
    <n v="23251.61"/>
    <n v="38459.51"/>
    <n v="175773.2"/>
    <n v="1497317.5"/>
    <n v="3288.73"/>
    <n v="4102.26"/>
    <n v="12704.45"/>
    <n v="46927.839999999997"/>
    <n v="0"/>
    <n v="1452.01"/>
    <n v="840.4"/>
    <n v="1"/>
    <n v="1431127.16"/>
    <n v="2544247.9500000002"/>
    <n v="3939070.24"/>
    <n v="7095674.1900000004"/>
    <n v="31038506.960000001"/>
    <n v="301078.51"/>
    <n v="374754.44"/>
    <n v="533982.57999999996"/>
    <n v="846403.69"/>
    <n v="2167721.37"/>
    <n v="70614.94"/>
    <n v="324357.26"/>
    <n v="281969.21999999997"/>
    <n v="357310.96"/>
    <n v="754674.13"/>
    <n v="0"/>
    <n v="0"/>
    <n v="0"/>
    <n v="0"/>
    <n v="0"/>
    <x v="0"/>
    <x v="0"/>
    <x v="0"/>
    <x v="0"/>
    <x v="0"/>
    <x v="0"/>
    <x v="0"/>
    <x v="0"/>
    <x v="0"/>
    <x v="0"/>
    <n v="0"/>
    <n v="0"/>
    <n v="0"/>
    <n v="0"/>
    <n v="0"/>
    <x v="0"/>
    <x v="0"/>
    <x v="0"/>
    <x v="0"/>
    <x v="0"/>
    <x v="0"/>
    <x v="0"/>
    <x v="0"/>
    <x v="0"/>
    <x v="0"/>
    <n v="4932.63"/>
    <n v="11499.06"/>
    <n v="27841.9"/>
    <n v="38832"/>
    <n v="319034.56"/>
    <n v="0"/>
    <n v="0"/>
    <n v="0"/>
    <n v="0"/>
    <n v="0"/>
    <x v="0"/>
    <n v="0"/>
    <n v="0"/>
    <x v="0"/>
    <x v="0"/>
    <x v="0"/>
    <x v="0"/>
    <x v="0"/>
    <x v="0"/>
    <x v="0"/>
    <x v="0"/>
    <x v="0"/>
    <x v="0"/>
    <x v="0"/>
    <x v="0"/>
    <x v="0"/>
    <x v="0"/>
    <x v="0"/>
    <x v="0"/>
    <x v="0"/>
    <x v="0"/>
    <x v="0"/>
    <x v="0"/>
    <x v="0"/>
    <x v="0"/>
    <x v="0"/>
    <x v="0"/>
    <x v="0"/>
    <x v="0"/>
    <x v="0"/>
    <x v="0"/>
    <x v="0"/>
    <n v="8123221.6500000004"/>
    <n v="91491850.469999999"/>
    <n v="-7506980.5599999996"/>
    <n v="98998831.030000001"/>
  </r>
  <r>
    <x v="0"/>
    <x v="4"/>
    <x v="4"/>
    <x v="1"/>
    <x v="1"/>
    <n v="0"/>
    <n v="0"/>
    <n v="0"/>
    <n v="0"/>
    <n v="0"/>
    <n v="0"/>
    <n v="0"/>
    <n v="0"/>
    <n v="0"/>
    <n v="0"/>
    <n v="0"/>
    <n v="0"/>
    <n v="0"/>
    <n v="0"/>
    <n v="0"/>
    <n v="1106418.21"/>
    <n v="2091408.02"/>
    <n v="3288619.63"/>
    <n v="35713660.25"/>
    <n v="100277.03"/>
    <n v="121625.84"/>
    <n v="168874.33"/>
    <n v="1037611.24"/>
    <n v="35807.199999999997"/>
    <n v="93478.97"/>
    <n v="87474.86"/>
    <n v="401862.98"/>
    <n v="22733.040000000001"/>
    <n v="38018.9"/>
    <n v="174726.57"/>
    <n v="1474951.7"/>
    <n v="2076.2199999999998"/>
    <n v="2570.23"/>
    <n v="8917.5400000000009"/>
    <n v="42323.69"/>
    <n v="0"/>
    <n v="886.8"/>
    <n v="983.67"/>
    <n v="48.24"/>
    <n v="1475757.87"/>
    <n v="2264222.67"/>
    <n v="3797623.19"/>
    <n v="7135496.0599999996"/>
    <n v="30743382.899999999"/>
    <n v="337625.69"/>
    <n v="353364.69"/>
    <n v="546378.06999999995"/>
    <n v="922263.31"/>
    <n v="2246877.2799999998"/>
    <n v="69814.52"/>
    <n v="354104.33"/>
    <n v="308436.65000000002"/>
    <n v="378097.7"/>
    <n v="788683.25"/>
    <n v="0"/>
    <n v="0"/>
    <n v="0"/>
    <n v="0"/>
    <n v="0"/>
    <x v="0"/>
    <x v="0"/>
    <x v="0"/>
    <x v="0"/>
    <x v="0"/>
    <x v="0"/>
    <x v="0"/>
    <x v="0"/>
    <x v="0"/>
    <x v="0"/>
    <n v="0"/>
    <n v="0"/>
    <n v="0"/>
    <n v="0"/>
    <n v="0"/>
    <x v="0"/>
    <x v="0"/>
    <x v="0"/>
    <x v="0"/>
    <x v="0"/>
    <x v="0"/>
    <x v="0"/>
    <x v="0"/>
    <x v="0"/>
    <x v="0"/>
    <n v="6184.14"/>
    <n v="15385.05"/>
    <n v="42350.79"/>
    <n v="55362.22"/>
    <n v="454174.67"/>
    <n v="0"/>
    <n v="0"/>
    <n v="0"/>
    <n v="0"/>
    <n v="0"/>
    <x v="0"/>
    <n v="0"/>
    <n v="0"/>
    <x v="0"/>
    <x v="0"/>
    <x v="0"/>
    <x v="0"/>
    <x v="0"/>
    <x v="0"/>
    <x v="0"/>
    <x v="0"/>
    <x v="0"/>
    <x v="0"/>
    <x v="0"/>
    <x v="0"/>
    <x v="0"/>
    <x v="0"/>
    <x v="0"/>
    <x v="0"/>
    <x v="0"/>
    <x v="0"/>
    <x v="0"/>
    <x v="0"/>
    <x v="0"/>
    <x v="0"/>
    <x v="0"/>
    <x v="0"/>
    <x v="0"/>
    <x v="0"/>
    <x v="0"/>
    <x v="0"/>
    <x v="0"/>
    <n v="8410464.3300000001"/>
    <n v="90494049.219999999"/>
    <n v="-7816890.9900000002"/>
    <n v="98310940.209999993"/>
  </r>
  <r>
    <x v="0"/>
    <x v="4"/>
    <x v="4"/>
    <x v="2"/>
    <x v="2"/>
    <n v="0"/>
    <n v="0"/>
    <n v="0"/>
    <n v="0"/>
    <n v="0"/>
    <n v="0"/>
    <n v="0"/>
    <n v="0"/>
    <n v="0"/>
    <n v="0"/>
    <n v="0"/>
    <n v="0"/>
    <n v="0"/>
    <n v="0"/>
    <n v="0"/>
    <n v="1069091.8"/>
    <n v="2101783.91"/>
    <n v="3194019.07"/>
    <n v="35122515.119999997"/>
    <n v="103294.94"/>
    <n v="134465.16"/>
    <n v="184482.96"/>
    <n v="1138318.67"/>
    <n v="43980.44"/>
    <n v="98115.03"/>
    <n v="87844.59"/>
    <n v="327390.21999999997"/>
    <n v="24494.57"/>
    <n v="40501.11"/>
    <n v="175282.03"/>
    <n v="1480993.59"/>
    <n v="1109.67"/>
    <n v="1521.04"/>
    <n v="5295.59"/>
    <n v="15976.57"/>
    <n v="0"/>
    <n v="536.57000000000005"/>
    <n v="887.34"/>
    <n v="121.63"/>
    <n v="1449564.28"/>
    <n v="2337165.02"/>
    <n v="3574663.62"/>
    <n v="7046650.3899999997"/>
    <n v="30134623.370000001"/>
    <n v="366159.37"/>
    <n v="412761.19"/>
    <n v="565682.06999999995"/>
    <n v="1022380.93"/>
    <n v="2430214.04"/>
    <n v="84348.96"/>
    <n v="362784.18"/>
    <n v="333948.48"/>
    <n v="394009.43"/>
    <n v="526690.09"/>
    <n v="0"/>
    <n v="0"/>
    <n v="0"/>
    <n v="0"/>
    <n v="0"/>
    <x v="0"/>
    <x v="0"/>
    <x v="0"/>
    <x v="0"/>
    <x v="0"/>
    <x v="0"/>
    <x v="0"/>
    <x v="0"/>
    <x v="0"/>
    <x v="0"/>
    <n v="0"/>
    <n v="0"/>
    <n v="0"/>
    <n v="0"/>
    <n v="0"/>
    <x v="0"/>
    <x v="0"/>
    <x v="0"/>
    <x v="0"/>
    <x v="0"/>
    <x v="0"/>
    <x v="0"/>
    <x v="0"/>
    <x v="0"/>
    <x v="0"/>
    <n v="14271.86"/>
    <n v="59959"/>
    <n v="51823.24"/>
    <n v="97450.47"/>
    <n v="749698.51"/>
    <n v="0"/>
    <n v="0"/>
    <n v="0"/>
    <n v="0"/>
    <n v="0"/>
    <x v="0"/>
    <n v="0"/>
    <n v="0"/>
    <x v="0"/>
    <x v="0"/>
    <x v="0"/>
    <x v="0"/>
    <x v="0"/>
    <x v="0"/>
    <x v="0"/>
    <x v="0"/>
    <x v="0"/>
    <x v="0"/>
    <x v="0"/>
    <x v="0"/>
    <x v="0"/>
    <x v="0"/>
    <x v="0"/>
    <x v="0"/>
    <x v="0"/>
    <x v="0"/>
    <x v="0"/>
    <x v="0"/>
    <x v="0"/>
    <x v="0"/>
    <x v="0"/>
    <x v="0"/>
    <x v="0"/>
    <x v="0"/>
    <x v="0"/>
    <x v="0"/>
    <x v="0"/>
    <n v="8642319.1600000001"/>
    <n v="89487083.829999998"/>
    <n v="-7879786.29"/>
    <n v="97366870.120000005"/>
  </r>
  <r>
    <x v="0"/>
    <x v="4"/>
    <x v="4"/>
    <x v="3"/>
    <x v="3"/>
    <n v="0"/>
    <n v="0"/>
    <n v="0"/>
    <n v="0"/>
    <n v="0"/>
    <n v="0"/>
    <n v="0"/>
    <n v="0"/>
    <n v="0"/>
    <n v="0"/>
    <n v="0"/>
    <n v="0"/>
    <n v="0"/>
    <n v="0"/>
    <n v="0"/>
    <n v="1045705.65"/>
    <n v="2200823.7400000002"/>
    <n v="3145219.79"/>
    <n v="35075029.619999997"/>
    <n v="92221.28"/>
    <n v="113809.46"/>
    <n v="139904.98000000001"/>
    <n v="907431"/>
    <n v="29224.92"/>
    <n v="95212"/>
    <n v="87064.2"/>
    <n v="343937.83"/>
    <n v="23016.73"/>
    <n v="39260.550000000003"/>
    <n v="162783.45000000001"/>
    <n v="1408435.44"/>
    <n v="2138.98"/>
    <n v="3225.93"/>
    <n v="9062.4500000000007"/>
    <n v="30729.1"/>
    <n v="0"/>
    <n v="936.78"/>
    <n v="675.33"/>
    <n v="82.77"/>
    <n v="1414376.85"/>
    <n v="2464746.9500000002"/>
    <n v="3397909.2"/>
    <n v="7177630.9299999997"/>
    <n v="29820119.050000001"/>
    <n v="357544.73"/>
    <n v="406447.81"/>
    <n v="524307.65"/>
    <n v="975278.57"/>
    <n v="2256764.2999999998"/>
    <n v="70154.97"/>
    <n v="382211.26"/>
    <n v="352632.68"/>
    <n v="413235.37"/>
    <n v="578317.26"/>
    <n v="0"/>
    <n v="0"/>
    <n v="0"/>
    <n v="0"/>
    <n v="0"/>
    <x v="0"/>
    <x v="0"/>
    <x v="0"/>
    <x v="0"/>
    <x v="0"/>
    <x v="0"/>
    <x v="0"/>
    <x v="0"/>
    <x v="0"/>
    <x v="0"/>
    <n v="0"/>
    <n v="0"/>
    <n v="0"/>
    <n v="0"/>
    <n v="0"/>
    <x v="0"/>
    <x v="0"/>
    <x v="0"/>
    <x v="0"/>
    <x v="0"/>
    <x v="0"/>
    <x v="0"/>
    <x v="0"/>
    <x v="0"/>
    <x v="0"/>
    <n v="29585.18"/>
    <n v="73535.009999999995"/>
    <n v="57346.74"/>
    <n v="135015.04000000001"/>
    <n v="1087040.25"/>
    <n v="0"/>
    <n v="0"/>
    <n v="0"/>
    <n v="0"/>
    <n v="0"/>
    <x v="0"/>
    <n v="0"/>
    <n v="0"/>
    <x v="0"/>
    <x v="0"/>
    <x v="0"/>
    <x v="0"/>
    <x v="0"/>
    <x v="0"/>
    <x v="0"/>
    <x v="0"/>
    <x v="0"/>
    <x v="0"/>
    <x v="0"/>
    <x v="0"/>
    <x v="0"/>
    <x v="0"/>
    <x v="0"/>
    <x v="0"/>
    <x v="0"/>
    <x v="0"/>
    <x v="0"/>
    <x v="0"/>
    <x v="0"/>
    <x v="0"/>
    <x v="0"/>
    <x v="0"/>
    <x v="0"/>
    <x v="0"/>
    <x v="0"/>
    <x v="0"/>
    <x v="0"/>
    <n v="8172551.6100000003"/>
    <n v="89115322.670000002"/>
    <n v="-7814809.1100000003"/>
    <n v="96930131.780000001"/>
  </r>
  <r>
    <x v="0"/>
    <x v="4"/>
    <x v="4"/>
    <x v="4"/>
    <x v="4"/>
    <n v="0"/>
    <n v="0"/>
    <n v="0"/>
    <n v="0"/>
    <n v="0"/>
    <n v="0"/>
    <n v="0"/>
    <n v="0"/>
    <n v="0"/>
    <n v="0"/>
    <n v="0"/>
    <n v="0"/>
    <n v="0"/>
    <n v="0"/>
    <n v="0"/>
    <n v="1129275.96"/>
    <n v="2047780.91"/>
    <n v="3156982.93"/>
    <n v="34655531.780000001"/>
    <n v="93822.53"/>
    <n v="110244.61"/>
    <n v="148887.66"/>
    <n v="882209.54"/>
    <n v="32840.949999999997"/>
    <n v="96269.48"/>
    <n v="93943.83"/>
    <n v="356400.99"/>
    <n v="20318.8"/>
    <n v="34585.81"/>
    <n v="146794.37"/>
    <n v="1336602.72"/>
    <n v="3661.7"/>
    <n v="5343.65"/>
    <n v="16646.080000000002"/>
    <n v="70278.92"/>
    <n v="0"/>
    <n v="1561.26"/>
    <n v="1592.07"/>
    <n v="94.85"/>
    <n v="1414133.86"/>
    <n v="2188732.12"/>
    <n v="3508008.19"/>
    <n v="7175906.25"/>
    <n v="29518359.960000001"/>
    <n v="360045.98"/>
    <n v="363365.27"/>
    <n v="544491.22"/>
    <n v="989778.42"/>
    <n v="2208809.59"/>
    <n v="68879.199999999997"/>
    <n v="401196.18"/>
    <n v="380083.45"/>
    <n v="441924.82"/>
    <n v="614836.5"/>
    <n v="0"/>
    <n v="0"/>
    <n v="0"/>
    <n v="0"/>
    <n v="0"/>
    <x v="0"/>
    <x v="0"/>
    <x v="0"/>
    <x v="0"/>
    <x v="0"/>
    <x v="0"/>
    <x v="0"/>
    <x v="0"/>
    <x v="0"/>
    <x v="0"/>
    <n v="0"/>
    <n v="0"/>
    <n v="0"/>
    <n v="0"/>
    <n v="0"/>
    <x v="0"/>
    <x v="0"/>
    <x v="0"/>
    <x v="0"/>
    <x v="0"/>
    <x v="0"/>
    <x v="0"/>
    <x v="0"/>
    <x v="0"/>
    <x v="0"/>
    <n v="37253.32"/>
    <n v="48967.47"/>
    <n v="71810.86"/>
    <n v="156223.97"/>
    <n v="1274551.17"/>
    <n v="0"/>
    <n v="0"/>
    <n v="0"/>
    <n v="0"/>
    <n v="0"/>
    <x v="0"/>
    <n v="0"/>
    <n v="0"/>
    <x v="0"/>
    <x v="0"/>
    <x v="0"/>
    <x v="0"/>
    <x v="0"/>
    <x v="0"/>
    <x v="0"/>
    <x v="0"/>
    <x v="0"/>
    <x v="0"/>
    <x v="0"/>
    <x v="0"/>
    <x v="0"/>
    <x v="0"/>
    <x v="0"/>
    <x v="0"/>
    <x v="0"/>
    <x v="0"/>
    <x v="0"/>
    <x v="0"/>
    <x v="0"/>
    <x v="0"/>
    <x v="0"/>
    <x v="0"/>
    <x v="0"/>
    <x v="0"/>
    <x v="0"/>
    <x v="0"/>
    <x v="0"/>
    <n v="8287208.75"/>
    <n v="88216518"/>
    <n v="-7992511.2000000002"/>
    <n v="96209029.200000003"/>
  </r>
  <r>
    <x v="0"/>
    <x v="4"/>
    <x v="4"/>
    <x v="5"/>
    <x v="5"/>
    <n v="0"/>
    <n v="0"/>
    <n v="0"/>
    <n v="0"/>
    <n v="0"/>
    <n v="0"/>
    <n v="0"/>
    <n v="0"/>
    <n v="0"/>
    <n v="0"/>
    <n v="0"/>
    <n v="0"/>
    <n v="0"/>
    <n v="0"/>
    <n v="0"/>
    <n v="1086567.8700000001"/>
    <n v="2030898.01"/>
    <n v="3155323.9"/>
    <n v="34442491.57"/>
    <n v="90838.67"/>
    <n v="102078.53"/>
    <n v="139169.85"/>
    <n v="885534.94"/>
    <n v="26977.75"/>
    <n v="93847.82"/>
    <n v="95851.59"/>
    <n v="371169.04"/>
    <n v="20821.77"/>
    <n v="33896.519999999997"/>
    <n v="140828.98000000001"/>
    <n v="1297089.3400000001"/>
    <n v="2874.23"/>
    <n v="4365.9799999999996"/>
    <n v="13015.28"/>
    <n v="65048.63"/>
    <n v="0"/>
    <n v="1396.45"/>
    <n v="2101.0500000000002"/>
    <n v="42.74"/>
    <n v="1391891.2"/>
    <n v="2118692.5"/>
    <n v="3533768.44"/>
    <n v="6915974.7999999998"/>
    <n v="29872737.030000001"/>
    <n v="348334.79"/>
    <n v="355020.11"/>
    <n v="535475.39"/>
    <n v="927106.93"/>
    <n v="2056898.36"/>
    <n v="59436.77"/>
    <n v="395802.1"/>
    <n v="399326.09"/>
    <n v="477910.26"/>
    <n v="662395.92000000004"/>
    <n v="0"/>
    <n v="0"/>
    <n v="0"/>
    <n v="0"/>
    <n v="0"/>
    <x v="0"/>
    <x v="0"/>
    <x v="0"/>
    <x v="0"/>
    <x v="0"/>
    <x v="0"/>
    <x v="0"/>
    <x v="0"/>
    <x v="0"/>
    <x v="0"/>
    <n v="0"/>
    <n v="0"/>
    <n v="0"/>
    <n v="0"/>
    <n v="0"/>
    <x v="0"/>
    <x v="0"/>
    <x v="0"/>
    <x v="0"/>
    <x v="0"/>
    <x v="0"/>
    <x v="0"/>
    <x v="0"/>
    <x v="0"/>
    <x v="0"/>
    <n v="32250.55"/>
    <n v="50756.06"/>
    <n v="91399.96"/>
    <n v="194299.75"/>
    <n v="1627966.08"/>
    <n v="0"/>
    <n v="0"/>
    <n v="0"/>
    <n v="0"/>
    <n v="0"/>
    <x v="0"/>
    <n v="0"/>
    <n v="0"/>
    <x v="0"/>
    <x v="0"/>
    <x v="0"/>
    <x v="0"/>
    <x v="0"/>
    <x v="0"/>
    <x v="0"/>
    <x v="0"/>
    <x v="0"/>
    <x v="0"/>
    <x v="0"/>
    <x v="0"/>
    <x v="0"/>
    <x v="0"/>
    <x v="0"/>
    <x v="0"/>
    <x v="0"/>
    <x v="0"/>
    <x v="0"/>
    <x v="0"/>
    <x v="0"/>
    <x v="0"/>
    <x v="0"/>
    <x v="0"/>
    <x v="0"/>
    <x v="0"/>
    <x v="0"/>
    <x v="0"/>
    <x v="0"/>
    <n v="8112019.2699999996"/>
    <n v="87984833.189999998"/>
    <n v="-8164840.4100000001"/>
    <n v="96149673.599999994"/>
  </r>
  <r>
    <x v="0"/>
    <x v="4"/>
    <x v="4"/>
    <x v="6"/>
    <x v="6"/>
    <n v="0"/>
    <n v="0"/>
    <n v="0"/>
    <n v="0"/>
    <n v="0"/>
    <n v="0"/>
    <n v="0"/>
    <n v="0"/>
    <n v="0"/>
    <n v="0"/>
    <n v="0"/>
    <n v="0"/>
    <n v="0"/>
    <n v="0"/>
    <n v="0"/>
    <n v="1073829.07"/>
    <n v="2051677.09"/>
    <n v="3240628.24"/>
    <n v="34345252.759999998"/>
    <n v="102697.79"/>
    <n v="97953.76"/>
    <n v="119744.89"/>
    <n v="742169.27"/>
    <n v="0"/>
    <n v="85214.15"/>
    <n v="103468.22"/>
    <n v="389901.11"/>
    <n v="19138.330000000002"/>
    <n v="32999.61"/>
    <n v="141439.87"/>
    <n v="1274474.19"/>
    <n v="3086.18"/>
    <n v="4877.04"/>
    <n v="11618.91"/>
    <n v="50251.14"/>
    <n v="0"/>
    <n v="1255.5899999999999"/>
    <n v="2914.88"/>
    <n v="1"/>
    <n v="1392420.16"/>
    <n v="2192300.4"/>
    <n v="3553251.7"/>
    <n v="7128369.5"/>
    <n v="29318699.16"/>
    <n v="346081.79"/>
    <n v="396717.36"/>
    <n v="461434.95"/>
    <n v="824256.88"/>
    <n v="1672344.01"/>
    <n v="361.87"/>
    <n v="315954.99"/>
    <n v="415667.67"/>
    <n v="506352.41"/>
    <n v="719030.9"/>
    <n v="0"/>
    <n v="0"/>
    <n v="0"/>
    <n v="0"/>
    <n v="0"/>
    <x v="0"/>
    <x v="0"/>
    <x v="0"/>
    <x v="0"/>
    <x v="0"/>
    <x v="0"/>
    <x v="0"/>
    <x v="0"/>
    <x v="0"/>
    <x v="0"/>
    <n v="0"/>
    <n v="0"/>
    <n v="0"/>
    <n v="0"/>
    <n v="0"/>
    <x v="0"/>
    <x v="0"/>
    <x v="0"/>
    <x v="0"/>
    <x v="0"/>
    <x v="0"/>
    <x v="0"/>
    <x v="0"/>
    <x v="0"/>
    <x v="0"/>
    <n v="29240.41"/>
    <n v="65439.68"/>
    <n v="125445.71"/>
    <n v="245324.64"/>
    <n v="1992034.27"/>
    <n v="242.35"/>
    <n v="246.78"/>
    <n v="384.86"/>
    <n v="812.84"/>
    <n v="0"/>
    <x v="0"/>
    <n v="91.7"/>
    <n v="0"/>
    <x v="0"/>
    <x v="0"/>
    <x v="0"/>
    <x v="0"/>
    <x v="0"/>
    <x v="0"/>
    <x v="0"/>
    <x v="0"/>
    <x v="0"/>
    <x v="0"/>
    <x v="0"/>
    <x v="0"/>
    <x v="0"/>
    <x v="0"/>
    <x v="0"/>
    <x v="0"/>
    <x v="0"/>
    <x v="0"/>
    <x v="0"/>
    <x v="0"/>
    <x v="0"/>
    <x v="0"/>
    <x v="0"/>
    <x v="0"/>
    <x v="0"/>
    <x v="0"/>
    <x v="0"/>
    <x v="0"/>
    <x v="0"/>
    <n v="7375135.29"/>
    <n v="87479897.219999999"/>
    <n v="-8117202.8600000003"/>
    <n v="95597100.079999998"/>
  </r>
  <r>
    <x v="0"/>
    <x v="4"/>
    <x v="4"/>
    <x v="7"/>
    <x v="7"/>
    <n v="0"/>
    <n v="0"/>
    <n v="0"/>
    <n v="0"/>
    <n v="0"/>
    <n v="0"/>
    <n v="0"/>
    <n v="0"/>
    <n v="0"/>
    <n v="0"/>
    <n v="0"/>
    <n v="0"/>
    <n v="0"/>
    <n v="0"/>
    <n v="0"/>
    <n v="1083077.01"/>
    <n v="2094355.89"/>
    <n v="3316213.98"/>
    <n v="34209978.670000002"/>
    <n v="93490.68"/>
    <n v="87241.600000000006"/>
    <n v="115208.5"/>
    <n v="708736.59"/>
    <n v="0"/>
    <n v="86205.83"/>
    <n v="104915.07"/>
    <n v="414172.04"/>
    <n v="19006.78"/>
    <n v="34039.839999999997"/>
    <n v="138317.89000000001"/>
    <n v="1249646.5900000001"/>
    <n v="2269.89"/>
    <n v="3455.41"/>
    <n v="9780.94"/>
    <n v="39240.1"/>
    <n v="0"/>
    <n v="1054.47"/>
    <n v="3150.6"/>
    <n v="1"/>
    <n v="1344504.92"/>
    <n v="2165923.19"/>
    <n v="3558374.76"/>
    <n v="7007980.8799999999"/>
    <n v="29044959.969999999"/>
    <n v="351469.91"/>
    <n v="357292.56"/>
    <n v="461937.83"/>
    <n v="806290.21"/>
    <n v="1652419.18"/>
    <n v="358.22"/>
    <n v="332415.76"/>
    <n v="435685.72"/>
    <n v="549645.13"/>
    <n v="770801.56"/>
    <n v="0"/>
    <n v="0"/>
    <n v="0"/>
    <n v="0"/>
    <n v="0"/>
    <x v="0"/>
    <x v="0"/>
    <x v="0"/>
    <x v="0"/>
    <x v="0"/>
    <x v="0"/>
    <x v="0"/>
    <x v="0"/>
    <x v="0"/>
    <x v="0"/>
    <n v="0"/>
    <n v="0"/>
    <n v="0"/>
    <n v="0"/>
    <n v="0"/>
    <x v="0"/>
    <x v="0"/>
    <x v="0"/>
    <x v="0"/>
    <x v="0"/>
    <x v="0"/>
    <x v="0"/>
    <x v="0"/>
    <x v="0"/>
    <x v="0"/>
    <n v="36411.32"/>
    <n v="82459.539999999994"/>
    <n v="161119.92000000001"/>
    <n v="302495.55"/>
    <n v="2536467.02"/>
    <n v="247.09"/>
    <n v="251.38"/>
    <n v="388.1"/>
    <n v="823.97"/>
    <n v="0"/>
    <x v="0"/>
    <n v="209.59"/>
    <n v="0"/>
    <x v="0"/>
    <x v="0"/>
    <x v="0"/>
    <x v="0"/>
    <x v="0"/>
    <x v="0"/>
    <x v="0"/>
    <x v="0"/>
    <x v="0"/>
    <x v="0"/>
    <x v="0"/>
    <x v="0"/>
    <x v="0"/>
    <x v="0"/>
    <x v="0"/>
    <x v="0"/>
    <x v="0"/>
    <x v="0"/>
    <x v="0"/>
    <x v="0"/>
    <x v="0"/>
    <x v="0"/>
    <x v="0"/>
    <x v="0"/>
    <x v="0"/>
    <x v="0"/>
    <x v="0"/>
    <x v="0"/>
    <x v="0"/>
    <n v="7389158.9299999997"/>
    <n v="87534339.599999994"/>
    <n v="-8240153.0499999998"/>
    <n v="95774492.650000006"/>
  </r>
  <r>
    <x v="0"/>
    <x v="4"/>
    <x v="4"/>
    <x v="8"/>
    <x v="8"/>
    <n v="0"/>
    <n v="0"/>
    <n v="0"/>
    <n v="0"/>
    <n v="0"/>
    <n v="0"/>
    <n v="0"/>
    <n v="0"/>
    <n v="0"/>
    <n v="0"/>
    <n v="0"/>
    <n v="0"/>
    <n v="0"/>
    <n v="0"/>
    <n v="0"/>
    <n v="1045509.68"/>
    <n v="2105147.91"/>
    <n v="3360259.68"/>
    <n v="34089625.840000004"/>
    <n v="96086.61"/>
    <n v="97555.79"/>
    <n v="129543"/>
    <n v="804002.95"/>
    <n v="0"/>
    <n v="88639.679999999993"/>
    <n v="106001.58"/>
    <n v="435259.42"/>
    <n v="17926.82"/>
    <n v="33486.99"/>
    <n v="134899.78"/>
    <n v="1227039.8799999999"/>
    <n v="2947.78"/>
    <n v="4456.3"/>
    <n v="12866.34"/>
    <n v="60711.839999999997"/>
    <n v="0"/>
    <n v="1447.35"/>
    <n v="3941.37"/>
    <n v="1"/>
    <n v="1219996.1000000001"/>
    <n v="2348258.11"/>
    <n v="3579336.28"/>
    <n v="6779981.1100000003"/>
    <n v="28729282.739999998"/>
    <n v="340602.58"/>
    <n v="380630.19"/>
    <n v="492514.48"/>
    <n v="776627.86"/>
    <n v="1698223.16"/>
    <n v="380.31"/>
    <n v="310526.28999999998"/>
    <n v="445460.41"/>
    <n v="585586.96"/>
    <n v="831506.45"/>
    <n v="0"/>
    <n v="0"/>
    <n v="0"/>
    <n v="0"/>
    <n v="0"/>
    <x v="0"/>
    <x v="0"/>
    <x v="0"/>
    <x v="0"/>
    <x v="0"/>
    <x v="0"/>
    <x v="0"/>
    <x v="0"/>
    <x v="0"/>
    <x v="0"/>
    <n v="0"/>
    <n v="0"/>
    <n v="0"/>
    <n v="0"/>
    <n v="0"/>
    <x v="0"/>
    <x v="0"/>
    <x v="0"/>
    <x v="0"/>
    <x v="0"/>
    <x v="0"/>
    <x v="0"/>
    <x v="0"/>
    <x v="0"/>
    <x v="0"/>
    <n v="39748.07"/>
    <n v="110287.15"/>
    <n v="175446.09"/>
    <n v="363553.85"/>
    <n v="2852918.22"/>
    <n v="246.78"/>
    <n v="255.99"/>
    <n v="395.42"/>
    <n v="828.19"/>
    <n v="0"/>
    <x v="0"/>
    <n v="242.35"/>
    <n v="91.7"/>
    <x v="0"/>
    <x v="0"/>
    <x v="0"/>
    <x v="0"/>
    <x v="0"/>
    <x v="0"/>
    <x v="0"/>
    <x v="0"/>
    <x v="0"/>
    <x v="0"/>
    <x v="0"/>
    <x v="0"/>
    <x v="0"/>
    <x v="0"/>
    <x v="0"/>
    <x v="0"/>
    <x v="0"/>
    <x v="0"/>
    <x v="0"/>
    <x v="0"/>
    <x v="0"/>
    <x v="0"/>
    <x v="0"/>
    <x v="0"/>
    <x v="0"/>
    <x v="0"/>
    <x v="0"/>
    <x v="0"/>
    <x v="0"/>
    <n v="7707580.1299999999"/>
    <n v="87510372.829999998"/>
    <n v="-8409911.5999999996"/>
    <n v="95920284.430000007"/>
  </r>
  <r>
    <x v="0"/>
    <x v="4"/>
    <x v="4"/>
    <x v="9"/>
    <x v="9"/>
    <n v="0"/>
    <n v="0"/>
    <n v="0"/>
    <n v="0"/>
    <n v="0"/>
    <n v="0"/>
    <n v="0"/>
    <n v="0"/>
    <n v="0"/>
    <n v="0"/>
    <n v="0"/>
    <n v="0"/>
    <n v="0"/>
    <n v="0"/>
    <n v="0"/>
    <n v="1079193.01"/>
    <n v="2080355.85"/>
    <n v="3406916.47"/>
    <n v="34102674.93"/>
    <n v="100269.94"/>
    <n v="99718.67"/>
    <n v="143768.24"/>
    <n v="805630.5"/>
    <n v="0"/>
    <n v="83134.37"/>
    <n v="107636.7"/>
    <n v="452809.79"/>
    <n v="19636.490000000002"/>
    <n v="33572.57"/>
    <n v="146227"/>
    <n v="1282926.73"/>
    <n v="2991.68"/>
    <n v="3984.61"/>
    <n v="9647.06"/>
    <n v="36851"/>
    <n v="0"/>
    <n v="1122.5899999999999"/>
    <n v="4608"/>
    <n v="1"/>
    <n v="1386789.56"/>
    <n v="2089866.59"/>
    <n v="3860576.55"/>
    <n v="6584959.9299999997"/>
    <n v="28691693.48"/>
    <n v="346802.83"/>
    <n v="364995.1"/>
    <n v="507949.29"/>
    <n v="726011.97"/>
    <n v="1553742.21"/>
    <n v="377.81"/>
    <n v="294027.7"/>
    <n v="447044.48"/>
    <n v="627500.77"/>
    <n v="896928.85"/>
    <n v="0"/>
    <n v="0"/>
    <n v="0"/>
    <n v="0"/>
    <n v="0"/>
    <x v="0"/>
    <x v="0"/>
    <x v="0"/>
    <x v="0"/>
    <x v="0"/>
    <x v="0"/>
    <x v="0"/>
    <x v="0"/>
    <x v="0"/>
    <x v="0"/>
    <n v="0"/>
    <n v="0"/>
    <n v="0"/>
    <n v="0"/>
    <n v="0"/>
    <x v="0"/>
    <x v="0"/>
    <x v="0"/>
    <x v="0"/>
    <x v="0"/>
    <x v="0"/>
    <x v="0"/>
    <x v="0"/>
    <x v="0"/>
    <x v="0"/>
    <n v="67509.320000000007"/>
    <n v="127852"/>
    <n v="197851.22"/>
    <n v="413284.94"/>
    <n v="3270582.06"/>
    <n v="723.63"/>
    <n v="772.62"/>
    <n v="1183.6400000000001"/>
    <n v="2481.83"/>
    <n v="0"/>
    <x v="0"/>
    <n v="482.37"/>
    <n v="209.59"/>
    <x v="0"/>
    <x v="0"/>
    <x v="0"/>
    <x v="0"/>
    <x v="0"/>
    <x v="0"/>
    <x v="0"/>
    <x v="0"/>
    <x v="0"/>
    <x v="0"/>
    <x v="0"/>
    <x v="0"/>
    <x v="0"/>
    <x v="0"/>
    <x v="0"/>
    <x v="0"/>
    <x v="0"/>
    <x v="0"/>
    <x v="0"/>
    <x v="0"/>
    <x v="0"/>
    <x v="0"/>
    <x v="0"/>
    <x v="0"/>
    <x v="0"/>
    <x v="0"/>
    <x v="0"/>
    <x v="0"/>
    <x v="0"/>
    <n v="7623408.8399999999"/>
    <n v="87859552.920000002"/>
    <n v="-8606324.6199999992"/>
    <n v="96465877.540000007"/>
  </r>
  <r>
    <x v="0"/>
    <x v="4"/>
    <x v="4"/>
    <x v="10"/>
    <x v="10"/>
    <n v="0"/>
    <n v="0"/>
    <n v="0"/>
    <n v="0"/>
    <n v="0"/>
    <n v="0"/>
    <n v="0"/>
    <n v="0"/>
    <n v="0"/>
    <n v="0"/>
    <n v="0"/>
    <n v="0"/>
    <n v="0"/>
    <n v="0"/>
    <n v="0"/>
    <n v="1155684.8700000001"/>
    <n v="2183717.85"/>
    <n v="3220934.27"/>
    <n v="34079261.719999999"/>
    <n v="104453.73"/>
    <n v="103810.94"/>
    <n v="134594.31"/>
    <n v="834919.28"/>
    <n v="0"/>
    <n v="85979.520000000004"/>
    <n v="105751.43"/>
    <n v="364450.27"/>
    <n v="19465.150000000001"/>
    <n v="33616.720000000001"/>
    <n v="146804.46"/>
    <n v="1291284.69"/>
    <n v="3070.4"/>
    <n v="4368.1099999999997"/>
    <n v="11298.76"/>
    <n v="44960.56"/>
    <n v="0"/>
    <n v="1287.6600000000001"/>
    <n v="5716.26"/>
    <n v="1"/>
    <n v="1431243.6"/>
    <n v="2256033.94"/>
    <n v="3347749.27"/>
    <n v="6507084.29"/>
    <n v="28507251.530000001"/>
    <n v="376819.38"/>
    <n v="371096.33"/>
    <n v="480832.99"/>
    <n v="750290.12"/>
    <n v="1598915.51"/>
    <n v="382.84"/>
    <n v="326473.76"/>
    <n v="434100.67"/>
    <n v="647369.03"/>
    <n v="764372.36"/>
    <n v="0"/>
    <n v="0"/>
    <n v="0"/>
    <n v="0"/>
    <n v="0"/>
    <x v="0"/>
    <x v="0"/>
    <x v="0"/>
    <x v="0"/>
    <x v="0"/>
    <x v="0"/>
    <x v="0"/>
    <x v="0"/>
    <x v="0"/>
    <x v="0"/>
    <n v="0"/>
    <n v="0"/>
    <n v="0"/>
    <n v="0"/>
    <n v="0"/>
    <x v="0"/>
    <x v="0"/>
    <x v="0"/>
    <x v="0"/>
    <x v="0"/>
    <x v="0"/>
    <x v="0"/>
    <x v="0"/>
    <x v="0"/>
    <x v="0"/>
    <n v="69922.679999999993"/>
    <n v="149635.74"/>
    <n v="220252.79"/>
    <n v="452190.37"/>
    <n v="3581127.53"/>
    <n v="749.28"/>
    <n v="750.91"/>
    <n v="1215.54"/>
    <n v="2497.61"/>
    <n v="0"/>
    <x v="0"/>
    <n v="492.87"/>
    <n v="334.05"/>
    <x v="0"/>
    <x v="0"/>
    <x v="0"/>
    <x v="0"/>
    <x v="0"/>
    <x v="0"/>
    <x v="0"/>
    <x v="0"/>
    <x v="0"/>
    <x v="0"/>
    <x v="0"/>
    <x v="0"/>
    <x v="0"/>
    <x v="0"/>
    <x v="0"/>
    <x v="0"/>
    <x v="0"/>
    <x v="0"/>
    <x v="0"/>
    <x v="0"/>
    <x v="0"/>
    <x v="0"/>
    <x v="0"/>
    <x v="0"/>
    <x v="0"/>
    <x v="0"/>
    <x v="0"/>
    <x v="0"/>
    <x v="0"/>
    <n v="7561355.4800000004"/>
    <n v="87935729.379999995"/>
    <n v="-8278887.5700000003"/>
    <n v="96214616.950000003"/>
  </r>
  <r>
    <x v="0"/>
    <x v="4"/>
    <x v="4"/>
    <x v="11"/>
    <x v="11"/>
    <n v="0"/>
    <n v="0"/>
    <n v="0"/>
    <n v="0"/>
    <n v="0"/>
    <n v="0"/>
    <n v="0"/>
    <n v="0"/>
    <n v="0"/>
    <n v="0"/>
    <n v="0"/>
    <n v="0"/>
    <n v="0"/>
    <n v="0"/>
    <n v="0"/>
    <n v="1122084.8500000001"/>
    <n v="2175986.0499999998"/>
    <n v="3152545.97"/>
    <n v="34255879.299999997"/>
    <n v="97256.15"/>
    <n v="104266.85"/>
    <n v="127982.66"/>
    <n v="757127.44"/>
    <n v="0"/>
    <n v="79363.09"/>
    <n v="104368.64"/>
    <n v="388492.5"/>
    <n v="19484.419999999998"/>
    <n v="35480.04"/>
    <n v="154677.35999999999"/>
    <n v="1464166.69"/>
    <n v="2347.59"/>
    <n v="3916.69"/>
    <n v="9612.81"/>
    <n v="34801.480000000003"/>
    <n v="0"/>
    <n v="985.49"/>
    <n v="6799.13"/>
    <n v="1"/>
    <n v="1356374.32"/>
    <n v="2341174.5099999998"/>
    <n v="3369740.28"/>
    <n v="6611964.5199999996"/>
    <n v="28215014.219999999"/>
    <n v="338780.2"/>
    <n v="386137.42"/>
    <n v="432335.9"/>
    <n v="711943.39"/>
    <n v="1476430.34"/>
    <n v="398.06"/>
    <n v="307577.31"/>
    <n v="444127.31"/>
    <n v="674914.83"/>
    <n v="839884.37"/>
    <n v="0"/>
    <n v="0"/>
    <n v="0"/>
    <n v="0"/>
    <n v="0"/>
    <x v="0"/>
    <x v="0"/>
    <x v="0"/>
    <x v="0"/>
    <x v="0"/>
    <x v="0"/>
    <x v="0"/>
    <x v="0"/>
    <x v="0"/>
    <x v="0"/>
    <n v="0"/>
    <n v="0"/>
    <n v="0"/>
    <n v="0"/>
    <n v="0"/>
    <x v="0"/>
    <x v="0"/>
    <x v="0"/>
    <x v="0"/>
    <x v="0"/>
    <x v="0"/>
    <x v="0"/>
    <x v="0"/>
    <x v="0"/>
    <x v="0"/>
    <n v="73212.33"/>
    <n v="163101.28"/>
    <n v="249810.27"/>
    <n v="520860.1"/>
    <n v="3966214.04"/>
    <n v="612.65"/>
    <n v="818.63"/>
    <n v="885.97"/>
    <n v="1943.45"/>
    <n v="0"/>
    <x v="0"/>
    <n v="357.28"/>
    <n v="364.98"/>
    <x v="5"/>
    <x v="0"/>
    <x v="0"/>
    <x v="0"/>
    <x v="0"/>
    <x v="0"/>
    <x v="0"/>
    <x v="0"/>
    <x v="0"/>
    <x v="0"/>
    <x v="0"/>
    <x v="0"/>
    <x v="0"/>
    <x v="0"/>
    <x v="0"/>
    <x v="0"/>
    <x v="0"/>
    <x v="0"/>
    <x v="0"/>
    <x v="0"/>
    <x v="0"/>
    <x v="0"/>
    <x v="0"/>
    <x v="0"/>
    <x v="0"/>
    <x v="0"/>
    <x v="0"/>
    <x v="0"/>
    <x v="0"/>
    <n v="7334925.3099999996"/>
    <n v="88211323.849999994"/>
    <n v="-8371372.0099999998"/>
    <n v="96582695.859999999"/>
  </r>
  <r>
    <x v="0"/>
    <x v="5"/>
    <x v="5"/>
    <x v="0"/>
    <x v="0"/>
    <n v="698.33"/>
    <n v="1431.52"/>
    <n v="723.86"/>
    <n v="0"/>
    <n v="0"/>
    <n v="333.34"/>
    <n v="166.27"/>
    <n v="0"/>
    <n v="0"/>
    <n v="0"/>
    <n v="0"/>
    <n v="241.02"/>
    <n v="0"/>
    <n v="0"/>
    <n v="17208.810000000001"/>
    <n v="1261681.33"/>
    <n v="2133898.7200000002"/>
    <n v="3401124.43"/>
    <n v="37612168.719999999"/>
    <n v="121156.08"/>
    <n v="144494.17000000001"/>
    <n v="209619.49"/>
    <n v="1076777.6000000001"/>
    <n v="63899.06"/>
    <n v="372001.79"/>
    <n v="275688.03999999998"/>
    <n v="915199.39"/>
    <n v="119296.94"/>
    <n v="203369.34"/>
    <n v="955444.42"/>
    <n v="7983758.9199999999"/>
    <n v="1804"/>
    <n v="1231.56"/>
    <n v="5501.63"/>
    <n v="35500.589999999997"/>
    <n v="0"/>
    <n v="498.14"/>
    <n v="19178.439999999999"/>
    <n v="27231.68"/>
    <n v="924329.41"/>
    <n v="1486265.64"/>
    <n v="2417447.0099999998"/>
    <n v="4647220.78"/>
    <n v="18046110.039999999"/>
    <n v="124659.56"/>
    <n v="153115.97"/>
    <n v="243596.11"/>
    <n v="388862.2"/>
    <n v="721121.9"/>
    <n v="62380.87"/>
    <n v="375327.5"/>
    <n v="248509.11"/>
    <n v="292174.62"/>
    <n v="712231.98"/>
    <n v="0"/>
    <n v="0"/>
    <n v="0"/>
    <n v="0"/>
    <n v="0"/>
    <x v="0"/>
    <x v="0"/>
    <x v="0"/>
    <x v="0"/>
    <x v="0"/>
    <x v="0"/>
    <x v="0"/>
    <x v="0"/>
    <x v="0"/>
    <x v="0"/>
    <n v="0"/>
    <n v="0"/>
    <n v="0"/>
    <n v="0"/>
    <n v="0"/>
    <x v="0"/>
    <x v="0"/>
    <x v="0"/>
    <x v="0"/>
    <x v="0"/>
    <x v="0"/>
    <x v="0"/>
    <x v="0"/>
    <x v="0"/>
    <x v="0"/>
    <n v="10978.99"/>
    <n v="21626.05"/>
    <n v="38841.11"/>
    <n v="75160.58"/>
    <n v="547331.52"/>
    <n v="0"/>
    <n v="0"/>
    <n v="0"/>
    <n v="0"/>
    <n v="0"/>
    <x v="0"/>
    <n v="0"/>
    <n v="0"/>
    <x v="0"/>
    <x v="0"/>
    <x v="0"/>
    <x v="0"/>
    <x v="0"/>
    <x v="0"/>
    <x v="0"/>
    <x v="0"/>
    <x v="0"/>
    <x v="0"/>
    <x v="0"/>
    <x v="0"/>
    <x v="0"/>
    <x v="0"/>
    <x v="0"/>
    <x v="0"/>
    <x v="0"/>
    <x v="0"/>
    <x v="0"/>
    <x v="0"/>
    <x v="0"/>
    <x v="0"/>
    <x v="0"/>
    <x v="0"/>
    <x v="0"/>
    <x v="0"/>
    <x v="0"/>
    <x v="0"/>
    <x v="0"/>
    <n v="6609710.9199999999"/>
    <n v="82189848.129999995"/>
    <n v="-6308770.4500000002"/>
    <n v="88498618.579999998"/>
  </r>
  <r>
    <x v="0"/>
    <x v="5"/>
    <x v="5"/>
    <x v="1"/>
    <x v="1"/>
    <n v="1411.33"/>
    <n v="1442.38"/>
    <n v="0"/>
    <n v="0"/>
    <n v="0"/>
    <n v="332.94"/>
    <n v="0"/>
    <n v="0"/>
    <n v="0"/>
    <n v="0"/>
    <n v="0"/>
    <n v="274.11"/>
    <n v="0"/>
    <n v="0"/>
    <n v="17208.810000000001"/>
    <n v="1168198.8"/>
    <n v="2169327.4300000002"/>
    <n v="3364890.71"/>
    <n v="38142246.530000001"/>
    <n v="124608.9"/>
    <n v="141946.51999999999"/>
    <n v="207774.91"/>
    <n v="1127224"/>
    <n v="97636.89"/>
    <n v="216416.11"/>
    <n v="386234.72"/>
    <n v="979053.01"/>
    <n v="122558.62"/>
    <n v="202539.75"/>
    <n v="965580.57"/>
    <n v="7980193.4400000004"/>
    <n v="3196.62"/>
    <n v="2166.46"/>
    <n v="8939.82"/>
    <n v="41966.71"/>
    <n v="0"/>
    <n v="902.71"/>
    <n v="19517.580000000002"/>
    <n v="27231.68"/>
    <n v="884293.72"/>
    <n v="1399140.75"/>
    <n v="2369966.2000000002"/>
    <n v="4623988.0599999996"/>
    <n v="17673604.93"/>
    <n v="129295.15"/>
    <n v="134152.71"/>
    <n v="239291.31"/>
    <n v="385149.38"/>
    <n v="814502.98"/>
    <n v="144239.88"/>
    <n v="271017.52"/>
    <n v="308037.98"/>
    <n v="289077.01"/>
    <n v="754406.75"/>
    <n v="0"/>
    <n v="0"/>
    <n v="0"/>
    <n v="0"/>
    <n v="0"/>
    <x v="0"/>
    <x v="0"/>
    <x v="0"/>
    <x v="0"/>
    <x v="0"/>
    <x v="0"/>
    <x v="0"/>
    <x v="0"/>
    <x v="0"/>
    <x v="0"/>
    <n v="0"/>
    <n v="0"/>
    <n v="0"/>
    <n v="0"/>
    <n v="0"/>
    <x v="0"/>
    <x v="0"/>
    <x v="0"/>
    <x v="0"/>
    <x v="0"/>
    <x v="0"/>
    <x v="0"/>
    <x v="0"/>
    <x v="0"/>
    <x v="0"/>
    <n v="15900.6"/>
    <n v="29741.7"/>
    <n v="51983.89"/>
    <n v="105638.88"/>
    <n v="798285.17"/>
    <n v="0"/>
    <n v="0"/>
    <n v="0"/>
    <n v="0"/>
    <n v="0"/>
    <x v="0"/>
    <n v="0"/>
    <n v="0"/>
    <x v="0"/>
    <x v="0"/>
    <x v="0"/>
    <x v="0"/>
    <x v="0"/>
    <x v="0"/>
    <x v="0"/>
    <x v="0"/>
    <x v="0"/>
    <x v="0"/>
    <x v="0"/>
    <x v="0"/>
    <x v="0"/>
    <x v="0"/>
    <x v="0"/>
    <x v="0"/>
    <x v="0"/>
    <x v="0"/>
    <x v="0"/>
    <x v="0"/>
    <x v="0"/>
    <x v="0"/>
    <x v="0"/>
    <x v="0"/>
    <x v="0"/>
    <x v="0"/>
    <x v="0"/>
    <x v="0"/>
    <x v="0"/>
    <n v="6871803.1699999999"/>
    <n v="82502229.519999996"/>
    <n v="-6440507.1100000003"/>
    <n v="88942736.629999995"/>
  </r>
  <r>
    <x v="0"/>
    <x v="5"/>
    <x v="5"/>
    <x v="2"/>
    <x v="2"/>
    <n v="1431.43"/>
    <n v="723.86"/>
    <n v="0"/>
    <n v="0"/>
    <n v="0"/>
    <n v="166.27"/>
    <n v="0"/>
    <n v="0"/>
    <n v="0"/>
    <n v="0"/>
    <n v="0"/>
    <n v="302.87"/>
    <n v="0"/>
    <n v="0"/>
    <n v="3592.57"/>
    <n v="1178954.6100000001"/>
    <n v="2258535.2599999998"/>
    <n v="3339161.25"/>
    <n v="38463739.140000001"/>
    <n v="106767.82"/>
    <n v="144854.42000000001"/>
    <n v="200676.04"/>
    <n v="1079652.8"/>
    <n v="53214.98"/>
    <n v="181793.42"/>
    <n v="407043.73"/>
    <n v="933773.82"/>
    <n v="115471.76"/>
    <n v="208038.01"/>
    <n v="970455.18"/>
    <n v="7952780.7599999998"/>
    <n v="3401.1"/>
    <n v="2304.3200000000002"/>
    <n v="9871.9500000000007"/>
    <n v="19672.66"/>
    <n v="0"/>
    <n v="1024.43"/>
    <n v="768.73"/>
    <n v="27231.68"/>
    <n v="754992.5"/>
    <n v="1500511.85"/>
    <n v="2301685.5"/>
    <n v="4534773.13"/>
    <n v="17354816.16"/>
    <n v="126152.1"/>
    <n v="169832.62"/>
    <n v="254149.78"/>
    <n v="437060.81"/>
    <n v="887053.71"/>
    <n v="44903.51"/>
    <n v="264894.11"/>
    <n v="394334.37"/>
    <n v="294131.43"/>
    <n v="697957.16"/>
    <n v="0"/>
    <n v="0"/>
    <n v="0"/>
    <n v="0"/>
    <n v="0"/>
    <x v="0"/>
    <x v="0"/>
    <x v="0"/>
    <x v="0"/>
    <x v="0"/>
    <x v="0"/>
    <x v="0"/>
    <x v="0"/>
    <x v="0"/>
    <x v="0"/>
    <n v="0"/>
    <n v="0"/>
    <n v="0"/>
    <n v="0"/>
    <n v="0"/>
    <x v="0"/>
    <x v="0"/>
    <x v="0"/>
    <x v="0"/>
    <x v="0"/>
    <x v="0"/>
    <x v="0"/>
    <x v="0"/>
    <x v="0"/>
    <x v="0"/>
    <n v="23190.74"/>
    <n v="46531.57"/>
    <n v="76618.399999999994"/>
    <n v="159274.18"/>
    <n v="1211581.1299999999"/>
    <n v="0"/>
    <n v="0"/>
    <n v="0"/>
    <n v="0"/>
    <n v="0"/>
    <x v="0"/>
    <n v="0"/>
    <n v="0"/>
    <x v="0"/>
    <x v="0"/>
    <x v="0"/>
    <x v="0"/>
    <x v="0"/>
    <x v="0"/>
    <x v="0"/>
    <x v="0"/>
    <x v="0"/>
    <x v="0"/>
    <x v="0"/>
    <x v="0"/>
    <x v="0"/>
    <x v="0"/>
    <x v="0"/>
    <x v="0"/>
    <x v="0"/>
    <x v="0"/>
    <x v="0"/>
    <x v="0"/>
    <x v="0"/>
    <x v="0"/>
    <x v="0"/>
    <x v="0"/>
    <x v="0"/>
    <x v="0"/>
    <x v="0"/>
    <x v="0"/>
    <x v="0"/>
    <n v="6746583.21"/>
    <n v="82855014"/>
    <n v="-6344835.6299999999"/>
    <n v="89199849.629999995"/>
  </r>
  <r>
    <x v="0"/>
    <x v="5"/>
    <x v="5"/>
    <x v="3"/>
    <x v="3"/>
    <n v="1442.38"/>
    <n v="0"/>
    <n v="0"/>
    <n v="0"/>
    <n v="0"/>
    <n v="0"/>
    <n v="0"/>
    <n v="0"/>
    <n v="0"/>
    <n v="0"/>
    <n v="0"/>
    <n v="330.8"/>
    <n v="0"/>
    <n v="0"/>
    <n v="2892.97"/>
    <n v="1228501.48"/>
    <n v="2218649.63"/>
    <n v="3286073.87"/>
    <n v="38411296.270000003"/>
    <n v="119304.01"/>
    <n v="146075.92000000001"/>
    <n v="211811.86"/>
    <n v="1172231.67"/>
    <n v="57155.83"/>
    <n v="173101.22"/>
    <n v="367381.02"/>
    <n v="993424.16"/>
    <n v="118189"/>
    <n v="204882.69"/>
    <n v="973019.63"/>
    <n v="7886056"/>
    <n v="6551.6"/>
    <n v="4062.5"/>
    <n v="17297.830000000002"/>
    <n v="64383.06"/>
    <n v="0"/>
    <n v="2152.96"/>
    <n v="1493.06"/>
    <n v="27231.68"/>
    <n v="839312.02"/>
    <n v="1472327.2"/>
    <n v="2269943.56"/>
    <n v="4574718.6100000003"/>
    <n v="17394257.32"/>
    <n v="140856.07999999999"/>
    <n v="169083.22"/>
    <n v="259483.6"/>
    <n v="442568.51"/>
    <n v="881326.88"/>
    <n v="63164.14"/>
    <n v="262891.32"/>
    <n v="362713.54"/>
    <n v="330008.15999999997"/>
    <n v="724132.83"/>
    <n v="0"/>
    <n v="0"/>
    <n v="0"/>
    <n v="0"/>
    <n v="0"/>
    <x v="0"/>
    <x v="0"/>
    <x v="0"/>
    <x v="0"/>
    <x v="0"/>
    <x v="0"/>
    <x v="0"/>
    <x v="0"/>
    <x v="0"/>
    <x v="0"/>
    <n v="0"/>
    <n v="0"/>
    <n v="0"/>
    <n v="0"/>
    <n v="0"/>
    <x v="0"/>
    <x v="0"/>
    <x v="0"/>
    <x v="0"/>
    <x v="0"/>
    <x v="0"/>
    <x v="0"/>
    <x v="0"/>
    <x v="0"/>
    <x v="0"/>
    <n v="27021.43"/>
    <n v="64280.93"/>
    <n v="88628.36"/>
    <n v="195215.38"/>
    <n v="1506757.58"/>
    <n v="0"/>
    <n v="0"/>
    <n v="0"/>
    <n v="0"/>
    <n v="0"/>
    <x v="0"/>
    <n v="0"/>
    <n v="0"/>
    <x v="0"/>
    <x v="0"/>
    <x v="0"/>
    <x v="0"/>
    <x v="0"/>
    <x v="0"/>
    <x v="0"/>
    <x v="0"/>
    <x v="0"/>
    <x v="0"/>
    <x v="0"/>
    <x v="0"/>
    <x v="0"/>
    <x v="0"/>
    <x v="0"/>
    <x v="0"/>
    <x v="0"/>
    <x v="0"/>
    <x v="0"/>
    <x v="0"/>
    <x v="0"/>
    <x v="0"/>
    <x v="0"/>
    <x v="0"/>
    <x v="0"/>
    <x v="0"/>
    <x v="0"/>
    <x v="0"/>
    <x v="0"/>
    <n v="7003110.4299999997"/>
    <n v="83332833.980000004"/>
    <n v="-6430849.79"/>
    <n v="89763683.769999996"/>
  </r>
  <r>
    <x v="0"/>
    <x v="5"/>
    <x v="5"/>
    <x v="4"/>
    <x v="4"/>
    <n v="0"/>
    <n v="0"/>
    <n v="0"/>
    <n v="0"/>
    <n v="0"/>
    <n v="723.86"/>
    <n v="0"/>
    <n v="0"/>
    <n v="0"/>
    <n v="0"/>
    <n v="0"/>
    <n v="604.20000000000005"/>
    <n v="15.88"/>
    <n v="0"/>
    <n v="2693.36"/>
    <n v="1164991.6200000001"/>
    <n v="2219712.2799999998"/>
    <n v="3285756.95"/>
    <n v="38779432.18"/>
    <n v="123759.64"/>
    <n v="155865.57"/>
    <n v="224662.9"/>
    <n v="1206144.06"/>
    <n v="75556.36"/>
    <n v="139030.39999999999"/>
    <n v="245453.95"/>
    <n v="1178958.27"/>
    <n v="118672.2"/>
    <n v="207015.63"/>
    <n v="989591.29"/>
    <n v="7882620.5"/>
    <n v="5211.6099999999997"/>
    <n v="3539.14"/>
    <n v="14189.4"/>
    <n v="40830.160000000003"/>
    <n v="6975.76"/>
    <n v="1935.19"/>
    <n v="2518.27"/>
    <n v="27231.68"/>
    <n v="832194.37"/>
    <n v="1460841.98"/>
    <n v="2164299"/>
    <n v="4592217.3899999997"/>
    <n v="17064745.870000001"/>
    <n v="139167.04999999999"/>
    <n v="170038.49"/>
    <n v="257676.61"/>
    <n v="443190.65"/>
    <n v="868519.45"/>
    <n v="83683.240000000005"/>
    <n v="170131.7"/>
    <n v="368956.93"/>
    <n v="428701.93"/>
    <n v="749023.31"/>
    <n v="0"/>
    <n v="0"/>
    <n v="0"/>
    <n v="0"/>
    <n v="0"/>
    <x v="0"/>
    <x v="0"/>
    <x v="0"/>
    <x v="0"/>
    <x v="0"/>
    <x v="0"/>
    <x v="0"/>
    <x v="0"/>
    <x v="0"/>
    <x v="0"/>
    <n v="0"/>
    <n v="0"/>
    <n v="0"/>
    <n v="0"/>
    <n v="0"/>
    <x v="0"/>
    <x v="0"/>
    <x v="0"/>
    <x v="0"/>
    <x v="0"/>
    <x v="0"/>
    <x v="0"/>
    <x v="0"/>
    <x v="0"/>
    <x v="0"/>
    <n v="32016.55"/>
    <n v="74467.73"/>
    <n v="102982.99"/>
    <n v="231930.51"/>
    <n v="1767247.12"/>
    <n v="0"/>
    <n v="0"/>
    <n v="0"/>
    <n v="0"/>
    <n v="0"/>
    <x v="0"/>
    <n v="0"/>
    <n v="0"/>
    <x v="0"/>
    <x v="0"/>
    <x v="0"/>
    <x v="0"/>
    <x v="0"/>
    <x v="0"/>
    <x v="0"/>
    <x v="0"/>
    <x v="0"/>
    <x v="0"/>
    <x v="0"/>
    <x v="0"/>
    <x v="0"/>
    <x v="0"/>
    <x v="0"/>
    <x v="0"/>
    <x v="0"/>
    <x v="0"/>
    <x v="0"/>
    <x v="0"/>
    <x v="0"/>
    <x v="0"/>
    <x v="0"/>
    <x v="0"/>
    <x v="0"/>
    <x v="0"/>
    <x v="0"/>
    <x v="0"/>
    <x v="0"/>
    <n v="7134989.0199999996"/>
    <n v="83579601.450000003"/>
    <n v="-6526123.7300000004"/>
    <n v="90105725.180000007"/>
  </r>
  <r>
    <x v="0"/>
    <x v="5"/>
    <x v="5"/>
    <x v="5"/>
    <x v="5"/>
    <n v="0"/>
    <n v="0"/>
    <n v="0"/>
    <n v="0"/>
    <n v="0"/>
    <n v="0"/>
    <n v="0"/>
    <n v="0"/>
    <n v="0"/>
    <n v="0"/>
    <n v="0"/>
    <n v="911.26"/>
    <n v="0"/>
    <n v="0"/>
    <n v="2233.75"/>
    <n v="1221847.97"/>
    <n v="2249922.2000000002"/>
    <n v="3575807.59"/>
    <n v="39315757.280000001"/>
    <n v="101719.67"/>
    <n v="116650.78"/>
    <n v="161992.67000000001"/>
    <n v="870834.29"/>
    <n v="40760.730000000003"/>
    <n v="155147.81"/>
    <n v="175520.99"/>
    <n v="1178393.1100000001"/>
    <n v="119772.67"/>
    <n v="208315.65"/>
    <n v="990707.69"/>
    <n v="7870445.5199999996"/>
    <n v="4267.84"/>
    <n v="2951.76"/>
    <n v="10429.530000000001"/>
    <n v="42081.62"/>
    <n v="0"/>
    <n v="8464.49"/>
    <n v="2854.71"/>
    <n v="17571.61"/>
    <n v="819770.25"/>
    <n v="1498207.07"/>
    <n v="2295774.13"/>
    <n v="4505091.7300000004"/>
    <n v="17092477.199999999"/>
    <n v="116690.74"/>
    <n v="140566.70000000001"/>
    <n v="204619.87"/>
    <n v="343036.67"/>
    <n v="709060.06"/>
    <n v="49710.07"/>
    <n v="196850.92"/>
    <n v="264165.7"/>
    <n v="511607.78"/>
    <n v="734602.15"/>
    <n v="0"/>
    <n v="0"/>
    <n v="0"/>
    <n v="0"/>
    <n v="0"/>
    <x v="0"/>
    <x v="0"/>
    <x v="0"/>
    <x v="0"/>
    <x v="0"/>
    <x v="0"/>
    <x v="0"/>
    <x v="0"/>
    <x v="0"/>
    <x v="0"/>
    <n v="0"/>
    <n v="0"/>
    <n v="0"/>
    <n v="0"/>
    <n v="0"/>
    <x v="0"/>
    <x v="0"/>
    <x v="0"/>
    <x v="0"/>
    <x v="0"/>
    <x v="0"/>
    <x v="0"/>
    <x v="0"/>
    <x v="0"/>
    <x v="0"/>
    <n v="44670.879999999997"/>
    <n v="79116.98"/>
    <n v="126178.4"/>
    <n v="274156.28000000003"/>
    <n v="2154052.5499999998"/>
    <n v="0"/>
    <n v="0"/>
    <n v="0"/>
    <n v="0"/>
    <n v="0"/>
    <x v="0"/>
    <n v="0"/>
    <n v="0"/>
    <x v="0"/>
    <x v="0"/>
    <x v="0"/>
    <x v="0"/>
    <x v="0"/>
    <x v="0"/>
    <x v="0"/>
    <x v="0"/>
    <x v="0"/>
    <x v="0"/>
    <x v="0"/>
    <x v="0"/>
    <x v="0"/>
    <x v="0"/>
    <x v="0"/>
    <x v="0"/>
    <x v="0"/>
    <x v="0"/>
    <x v="0"/>
    <x v="0"/>
    <x v="0"/>
    <x v="0"/>
    <x v="0"/>
    <x v="0"/>
    <x v="0"/>
    <x v="0"/>
    <x v="0"/>
    <x v="0"/>
    <x v="0"/>
    <n v="6163697.2800000003"/>
    <n v="84191956.370000005"/>
    <n v="-6413812.9500000002"/>
    <n v="90605769.319999993"/>
  </r>
  <r>
    <x v="0"/>
    <x v="5"/>
    <x v="5"/>
    <x v="6"/>
    <x v="6"/>
    <n v="0"/>
    <n v="0"/>
    <n v="0"/>
    <n v="0"/>
    <n v="0"/>
    <n v="0"/>
    <n v="0"/>
    <n v="0"/>
    <n v="0"/>
    <n v="0"/>
    <n v="0"/>
    <n v="683.43"/>
    <n v="0"/>
    <n v="0"/>
    <n v="1934.13"/>
    <n v="1283697.46"/>
    <n v="2256298.4700000002"/>
    <n v="3631952.32"/>
    <n v="40082776.729999997"/>
    <n v="130166.92"/>
    <n v="106790.69"/>
    <n v="149113.74"/>
    <n v="800351.22"/>
    <n v="34453.17"/>
    <n v="148094.5"/>
    <n v="169979.76"/>
    <n v="1206179.19"/>
    <n v="123934.5"/>
    <n v="209897.94"/>
    <n v="1010699.03"/>
    <n v="7843231.0599999996"/>
    <n v="3749.36"/>
    <n v="2444.0300000000002"/>
    <n v="9527.7099999999991"/>
    <n v="40616.51"/>
    <n v="0"/>
    <n v="8071.49"/>
    <n v="2031.29"/>
    <n v="17713.28"/>
    <n v="967182.57"/>
    <n v="1413422"/>
    <n v="2345324.8199999998"/>
    <n v="4622260.28"/>
    <n v="16964854.27"/>
    <n v="160811.13"/>
    <n v="127141.28"/>
    <n v="191534.24"/>
    <n v="318888.42"/>
    <n v="644632.03"/>
    <n v="54754.3"/>
    <n v="199793.7"/>
    <n v="258267.04"/>
    <n v="510327.94"/>
    <n v="777349.3"/>
    <n v="0"/>
    <n v="0"/>
    <n v="0"/>
    <n v="0"/>
    <n v="0"/>
    <x v="0"/>
    <x v="0"/>
    <x v="0"/>
    <x v="0"/>
    <x v="0"/>
    <x v="0"/>
    <x v="0"/>
    <x v="0"/>
    <x v="0"/>
    <x v="0"/>
    <n v="0"/>
    <n v="0"/>
    <n v="0"/>
    <n v="0"/>
    <n v="0"/>
    <x v="0"/>
    <x v="0"/>
    <x v="0"/>
    <x v="0"/>
    <x v="0"/>
    <x v="0"/>
    <x v="0"/>
    <x v="0"/>
    <x v="0"/>
    <x v="0"/>
    <n v="44003.51"/>
    <n v="92318.34"/>
    <n v="149386.22"/>
    <n v="321197.43"/>
    <n v="2450435.5"/>
    <n v="0"/>
    <n v="0"/>
    <n v="0"/>
    <n v="0"/>
    <n v="0"/>
    <x v="0"/>
    <n v="0"/>
    <n v="0"/>
    <x v="0"/>
    <x v="0"/>
    <x v="0"/>
    <x v="0"/>
    <x v="0"/>
    <x v="0"/>
    <x v="0"/>
    <x v="0"/>
    <x v="0"/>
    <x v="0"/>
    <x v="0"/>
    <x v="0"/>
    <x v="0"/>
    <x v="0"/>
    <x v="0"/>
    <x v="0"/>
    <x v="0"/>
    <x v="0"/>
    <x v="0"/>
    <x v="0"/>
    <x v="0"/>
    <x v="0"/>
    <x v="0"/>
    <x v="0"/>
    <x v="0"/>
    <x v="0"/>
    <x v="0"/>
    <x v="0"/>
    <x v="0"/>
    <n v="6075399.7999999998"/>
    <n v="85382278.409999996"/>
    <n v="-6505993.8399999999"/>
    <n v="91888272.25"/>
  </r>
  <r>
    <x v="0"/>
    <x v="5"/>
    <x v="5"/>
    <x v="7"/>
    <x v="7"/>
    <n v="0"/>
    <n v="0"/>
    <n v="0"/>
    <n v="0"/>
    <n v="0"/>
    <n v="0"/>
    <n v="0"/>
    <n v="0"/>
    <n v="0"/>
    <n v="0"/>
    <n v="0"/>
    <n v="0"/>
    <n v="595.16999999999996"/>
    <n v="0"/>
    <n v="1934.13"/>
    <n v="1257930.2"/>
    <n v="2439507.2999999998"/>
    <n v="3651359.43"/>
    <n v="40716694.43"/>
    <n v="123197.52"/>
    <n v="107749.95"/>
    <n v="149941.34"/>
    <n v="758304.43"/>
    <n v="0"/>
    <n v="150899.54999999999"/>
    <n v="156601.17000000001"/>
    <n v="1252747.29"/>
    <n v="122394.03"/>
    <n v="211098.85"/>
    <n v="1015068.26"/>
    <n v="7720611.3700000001"/>
    <n v="4836.21"/>
    <n v="3147.66"/>
    <n v="12397.31"/>
    <n v="57039.11"/>
    <n v="0"/>
    <n v="1381.36"/>
    <n v="9187.27"/>
    <n v="17781.88"/>
    <n v="899536.27"/>
    <n v="1433475.99"/>
    <n v="2297423.6"/>
    <n v="4554521.0999999996"/>
    <n v="16973497.710000001"/>
    <n v="161333.72"/>
    <n v="136449.10999999999"/>
    <n v="221592"/>
    <n v="350960.74"/>
    <n v="651938.14"/>
    <n v="4490.68"/>
    <n v="234949.44"/>
    <n v="206003.66"/>
    <n v="569520.13"/>
    <n v="818999.75"/>
    <n v="0"/>
    <n v="0"/>
    <n v="0"/>
    <n v="0"/>
    <n v="0"/>
    <x v="0"/>
    <x v="0"/>
    <x v="0"/>
    <x v="0"/>
    <x v="0"/>
    <x v="0"/>
    <x v="0"/>
    <x v="0"/>
    <x v="0"/>
    <x v="0"/>
    <n v="0"/>
    <n v="0"/>
    <n v="0"/>
    <n v="0"/>
    <n v="0"/>
    <x v="0"/>
    <x v="0"/>
    <x v="0"/>
    <x v="0"/>
    <x v="0"/>
    <x v="0"/>
    <x v="0"/>
    <x v="0"/>
    <x v="0"/>
    <x v="0"/>
    <n v="47725.45"/>
    <n v="102304.58"/>
    <n v="164413.95000000001"/>
    <n v="354500.3"/>
    <n v="2688709.38"/>
    <n v="0"/>
    <n v="0"/>
    <n v="0"/>
    <n v="0"/>
    <n v="0"/>
    <x v="0"/>
    <n v="0"/>
    <n v="0"/>
    <x v="0"/>
    <x v="0"/>
    <x v="0"/>
    <x v="0"/>
    <x v="0"/>
    <x v="0"/>
    <x v="0"/>
    <x v="0"/>
    <x v="0"/>
    <x v="0"/>
    <x v="0"/>
    <x v="0"/>
    <x v="0"/>
    <x v="0"/>
    <x v="0"/>
    <x v="0"/>
    <x v="0"/>
    <x v="0"/>
    <x v="0"/>
    <x v="0"/>
    <x v="0"/>
    <x v="0"/>
    <x v="0"/>
    <x v="0"/>
    <x v="0"/>
    <x v="0"/>
    <x v="0"/>
    <x v="0"/>
    <x v="0"/>
    <n v="6163978.7199999997"/>
    <n v="86238462.769999996"/>
    <n v="-6576288.1500000004"/>
    <n v="92814750.920000002"/>
  </r>
  <r>
    <x v="0"/>
    <x v="5"/>
    <x v="5"/>
    <x v="8"/>
    <x v="8"/>
    <n v="0"/>
    <n v="0"/>
    <n v="0"/>
    <n v="0"/>
    <n v="0"/>
    <n v="0"/>
    <n v="0"/>
    <n v="0"/>
    <n v="0"/>
    <n v="0"/>
    <n v="0"/>
    <n v="0"/>
    <n v="306.70999999999998"/>
    <n v="0"/>
    <n v="1"/>
    <n v="1275512.82"/>
    <n v="2603343.63"/>
    <n v="3705987.49"/>
    <n v="41132822.609999999"/>
    <n v="112247.76"/>
    <n v="103243.85"/>
    <n v="144276.4"/>
    <n v="757334.63"/>
    <n v="52892.54"/>
    <n v="127678.73"/>
    <n v="161752.41"/>
    <n v="1134845.92"/>
    <n v="125891.45"/>
    <n v="219307.98"/>
    <n v="1038329.22"/>
    <n v="7787344.9699999997"/>
    <n v="4568.01"/>
    <n v="3047.02"/>
    <n v="11222.05"/>
    <n v="55731.94"/>
    <n v="0"/>
    <n v="1520.71"/>
    <n v="9200.7800000000007"/>
    <n v="17850.02"/>
    <n v="804997.65"/>
    <n v="1550913.52"/>
    <n v="2372909.4900000002"/>
    <n v="4447075.3499999996"/>
    <n v="17060098.300000001"/>
    <n v="156709.60999999999"/>
    <n v="152039.31"/>
    <n v="226712.83"/>
    <n v="353702.77"/>
    <n v="692578.17"/>
    <n v="26476.18"/>
    <n v="204549.58"/>
    <n v="233708.68"/>
    <n v="521905.22"/>
    <n v="724941.12"/>
    <n v="0"/>
    <n v="0"/>
    <n v="0"/>
    <n v="0"/>
    <n v="0"/>
    <x v="0"/>
    <x v="0"/>
    <x v="0"/>
    <x v="0"/>
    <x v="0"/>
    <x v="0"/>
    <x v="0"/>
    <x v="0"/>
    <x v="0"/>
    <x v="0"/>
    <n v="0"/>
    <n v="0"/>
    <n v="0"/>
    <n v="0"/>
    <n v="0"/>
    <x v="0"/>
    <x v="0"/>
    <x v="0"/>
    <x v="0"/>
    <x v="0"/>
    <x v="0"/>
    <x v="0"/>
    <x v="0"/>
    <x v="0"/>
    <x v="0"/>
    <n v="54688.02"/>
    <n v="112926.39"/>
    <n v="185923.89"/>
    <n v="380047.62"/>
    <n v="2967207.35"/>
    <n v="0"/>
    <n v="0"/>
    <n v="0"/>
    <n v="0"/>
    <n v="0"/>
    <x v="0"/>
    <n v="0"/>
    <n v="0"/>
    <x v="0"/>
    <x v="0"/>
    <x v="0"/>
    <x v="0"/>
    <x v="0"/>
    <x v="0"/>
    <x v="0"/>
    <x v="0"/>
    <x v="0"/>
    <x v="0"/>
    <x v="0"/>
    <x v="0"/>
    <x v="0"/>
    <x v="0"/>
    <x v="0"/>
    <x v="0"/>
    <x v="0"/>
    <x v="0"/>
    <x v="0"/>
    <x v="0"/>
    <x v="0"/>
    <x v="0"/>
    <x v="0"/>
    <x v="0"/>
    <x v="0"/>
    <x v="0"/>
    <x v="0"/>
    <x v="0"/>
    <x v="0"/>
    <n v="5991043.9500000002"/>
    <n v="87455478.379999995"/>
    <n v="-6360893.3200000003"/>
    <n v="93816371.700000003"/>
  </r>
  <r>
    <x v="0"/>
    <x v="5"/>
    <x v="5"/>
    <x v="9"/>
    <x v="9"/>
    <n v="0"/>
    <n v="0"/>
    <n v="0"/>
    <n v="0"/>
    <n v="0"/>
    <n v="0"/>
    <n v="0"/>
    <n v="0"/>
    <n v="0"/>
    <n v="0"/>
    <n v="0"/>
    <n v="0"/>
    <n v="212.14"/>
    <n v="0"/>
    <n v="1"/>
    <n v="1430766.89"/>
    <n v="2414487.6"/>
    <n v="3708619.32"/>
    <n v="41661056.710000001"/>
    <n v="127667.01"/>
    <n v="104214.43"/>
    <n v="161489.82999999999"/>
    <n v="915412.68"/>
    <n v="680.01"/>
    <n v="146637.18"/>
    <n v="176282.95"/>
    <n v="1162945.73"/>
    <n v="128784.05"/>
    <n v="214357.05"/>
    <n v="1059217.32"/>
    <n v="7715733.79"/>
    <n v="4344.2"/>
    <n v="2870.38"/>
    <n v="12009.32"/>
    <n v="104713.16"/>
    <n v="0"/>
    <n v="1361.73"/>
    <n v="9544.49"/>
    <n v="17922.759999999998"/>
    <n v="873417.75"/>
    <n v="1385927.6"/>
    <n v="2335340.39"/>
    <n v="4410464.63"/>
    <n v="16742454.09"/>
    <n v="182668.61"/>
    <n v="146138.42000000001"/>
    <n v="247279.14"/>
    <n v="382329.4"/>
    <n v="770727.07"/>
    <n v="0"/>
    <n v="181111.31"/>
    <n v="277686.96000000002"/>
    <n v="515026.92"/>
    <n v="773823.77"/>
    <n v="0"/>
    <n v="0"/>
    <n v="0"/>
    <n v="0"/>
    <n v="0"/>
    <x v="0"/>
    <x v="0"/>
    <x v="0"/>
    <x v="0"/>
    <x v="0"/>
    <x v="0"/>
    <x v="0"/>
    <x v="0"/>
    <x v="0"/>
    <x v="0"/>
    <n v="0"/>
    <n v="0"/>
    <n v="0"/>
    <n v="0"/>
    <n v="0"/>
    <x v="0"/>
    <x v="0"/>
    <x v="0"/>
    <x v="0"/>
    <x v="0"/>
    <x v="0"/>
    <x v="0"/>
    <x v="0"/>
    <x v="0"/>
    <x v="0"/>
    <n v="58860.54"/>
    <n v="123412.49"/>
    <n v="198566.29"/>
    <n v="416542.73"/>
    <n v="3219714"/>
    <n v="784.66"/>
    <n v="268.57"/>
    <n v="1104.76"/>
    <n v="1456.54"/>
    <n v="2194.27"/>
    <x v="0"/>
    <n v="202.17"/>
    <n v="0"/>
    <x v="0"/>
    <x v="0"/>
    <x v="0"/>
    <x v="0"/>
    <x v="0"/>
    <x v="0"/>
    <x v="0"/>
    <x v="0"/>
    <x v="0"/>
    <x v="0"/>
    <x v="0"/>
    <x v="0"/>
    <x v="0"/>
    <x v="0"/>
    <x v="0"/>
    <x v="0"/>
    <x v="0"/>
    <x v="0"/>
    <x v="0"/>
    <x v="0"/>
    <x v="0"/>
    <x v="0"/>
    <x v="0"/>
    <x v="0"/>
    <x v="0"/>
    <x v="0"/>
    <x v="0"/>
    <x v="0"/>
    <x v="0"/>
    <n v="6431111.5700000003"/>
    <n v="87955818.799999997"/>
    <n v="-6573016.0099999998"/>
    <n v="94528834.810000002"/>
  </r>
  <r>
    <x v="0"/>
    <x v="5"/>
    <x v="5"/>
    <x v="10"/>
    <x v="10"/>
    <n v="0"/>
    <n v="0"/>
    <n v="0"/>
    <n v="0"/>
    <n v="0"/>
    <n v="0"/>
    <n v="0"/>
    <n v="0"/>
    <n v="0"/>
    <n v="0"/>
    <n v="0"/>
    <n v="0"/>
    <n v="0"/>
    <n v="0"/>
    <n v="1"/>
    <n v="1465894.55"/>
    <n v="2490201.73"/>
    <n v="3558979.28"/>
    <n v="42155491.32"/>
    <n v="133048.32000000001"/>
    <n v="114075.31"/>
    <n v="148236.49"/>
    <n v="923635.75"/>
    <n v="9589.01"/>
    <n v="145987.28"/>
    <n v="149777.29999999999"/>
    <n v="1178982.6399999999"/>
    <n v="130974.64"/>
    <n v="220460.96"/>
    <n v="1039698.9"/>
    <n v="7647799.1799999997"/>
    <n v="4953.96"/>
    <n v="3104.65"/>
    <n v="12593.61"/>
    <n v="111444"/>
    <n v="26810.71"/>
    <n v="1470.36"/>
    <n v="10724.68"/>
    <n v="17994.080000000002"/>
    <n v="922958.2"/>
    <n v="1491225.67"/>
    <n v="2201170.37"/>
    <n v="4267838.55"/>
    <n v="16517758.51"/>
    <n v="180455.35"/>
    <n v="164257.51999999999"/>
    <n v="200993.97"/>
    <n v="345780.64"/>
    <n v="773144.98"/>
    <n v="13310.74"/>
    <n v="172816.45"/>
    <n v="252638.67"/>
    <n v="450238.5"/>
    <n v="893263.1"/>
    <n v="0"/>
    <n v="0"/>
    <n v="0"/>
    <n v="0"/>
    <n v="0"/>
    <x v="0"/>
    <x v="0"/>
    <x v="0"/>
    <x v="0"/>
    <x v="0"/>
    <x v="0"/>
    <x v="0"/>
    <x v="0"/>
    <x v="0"/>
    <x v="0"/>
    <n v="0"/>
    <n v="0"/>
    <n v="0"/>
    <n v="0"/>
    <n v="0"/>
    <x v="0"/>
    <x v="0"/>
    <x v="0"/>
    <x v="0"/>
    <x v="0"/>
    <x v="0"/>
    <x v="0"/>
    <x v="0"/>
    <x v="0"/>
    <x v="0"/>
    <n v="87678.44"/>
    <n v="182235.38"/>
    <n v="282078.45"/>
    <n v="591269.47"/>
    <n v="4311405.6399999997"/>
    <n v="794.1"/>
    <n v="542.89"/>
    <n v="845.5"/>
    <n v="1473.78"/>
    <n v="1893.4"/>
    <x v="0"/>
    <n v="259.13"/>
    <n v="202.17"/>
    <x v="0"/>
    <x v="0"/>
    <x v="0"/>
    <x v="0"/>
    <x v="0"/>
    <x v="0"/>
    <x v="0"/>
    <x v="0"/>
    <x v="0"/>
    <x v="0"/>
    <x v="0"/>
    <x v="0"/>
    <x v="0"/>
    <x v="0"/>
    <x v="0"/>
    <x v="0"/>
    <x v="0"/>
    <x v="0"/>
    <x v="0"/>
    <x v="0"/>
    <x v="0"/>
    <x v="0"/>
    <x v="0"/>
    <x v="0"/>
    <x v="0"/>
    <x v="0"/>
    <x v="0"/>
    <x v="0"/>
    <x v="0"/>
    <n v="6445340.04"/>
    <n v="89291887.609999999"/>
    <n v="-6718571.6699999999"/>
    <n v="96010459.280000001"/>
  </r>
  <r>
    <x v="0"/>
    <x v="5"/>
    <x v="5"/>
    <x v="11"/>
    <x v="11"/>
    <n v="0"/>
    <n v="0"/>
    <n v="0"/>
    <n v="0"/>
    <n v="0"/>
    <n v="0"/>
    <n v="0"/>
    <n v="0"/>
    <n v="0"/>
    <n v="0"/>
    <n v="0"/>
    <n v="0"/>
    <n v="0"/>
    <n v="0"/>
    <n v="1"/>
    <n v="1340356.1499999999"/>
    <n v="2554705.2799999998"/>
    <n v="3569350.37"/>
    <n v="43188277.479999997"/>
    <n v="96221.72"/>
    <n v="79920.97"/>
    <n v="102202.53"/>
    <n v="571509.35"/>
    <n v="163265.54"/>
    <n v="93442.03"/>
    <n v="177415.82"/>
    <n v="1078468.96"/>
    <n v="128698.84"/>
    <n v="232698.73"/>
    <n v="1067712.7"/>
    <n v="7738954.7000000002"/>
    <n v="3746.32"/>
    <n v="2332.67"/>
    <n v="8505.2000000000007"/>
    <n v="55670.58"/>
    <n v="0"/>
    <n v="27913.65"/>
    <n v="10816.17"/>
    <n v="18062.03"/>
    <n v="875709.3"/>
    <n v="1544989.42"/>
    <n v="2212662.7400000002"/>
    <n v="4301608.3499999996"/>
    <n v="16357240.109999999"/>
    <n v="136623.75"/>
    <n v="115584.53"/>
    <n v="141401.22"/>
    <n v="246939.17"/>
    <n v="514549.72"/>
    <n v="261020.32"/>
    <n v="145010.65"/>
    <n v="253056.89"/>
    <n v="396778.73"/>
    <n v="867154.49"/>
    <n v="0"/>
    <n v="0"/>
    <n v="0"/>
    <n v="0"/>
    <n v="0"/>
    <x v="0"/>
    <x v="0"/>
    <x v="0"/>
    <x v="0"/>
    <x v="0"/>
    <x v="0"/>
    <x v="0"/>
    <x v="0"/>
    <x v="0"/>
    <x v="0"/>
    <n v="0"/>
    <n v="0"/>
    <n v="0"/>
    <n v="0"/>
    <n v="0"/>
    <x v="0"/>
    <x v="0"/>
    <x v="0"/>
    <x v="0"/>
    <x v="0"/>
    <x v="0"/>
    <x v="0"/>
    <x v="0"/>
    <x v="0"/>
    <x v="0"/>
    <n v="116917.91"/>
    <n v="232674.65"/>
    <n v="358122.19"/>
    <n v="769434.54"/>
    <n v="5487708.9900000002"/>
    <n v="797.93"/>
    <n v="558.53"/>
    <n v="852.29"/>
    <n v="1492.28"/>
    <n v="1586.39"/>
    <x v="0"/>
    <n v="262.25"/>
    <n v="348.86"/>
    <x v="0"/>
    <x v="0"/>
    <x v="0"/>
    <x v="0"/>
    <x v="0"/>
    <x v="0"/>
    <x v="0"/>
    <x v="0"/>
    <x v="0"/>
    <x v="0"/>
    <x v="0"/>
    <x v="0"/>
    <x v="0"/>
    <x v="0"/>
    <x v="0"/>
    <x v="0"/>
    <x v="0"/>
    <x v="0"/>
    <x v="0"/>
    <x v="0"/>
    <x v="0"/>
    <x v="0"/>
    <x v="0"/>
    <x v="0"/>
    <x v="0"/>
    <x v="0"/>
    <x v="0"/>
    <x v="0"/>
    <x v="0"/>
    <n v="5573512.54"/>
    <n v="90938869.439999998"/>
    <n v="-6712465.5499999998"/>
    <n v="97651334.989999995"/>
  </r>
  <r>
    <x v="0"/>
    <x v="6"/>
    <x v="6"/>
    <x v="0"/>
    <x v="0"/>
    <n v="35589.4"/>
    <n v="62083.02"/>
    <n v="91276.53"/>
    <n v="167519.73000000001"/>
    <n v="1599393.06"/>
    <n v="625.53"/>
    <n v="0"/>
    <n v="0"/>
    <n v="0"/>
    <n v="0"/>
    <n v="631.37"/>
    <n v="3393.39"/>
    <n v="3237.78"/>
    <n v="4965.78"/>
    <n v="1036.1400000000001"/>
    <n v="1756944.05"/>
    <n v="3089717.27"/>
    <n v="4039270.39"/>
    <n v="33497118.260000002"/>
    <n v="156405.34"/>
    <n v="191301.23"/>
    <n v="269609.51"/>
    <n v="1547458.71"/>
    <n v="93204.11"/>
    <n v="194508.21"/>
    <n v="189584"/>
    <n v="451773.39"/>
    <n v="33654.76"/>
    <n v="59238.57"/>
    <n v="257174.55"/>
    <n v="1824409.68"/>
    <n v="3560.17"/>
    <n v="5289.31"/>
    <n v="11772.63"/>
    <n v="72279.100000000006"/>
    <n v="209.71"/>
    <n v="1866.6"/>
    <n v="4184.45"/>
    <n v="34421.69"/>
    <n v="3575445.1"/>
    <n v="6191747.7699999996"/>
    <n v="8673806.1099999994"/>
    <n v="15132415.289999999"/>
    <n v="35575084.159999996"/>
    <n v="385568.58"/>
    <n v="430996.63"/>
    <n v="544649.48"/>
    <n v="849442.57"/>
    <n v="1196904.75"/>
    <n v="221874.48"/>
    <n v="501262.27"/>
    <n v="490552.07"/>
    <n v="620440.07999999996"/>
    <n v="469649.28"/>
    <n v="0"/>
    <n v="0"/>
    <n v="0"/>
    <n v="0"/>
    <n v="0"/>
    <x v="0"/>
    <x v="0"/>
    <x v="0"/>
    <x v="0"/>
    <x v="0"/>
    <x v="0"/>
    <x v="0"/>
    <x v="0"/>
    <x v="0"/>
    <x v="0"/>
    <n v="0"/>
    <n v="0"/>
    <n v="0"/>
    <n v="0"/>
    <n v="0"/>
    <x v="0"/>
    <x v="0"/>
    <x v="0"/>
    <x v="0"/>
    <x v="0"/>
    <x v="0"/>
    <x v="0"/>
    <x v="0"/>
    <x v="0"/>
    <x v="0"/>
    <n v="25540.18"/>
    <n v="15874.67"/>
    <n v="32614.29"/>
    <n v="45088.45"/>
    <n v="179886.09"/>
    <n v="0"/>
    <n v="0"/>
    <n v="0"/>
    <n v="0"/>
    <n v="0"/>
    <x v="0"/>
    <n v="0"/>
    <n v="0"/>
    <x v="0"/>
    <x v="0"/>
    <x v="0"/>
    <x v="0"/>
    <x v="0"/>
    <x v="0"/>
    <x v="0"/>
    <x v="0"/>
    <x v="0"/>
    <x v="0"/>
    <x v="0"/>
    <x v="0"/>
    <x v="0"/>
    <x v="0"/>
    <x v="0"/>
    <x v="0"/>
    <x v="0"/>
    <x v="0"/>
    <x v="0"/>
    <x v="0"/>
    <x v="0"/>
    <x v="0"/>
    <x v="0"/>
    <x v="0"/>
    <x v="0"/>
    <x v="0"/>
    <x v="0"/>
    <x v="0"/>
    <x v="0"/>
    <n v="8952658.3399999999"/>
    <n v="115211400.70999999"/>
    <n v="-9702149.0099999998"/>
    <n v="124913549.72"/>
  </r>
  <r>
    <x v="0"/>
    <x v="6"/>
    <x v="6"/>
    <x v="1"/>
    <x v="1"/>
    <n v="33987.89"/>
    <n v="66005.2"/>
    <n v="88319.82"/>
    <n v="163736.72"/>
    <n v="1574458.63"/>
    <n v="631.37"/>
    <n v="0"/>
    <n v="0"/>
    <n v="0"/>
    <n v="0"/>
    <n v="637.26"/>
    <n v="1957.66"/>
    <n v="2612.9299999999998"/>
    <n v="5012.12"/>
    <n v="1844.67"/>
    <n v="1731062.09"/>
    <n v="2841625.6"/>
    <n v="4091877.12"/>
    <n v="33122891.23"/>
    <n v="160010.88"/>
    <n v="177891.86"/>
    <n v="251339.45"/>
    <n v="1445047.94"/>
    <n v="86471.34"/>
    <n v="202895.79"/>
    <n v="196463.85"/>
    <n v="482125.91"/>
    <n v="34285.57"/>
    <n v="59127.61"/>
    <n v="256725.26"/>
    <n v="1840528.21"/>
    <n v="3397.94"/>
    <n v="4855.22"/>
    <n v="10251.67"/>
    <n v="27708.87"/>
    <n v="211.57"/>
    <n v="1634.84"/>
    <n v="4422.71"/>
    <n v="34378.480000000003"/>
    <n v="3504666.02"/>
    <n v="5911217.0700000003"/>
    <n v="8740818.0700000003"/>
    <n v="15081104.630000001"/>
    <n v="37170956.810000002"/>
    <n v="414324.43"/>
    <n v="403317.25"/>
    <n v="544471.88"/>
    <n v="805797.83"/>
    <n v="1217551.6100000001"/>
    <n v="206025.7"/>
    <n v="481755.43"/>
    <n v="497034.93"/>
    <n v="633016.31000000006"/>
    <n v="544044.48"/>
    <n v="0"/>
    <n v="0"/>
    <n v="0"/>
    <n v="0"/>
    <n v="0"/>
    <x v="0"/>
    <x v="0"/>
    <x v="0"/>
    <x v="0"/>
    <x v="0"/>
    <x v="0"/>
    <x v="0"/>
    <x v="0"/>
    <x v="0"/>
    <x v="0"/>
    <n v="0"/>
    <n v="0"/>
    <n v="0"/>
    <n v="0"/>
    <n v="0"/>
    <x v="0"/>
    <x v="0"/>
    <x v="0"/>
    <x v="0"/>
    <x v="0"/>
    <x v="0"/>
    <x v="0"/>
    <x v="0"/>
    <x v="0"/>
    <x v="0"/>
    <n v="23441.439999999999"/>
    <n v="36678.82"/>
    <n v="49649.73"/>
    <n v="91643.39"/>
    <n v="386373.01"/>
    <n v="0"/>
    <n v="0"/>
    <n v="0"/>
    <n v="0"/>
    <n v="0"/>
    <x v="0"/>
    <n v="0"/>
    <n v="0"/>
    <x v="0"/>
    <x v="0"/>
    <x v="0"/>
    <x v="0"/>
    <x v="0"/>
    <x v="0"/>
    <x v="0"/>
    <x v="0"/>
    <x v="0"/>
    <x v="0"/>
    <x v="0"/>
    <x v="0"/>
    <x v="0"/>
    <x v="0"/>
    <x v="0"/>
    <x v="0"/>
    <x v="0"/>
    <x v="0"/>
    <x v="0"/>
    <x v="0"/>
    <x v="0"/>
    <x v="0"/>
    <x v="0"/>
    <x v="0"/>
    <x v="0"/>
    <x v="0"/>
    <x v="0"/>
    <x v="0"/>
    <x v="0"/>
    <n v="8849144.1799999997"/>
    <n v="115965657.09"/>
    <n v="-9784667.0299999993"/>
    <n v="125750324.12"/>
  </r>
  <r>
    <x v="0"/>
    <x v="6"/>
    <x v="6"/>
    <x v="2"/>
    <x v="2"/>
    <n v="30810.87"/>
    <n v="53883.86"/>
    <n v="84159.73"/>
    <n v="166324.51"/>
    <n v="1545198.98"/>
    <n v="637.26"/>
    <n v="0"/>
    <n v="0"/>
    <n v="0"/>
    <n v="0"/>
    <n v="643.21"/>
    <n v="1343.03"/>
    <n v="1750.08"/>
    <n v="5058.8999999999996"/>
    <n v="2660.74"/>
    <n v="1701841.21"/>
    <n v="2716853.11"/>
    <n v="4116581.46"/>
    <n v="32857535"/>
    <n v="127933.77"/>
    <n v="146909.22"/>
    <n v="208331.14"/>
    <n v="1140908.42"/>
    <n v="83741.919999999998"/>
    <n v="210296.95"/>
    <n v="184633.46"/>
    <n v="433185.48"/>
    <n v="35090.01"/>
    <n v="58761.37"/>
    <n v="259203.38"/>
    <n v="1820561.17"/>
    <n v="2473.69"/>
    <n v="3628.08"/>
    <n v="5347.7"/>
    <n v="8213.3799999999992"/>
    <n v="213.44"/>
    <n v="1676.97"/>
    <n v="4831.3500000000004"/>
    <n v="34333.879999999997"/>
    <n v="3364395.38"/>
    <n v="5902308.4699999997"/>
    <n v="8675878.2699999996"/>
    <n v="15493961.970000001"/>
    <n v="38697894.990000002"/>
    <n v="353990.89"/>
    <n v="386760.08"/>
    <n v="525091.54"/>
    <n v="772367.77"/>
    <n v="981713.96"/>
    <n v="190527.89"/>
    <n v="480582.58"/>
    <n v="447115.05"/>
    <n v="515985.26"/>
    <n v="404080.44"/>
    <n v="0"/>
    <n v="0"/>
    <n v="0"/>
    <n v="0"/>
    <n v="0"/>
    <x v="0"/>
    <x v="0"/>
    <x v="0"/>
    <x v="0"/>
    <x v="0"/>
    <x v="0"/>
    <x v="0"/>
    <x v="0"/>
    <x v="0"/>
    <x v="0"/>
    <n v="0"/>
    <n v="0"/>
    <n v="0"/>
    <n v="0"/>
    <n v="0"/>
    <x v="0"/>
    <x v="0"/>
    <x v="0"/>
    <x v="0"/>
    <x v="0"/>
    <x v="0"/>
    <x v="0"/>
    <x v="0"/>
    <x v="0"/>
    <x v="0"/>
    <n v="19654.86"/>
    <n v="82264.460000000006"/>
    <n v="73113.03"/>
    <n v="136634.31"/>
    <n v="590577.31999999995"/>
    <n v="113.63"/>
    <n v="233.17"/>
    <n v="360.33"/>
    <n v="766.12"/>
    <n v="2171.73"/>
    <x v="5"/>
    <n v="0"/>
    <n v="0"/>
    <x v="0"/>
    <x v="0"/>
    <x v="0"/>
    <x v="0"/>
    <x v="0"/>
    <x v="0"/>
    <x v="0"/>
    <x v="0"/>
    <x v="0"/>
    <x v="0"/>
    <x v="0"/>
    <x v="0"/>
    <x v="0"/>
    <x v="0"/>
    <x v="0"/>
    <x v="0"/>
    <x v="0"/>
    <x v="0"/>
    <x v="0"/>
    <x v="0"/>
    <x v="0"/>
    <x v="0"/>
    <x v="0"/>
    <x v="0"/>
    <x v="0"/>
    <x v="0"/>
    <x v="0"/>
    <x v="0"/>
    <x v="0"/>
    <n v="7670727.7800000003"/>
    <n v="116863743.23"/>
    <n v="-9290472.2699999996"/>
    <n v="126154215.5"/>
  </r>
  <r>
    <x v="0"/>
    <x v="6"/>
    <x v="6"/>
    <x v="3"/>
    <x v="3"/>
    <n v="28202.92"/>
    <n v="56158.99"/>
    <n v="80653.14"/>
    <n v="163364.89000000001"/>
    <n v="1512972.49"/>
    <n v="643.21"/>
    <n v="0"/>
    <n v="0"/>
    <n v="0"/>
    <n v="0"/>
    <n v="649.15"/>
    <n v="1268.6300000000001"/>
    <n v="941.68"/>
    <n v="5106.12"/>
    <n v="3484.43"/>
    <n v="1576140.84"/>
    <n v="2685141.21"/>
    <n v="4003333.01"/>
    <n v="31873781.850000001"/>
    <n v="153870.26"/>
    <n v="164476.95000000001"/>
    <n v="245457.79"/>
    <n v="1498875.21"/>
    <n v="75861.16"/>
    <n v="203675.88"/>
    <n v="195503.04"/>
    <n v="458182.88"/>
    <n v="33705.67"/>
    <n v="57443.43"/>
    <n v="251200.63"/>
    <n v="1696632.11"/>
    <n v="3934.02"/>
    <n v="5834.39"/>
    <n v="11182.48"/>
    <n v="103647.67999999999"/>
    <n v="215.33"/>
    <n v="2178.62"/>
    <n v="5131.29"/>
    <n v="34289.9"/>
    <n v="3427880.74"/>
    <n v="5906462.7199999997"/>
    <n v="8637664.8200000003"/>
    <n v="15562444.34"/>
    <n v="40161351.850000001"/>
    <n v="358055.21"/>
    <n v="352968.58"/>
    <n v="489871.58"/>
    <n v="720996.73"/>
    <n v="1064066.99"/>
    <n v="163555.24"/>
    <n v="510172.62"/>
    <n v="482496.53"/>
    <n v="582986.03"/>
    <n v="477051.37"/>
    <n v="0"/>
    <n v="0"/>
    <n v="0"/>
    <n v="0"/>
    <n v="0"/>
    <x v="0"/>
    <x v="0"/>
    <x v="0"/>
    <x v="0"/>
    <x v="0"/>
    <x v="0"/>
    <x v="0"/>
    <x v="0"/>
    <x v="0"/>
    <x v="0"/>
    <n v="0"/>
    <n v="0"/>
    <n v="0"/>
    <n v="0"/>
    <n v="0"/>
    <x v="0"/>
    <x v="0"/>
    <x v="0"/>
    <x v="0"/>
    <x v="0"/>
    <x v="0"/>
    <x v="0"/>
    <x v="0"/>
    <x v="0"/>
    <x v="0"/>
    <n v="35559.32"/>
    <n v="91950.81"/>
    <n v="94562.65"/>
    <n v="182093.88"/>
    <n v="733982.91"/>
    <n v="0"/>
    <n v="0"/>
    <n v="0"/>
    <n v="0"/>
    <n v="0"/>
    <x v="0"/>
    <n v="0"/>
    <n v="0"/>
    <x v="0"/>
    <x v="0"/>
    <x v="0"/>
    <x v="0"/>
    <x v="0"/>
    <x v="0"/>
    <x v="0"/>
    <x v="0"/>
    <x v="0"/>
    <x v="0"/>
    <x v="0"/>
    <x v="0"/>
    <x v="0"/>
    <x v="0"/>
    <x v="0"/>
    <x v="0"/>
    <x v="0"/>
    <x v="0"/>
    <x v="0"/>
    <x v="0"/>
    <x v="0"/>
    <x v="0"/>
    <x v="0"/>
    <x v="0"/>
    <x v="0"/>
    <x v="0"/>
    <x v="0"/>
    <x v="0"/>
    <x v="0"/>
    <n v="8376630.9800000004"/>
    <n v="117745056.72"/>
    <n v="-9484259.4800000004"/>
    <n v="127229316.2"/>
  </r>
  <r>
    <x v="0"/>
    <x v="6"/>
    <x v="6"/>
    <x v="4"/>
    <x v="4"/>
    <n v="26524.29"/>
    <n v="57228.83"/>
    <n v="79175.740000000005"/>
    <n v="164630.51999999999"/>
    <n v="1486212.65"/>
    <n v="0"/>
    <n v="0"/>
    <n v="0"/>
    <n v="0"/>
    <n v="0"/>
    <n v="0"/>
    <n v="0"/>
    <n v="0"/>
    <n v="5153.91"/>
    <n v="4315.8100000000004"/>
    <n v="1540694.39"/>
    <n v="2595311.9700000002"/>
    <n v="3883711.48"/>
    <n v="31273943.25"/>
    <n v="144212.93"/>
    <n v="178812.73"/>
    <n v="266785.24"/>
    <n v="1692840.02"/>
    <n v="90698.78"/>
    <n v="206126.5"/>
    <n v="209695.78"/>
    <n v="487924.84"/>
    <n v="34446.639999999999"/>
    <n v="58087.13"/>
    <n v="256781.01"/>
    <n v="1721656.13"/>
    <n v="2736.65"/>
    <n v="3900.41"/>
    <n v="5976.94"/>
    <n v="46546.31"/>
    <n v="451.58"/>
    <n v="1952.76"/>
    <n v="5777.06"/>
    <n v="34245.54"/>
    <n v="3309673.96"/>
    <n v="5803344.8600000003"/>
    <n v="8614598.5899999999"/>
    <n v="15693297.439999999"/>
    <n v="41934431.289999999"/>
    <n v="352746.12"/>
    <n v="394352.47"/>
    <n v="519225.61"/>
    <n v="769370.77"/>
    <n v="1061558.68"/>
    <n v="200295.52"/>
    <n v="500507.17"/>
    <n v="504889"/>
    <n v="622900.66"/>
    <n v="590974.67000000004"/>
    <n v="0"/>
    <n v="0"/>
    <n v="0"/>
    <n v="0"/>
    <n v="0"/>
    <x v="0"/>
    <x v="0"/>
    <x v="0"/>
    <x v="0"/>
    <x v="0"/>
    <x v="0"/>
    <x v="0"/>
    <x v="0"/>
    <x v="0"/>
    <x v="0"/>
    <n v="0"/>
    <n v="0"/>
    <n v="0"/>
    <n v="0"/>
    <n v="0"/>
    <x v="0"/>
    <x v="0"/>
    <x v="0"/>
    <x v="0"/>
    <x v="0"/>
    <x v="0"/>
    <x v="0"/>
    <x v="0"/>
    <x v="0"/>
    <x v="0"/>
    <n v="74521.16"/>
    <n v="75958.36"/>
    <n v="114988.12"/>
    <n v="226648.51"/>
    <n v="891061.26"/>
    <n v="116.6"/>
    <n v="239.13"/>
    <n v="369.55"/>
    <n v="785.65"/>
    <n v="1903.85"/>
    <x v="6"/>
    <n v="0"/>
    <n v="0"/>
    <x v="0"/>
    <x v="0"/>
    <x v="0"/>
    <x v="0"/>
    <x v="0"/>
    <x v="0"/>
    <x v="0"/>
    <x v="0"/>
    <x v="0"/>
    <x v="0"/>
    <x v="0"/>
    <x v="0"/>
    <x v="0"/>
    <x v="0"/>
    <x v="0"/>
    <x v="0"/>
    <x v="0"/>
    <x v="0"/>
    <x v="0"/>
    <x v="0"/>
    <x v="0"/>
    <x v="0"/>
    <x v="0"/>
    <x v="0"/>
    <x v="0"/>
    <x v="0"/>
    <x v="0"/>
    <x v="0"/>
    <x v="0"/>
    <n v="8908505.8100000005"/>
    <n v="119058620.23"/>
    <n v="-9766813.1600000001"/>
    <n v="128825433.39"/>
  </r>
  <r>
    <x v="0"/>
    <x v="6"/>
    <x v="6"/>
    <x v="5"/>
    <x v="5"/>
    <n v="33200.6"/>
    <n v="51880.959999999999"/>
    <n v="79994.69"/>
    <n v="165762.35999999999"/>
    <n v="1459352.51"/>
    <n v="0"/>
    <n v="0"/>
    <n v="0"/>
    <n v="0"/>
    <n v="0"/>
    <n v="0"/>
    <n v="0"/>
    <n v="0"/>
    <n v="4314.7700000000004"/>
    <n v="5154.95"/>
    <n v="1565126.44"/>
    <n v="2634236.0099999998"/>
    <n v="3950442.09"/>
    <n v="31476491.109999999"/>
    <n v="137322.23999999999"/>
    <n v="119132.99"/>
    <n v="165853.69"/>
    <n v="935377.16"/>
    <n v="19427.57"/>
    <n v="173245.83"/>
    <n v="180245.37"/>
    <n v="383593.38"/>
    <n v="34734.74"/>
    <n v="56997.65"/>
    <n v="255137.66"/>
    <n v="1694208.87"/>
    <n v="2402.12"/>
    <n v="3252"/>
    <n v="4716.04"/>
    <n v="43657.36"/>
    <n v="454.87"/>
    <n v="958.01"/>
    <n v="6209.17"/>
    <n v="34200.769999999997"/>
    <n v="3467087.9"/>
    <n v="5896560.3899999997"/>
    <n v="8956344.9299999997"/>
    <n v="16120596.210000001"/>
    <n v="44322330.93"/>
    <n v="356241.32"/>
    <n v="316131.59000000003"/>
    <n v="349759.06"/>
    <n v="510940.24"/>
    <n v="662306.57999999996"/>
    <n v="31183.35"/>
    <n v="386815.37"/>
    <n v="419231.68"/>
    <n v="423655.78"/>
    <n v="323017.81"/>
    <n v="0"/>
    <n v="0"/>
    <n v="0"/>
    <n v="0"/>
    <n v="0"/>
    <x v="0"/>
    <x v="0"/>
    <x v="0"/>
    <x v="0"/>
    <x v="0"/>
    <x v="0"/>
    <x v="0"/>
    <x v="0"/>
    <x v="0"/>
    <x v="0"/>
    <n v="0"/>
    <n v="0"/>
    <n v="0"/>
    <n v="0"/>
    <n v="0"/>
    <x v="0"/>
    <x v="0"/>
    <x v="0"/>
    <x v="0"/>
    <x v="0"/>
    <x v="0"/>
    <x v="0"/>
    <x v="0"/>
    <x v="0"/>
    <x v="0"/>
    <n v="50139.05"/>
    <n v="91981.26"/>
    <n v="144813.74"/>
    <n v="287046.98"/>
    <n v="1195152.19"/>
    <n v="236.08"/>
    <n v="240.85"/>
    <n v="375.44"/>
    <n v="794.68"/>
    <n v="1767.73"/>
    <x v="0"/>
    <n v="66.510000000000005"/>
    <n v="0"/>
    <x v="0"/>
    <x v="0"/>
    <x v="0"/>
    <x v="0"/>
    <x v="0"/>
    <x v="0"/>
    <x v="0"/>
    <x v="0"/>
    <x v="0"/>
    <x v="0"/>
    <x v="0"/>
    <x v="0"/>
    <x v="0"/>
    <x v="0"/>
    <x v="0"/>
    <x v="0"/>
    <x v="0"/>
    <x v="0"/>
    <x v="0"/>
    <x v="0"/>
    <x v="0"/>
    <x v="0"/>
    <x v="0"/>
    <x v="0"/>
    <x v="0"/>
    <x v="0"/>
    <x v="0"/>
    <x v="0"/>
    <x v="0"/>
    <n v="6002282.3600000003"/>
    <n v="120835766.09"/>
    <n v="-9156135.5399999991"/>
    <n v="129991901.63"/>
  </r>
  <r>
    <x v="0"/>
    <x v="6"/>
    <x v="6"/>
    <x v="6"/>
    <x v="6"/>
    <n v="26971.61"/>
    <n v="53681.53"/>
    <n v="80573.7"/>
    <n v="167361.19"/>
    <n v="1428402.49"/>
    <n v="0"/>
    <n v="0"/>
    <n v="0"/>
    <n v="0"/>
    <n v="0"/>
    <n v="0"/>
    <n v="0"/>
    <n v="0"/>
    <n v="3467.8"/>
    <n v="6001.92"/>
    <n v="1553462.56"/>
    <n v="2610732.34"/>
    <n v="3816382.57"/>
    <n v="30563293.609999999"/>
    <n v="153703.49"/>
    <n v="138875.72"/>
    <n v="188682.47"/>
    <n v="1103717.5"/>
    <n v="18901.41"/>
    <n v="174039.58"/>
    <n v="179320.57"/>
    <n v="378158.65"/>
    <n v="33887.19"/>
    <n v="56483.99"/>
    <n v="250263.3"/>
    <n v="1622595.46"/>
    <n v="3392.96"/>
    <n v="4252.03"/>
    <n v="9426.91"/>
    <n v="84347.04"/>
    <n v="221.1"/>
    <n v="1552.61"/>
    <n v="6457.84"/>
    <n v="34154.61"/>
    <n v="3470389.41"/>
    <n v="5990586.4800000004"/>
    <n v="8928333.9000000004"/>
    <n v="16275929.619999999"/>
    <n v="45493680.659999996"/>
    <n v="370654.36"/>
    <n v="323480.34000000003"/>
    <n v="374982.83"/>
    <n v="555634.36"/>
    <n v="721044.65"/>
    <n v="32537.73"/>
    <n v="400628.81"/>
    <n v="448642"/>
    <n v="485069.37"/>
    <n v="369097.29"/>
    <n v="0"/>
    <n v="0"/>
    <n v="0"/>
    <n v="0"/>
    <n v="0"/>
    <x v="0"/>
    <x v="0"/>
    <x v="0"/>
    <x v="0"/>
    <x v="0"/>
    <x v="0"/>
    <x v="0"/>
    <x v="0"/>
    <x v="0"/>
    <x v="0"/>
    <n v="0"/>
    <n v="0"/>
    <n v="0"/>
    <n v="0"/>
    <n v="0"/>
    <x v="0"/>
    <x v="0"/>
    <x v="0"/>
    <x v="0"/>
    <x v="0"/>
    <x v="0"/>
    <x v="0"/>
    <x v="0"/>
    <x v="0"/>
    <x v="0"/>
    <n v="55951.33"/>
    <n v="109360.94"/>
    <n v="171148.07"/>
    <n v="336618.39"/>
    <n v="1303194.73"/>
    <n v="239.13"/>
    <n v="245.19"/>
    <n v="379.06"/>
    <n v="805.68"/>
    <n v="1629.12"/>
    <x v="0"/>
    <n v="183.11"/>
    <n v="0"/>
    <x v="0"/>
    <x v="0"/>
    <x v="0"/>
    <x v="0"/>
    <x v="0"/>
    <x v="0"/>
    <x v="0"/>
    <x v="0"/>
    <x v="0"/>
    <x v="0"/>
    <x v="0"/>
    <x v="0"/>
    <x v="0"/>
    <x v="0"/>
    <x v="0"/>
    <x v="0"/>
    <x v="0"/>
    <x v="0"/>
    <x v="0"/>
    <x v="0"/>
    <x v="0"/>
    <x v="0"/>
    <x v="0"/>
    <x v="0"/>
    <x v="0"/>
    <x v="0"/>
    <x v="0"/>
    <x v="0"/>
    <x v="0"/>
    <n v="6573927.2400000002"/>
    <n v="121459292.39"/>
    <n v="-9513919.9199999999"/>
    <n v="130973212.31"/>
  </r>
  <r>
    <x v="0"/>
    <x v="6"/>
    <x v="6"/>
    <x v="7"/>
    <x v="7"/>
    <n v="25845.15"/>
    <n v="54266.39"/>
    <n v="81005.5"/>
    <n v="168728.16"/>
    <n v="1401109.51"/>
    <n v="0"/>
    <n v="0"/>
    <n v="0"/>
    <n v="0"/>
    <n v="0"/>
    <n v="0"/>
    <n v="0"/>
    <n v="0"/>
    <n v="2612.9299999999998"/>
    <n v="6856.79"/>
    <n v="1486566.39"/>
    <n v="2557735.6"/>
    <n v="3739213.92"/>
    <n v="30070377.280000001"/>
    <n v="161943.67000000001"/>
    <n v="145904.54999999999"/>
    <n v="186382.41"/>
    <n v="1205699.4099999999"/>
    <n v="22114.91"/>
    <n v="185081.76"/>
    <n v="195483.95"/>
    <n v="425881.37"/>
    <n v="34218.65"/>
    <n v="57705.95"/>
    <n v="255507.33"/>
    <n v="1636565.39"/>
    <n v="1692.09"/>
    <n v="2782.48"/>
    <n v="4709.66"/>
    <n v="40695.699999999997"/>
    <n v="223.06"/>
    <n v="1101.6099999999999"/>
    <n v="7203.17"/>
    <n v="34109.050000000003"/>
    <n v="3413566.08"/>
    <n v="5956190.4900000002"/>
    <n v="8951904.1099999994"/>
    <n v="16409704.970000001"/>
    <n v="46844310.060000002"/>
    <n v="370270.15"/>
    <n v="320912.53000000003"/>
    <n v="386661.34"/>
    <n v="562604.28"/>
    <n v="705840.36"/>
    <n v="42698.49"/>
    <n v="420245.48"/>
    <n v="473928.92"/>
    <n v="550622.62"/>
    <n v="417253.03"/>
    <n v="0"/>
    <n v="0"/>
    <n v="0"/>
    <n v="0"/>
    <n v="0"/>
    <x v="0"/>
    <x v="0"/>
    <x v="0"/>
    <x v="0"/>
    <x v="0"/>
    <x v="0"/>
    <x v="0"/>
    <x v="0"/>
    <x v="0"/>
    <x v="0"/>
    <n v="0"/>
    <n v="0"/>
    <n v="0"/>
    <n v="0"/>
    <n v="0"/>
    <x v="0"/>
    <x v="0"/>
    <x v="0"/>
    <x v="0"/>
    <x v="0"/>
    <x v="0"/>
    <x v="0"/>
    <x v="0"/>
    <x v="0"/>
    <x v="0"/>
    <n v="77902.44"/>
    <n v="131770.35999999999"/>
    <n v="209259.29"/>
    <n v="421546.77"/>
    <n v="1586385.46"/>
    <n v="240.85"/>
    <n v="248.35"/>
    <n v="383.96"/>
    <n v="816.09"/>
    <n v="1489.45"/>
    <x v="0"/>
    <n v="236.08"/>
    <n v="66.510000000000005"/>
    <x v="0"/>
    <x v="0"/>
    <x v="0"/>
    <x v="0"/>
    <x v="0"/>
    <x v="0"/>
    <x v="0"/>
    <x v="0"/>
    <x v="0"/>
    <x v="0"/>
    <x v="0"/>
    <x v="0"/>
    <x v="0"/>
    <x v="0"/>
    <x v="0"/>
    <x v="0"/>
    <x v="0"/>
    <x v="0"/>
    <x v="0"/>
    <x v="0"/>
    <x v="0"/>
    <x v="0"/>
    <x v="0"/>
    <x v="0"/>
    <x v="0"/>
    <x v="0"/>
    <x v="0"/>
    <x v="0"/>
    <x v="0"/>
    <n v="6884997.0599999996"/>
    <n v="122645006.79000001"/>
    <n v="-9811375.5199999996"/>
    <n v="132456382.31"/>
  </r>
  <r>
    <x v="0"/>
    <x v="6"/>
    <x v="6"/>
    <x v="8"/>
    <x v="8"/>
    <n v="28772.18"/>
    <n v="51222.51"/>
    <n v="100809.19"/>
    <n v="278184.96000000002"/>
    <n v="1585420.72"/>
    <n v="0"/>
    <n v="0"/>
    <n v="0"/>
    <n v="0"/>
    <n v="0"/>
    <n v="0"/>
    <n v="0"/>
    <n v="0"/>
    <n v="1750.08"/>
    <n v="7719.64"/>
    <n v="1480443.62"/>
    <n v="2464767.4"/>
    <n v="3730974.35"/>
    <n v="29856528.850000001"/>
    <n v="153814.81"/>
    <n v="141333.76000000001"/>
    <n v="178718.29"/>
    <n v="1029111.67"/>
    <n v="28287.119999999999"/>
    <n v="189531.13"/>
    <n v="203567.76"/>
    <n v="469503.88"/>
    <n v="31686.74"/>
    <n v="54943.22"/>
    <n v="242088.53"/>
    <n v="1580028.46"/>
    <n v="2114.89"/>
    <n v="3933.56"/>
    <n v="8693.1"/>
    <n v="61838.48"/>
    <n v="225.03"/>
    <n v="1576.44"/>
    <n v="7797.91"/>
    <n v="34063.089999999997"/>
    <n v="3478387.17"/>
    <n v="6018265.9500000002"/>
    <n v="9201980.7100000009"/>
    <n v="16316899.460000001"/>
    <n v="48145947.299999997"/>
    <n v="352882.11"/>
    <n v="300586.11"/>
    <n v="362219.32"/>
    <n v="510854.08"/>
    <n v="669615.68999999994"/>
    <n v="42620.84"/>
    <n v="414857.23"/>
    <n v="497400.31"/>
    <n v="602541.39"/>
    <n v="430201.63"/>
    <n v="0"/>
    <n v="0"/>
    <n v="0"/>
    <n v="0"/>
    <n v="0"/>
    <x v="0"/>
    <x v="0"/>
    <x v="0"/>
    <x v="0"/>
    <x v="0"/>
    <x v="0"/>
    <x v="0"/>
    <x v="0"/>
    <x v="0"/>
    <x v="0"/>
    <n v="0"/>
    <n v="0"/>
    <n v="0"/>
    <n v="0"/>
    <n v="0"/>
    <x v="0"/>
    <x v="0"/>
    <x v="0"/>
    <x v="0"/>
    <x v="0"/>
    <x v="0"/>
    <x v="0"/>
    <x v="0"/>
    <x v="0"/>
    <x v="0"/>
    <n v="74247.990000000005"/>
    <n v="167139.97"/>
    <n v="232851.11"/>
    <n v="476370.74"/>
    <n v="1805966.26"/>
    <n v="569.01"/>
    <n v="742.03"/>
    <n v="905.83"/>
    <n v="1714.17"/>
    <n v="1347.98"/>
    <x v="0"/>
    <n v="381.6"/>
    <n v="183.11"/>
    <x v="0"/>
    <x v="0"/>
    <x v="0"/>
    <x v="0"/>
    <x v="0"/>
    <x v="0"/>
    <x v="0"/>
    <x v="0"/>
    <x v="0"/>
    <x v="0"/>
    <x v="0"/>
    <x v="0"/>
    <x v="0"/>
    <x v="0"/>
    <x v="0"/>
    <x v="0"/>
    <x v="0"/>
    <x v="0"/>
    <x v="0"/>
    <x v="0"/>
    <x v="0"/>
    <x v="0"/>
    <x v="0"/>
    <x v="0"/>
    <x v="0"/>
    <x v="0"/>
    <x v="0"/>
    <x v="0"/>
    <x v="0"/>
    <n v="6713203.0800000001"/>
    <n v="124251903.06"/>
    <n v="-9865227.4100000001"/>
    <n v="134117130.47"/>
  </r>
  <r>
    <x v="0"/>
    <x v="6"/>
    <x v="6"/>
    <x v="9"/>
    <x v="9"/>
    <n v="25494.21"/>
    <n v="55079.49"/>
    <n v="119310.34"/>
    <n v="280606.53999999998"/>
    <n v="1535146.8"/>
    <n v="0"/>
    <n v="0"/>
    <n v="0"/>
    <n v="0"/>
    <n v="0"/>
    <n v="0"/>
    <n v="0"/>
    <n v="0"/>
    <n v="879.17"/>
    <n v="8590.5499999999993"/>
    <n v="1435951.12"/>
    <n v="2428970.48"/>
    <n v="3792424.77"/>
    <n v="29329891.670000002"/>
    <n v="148670.32"/>
    <n v="126639.27"/>
    <n v="170601.1"/>
    <n v="1073551.6000000001"/>
    <n v="24119.82"/>
    <n v="192205.06"/>
    <n v="204269.07"/>
    <n v="541475.62"/>
    <n v="31290.37"/>
    <n v="53172.49"/>
    <n v="235839.57"/>
    <n v="1555058.13"/>
    <n v="1454.64"/>
    <n v="2207.87"/>
    <n v="5923.85"/>
    <n v="56805.9"/>
    <n v="227.02"/>
    <n v="1566.95"/>
    <n v="8636.7000000000007"/>
    <n v="34016.720000000001"/>
    <n v="3472524.19"/>
    <n v="6025694.1500000004"/>
    <n v="9216644.4399999995"/>
    <n v="16497351.08"/>
    <n v="49253850.810000002"/>
    <n v="329032.37"/>
    <n v="271141.44"/>
    <n v="319229.58"/>
    <n v="458085.61"/>
    <n v="548951.86"/>
    <n v="49724.2"/>
    <n v="419235.94"/>
    <n v="517358.71"/>
    <n v="661378.48"/>
    <n v="490090.1"/>
    <n v="0"/>
    <n v="0"/>
    <n v="0"/>
    <n v="0"/>
    <n v="0"/>
    <x v="0"/>
    <x v="0"/>
    <x v="0"/>
    <x v="0"/>
    <x v="0"/>
    <x v="0"/>
    <x v="0"/>
    <x v="0"/>
    <x v="0"/>
    <x v="0"/>
    <n v="0"/>
    <n v="0"/>
    <n v="0"/>
    <n v="0"/>
    <n v="0"/>
    <x v="0"/>
    <x v="0"/>
    <x v="0"/>
    <x v="0"/>
    <x v="0"/>
    <x v="0"/>
    <x v="0"/>
    <x v="0"/>
    <x v="0"/>
    <x v="0"/>
    <n v="97582.07"/>
    <n v="177623.46"/>
    <n v="266542.11"/>
    <n v="518256.67"/>
    <n v="1901928.79"/>
    <n v="248.35"/>
    <n v="254.7"/>
    <n v="395.73"/>
    <n v="834.95"/>
    <n v="1204.1199999999999"/>
    <x v="0"/>
    <n v="240.85"/>
    <n v="302.58999999999997"/>
    <x v="0"/>
    <x v="0"/>
    <x v="0"/>
    <x v="0"/>
    <x v="0"/>
    <x v="0"/>
    <x v="0"/>
    <x v="0"/>
    <x v="0"/>
    <x v="0"/>
    <x v="0"/>
    <x v="0"/>
    <x v="0"/>
    <x v="0"/>
    <x v="0"/>
    <x v="0"/>
    <x v="0"/>
    <x v="0"/>
    <x v="0"/>
    <x v="0"/>
    <x v="0"/>
    <x v="0"/>
    <x v="0"/>
    <x v="0"/>
    <x v="0"/>
    <x v="0"/>
    <x v="0"/>
    <x v="0"/>
    <x v="0"/>
    <n v="6669550.8099999996"/>
    <n v="124850714.97"/>
    <n v="-10125069.59"/>
    <n v="134975784.56"/>
  </r>
  <r>
    <x v="0"/>
    <x v="6"/>
    <x v="6"/>
    <x v="10"/>
    <x v="10"/>
    <n v="32613.43"/>
    <n v="59982.32"/>
    <n v="175223.93"/>
    <n v="329445.2"/>
    <n v="1627444.51"/>
    <n v="0"/>
    <n v="0"/>
    <n v="0"/>
    <n v="0"/>
    <n v="0"/>
    <n v="0"/>
    <n v="0"/>
    <n v="0"/>
    <n v="0"/>
    <n v="9469.7199999999993"/>
    <n v="1437478.64"/>
    <n v="2508556.56"/>
    <n v="3663217.77"/>
    <n v="29125484.73"/>
    <n v="149554.22"/>
    <n v="135217.85999999999"/>
    <n v="159732.47"/>
    <n v="981162.55"/>
    <n v="22059.599999999999"/>
    <n v="188204.12"/>
    <n v="198761.85"/>
    <n v="536606.12"/>
    <n v="31890.26"/>
    <n v="56946.34"/>
    <n v="238359.98"/>
    <n v="1573311.27"/>
    <n v="464.68"/>
    <n v="714.62"/>
    <n v="1143.3800000000001"/>
    <n v="12829.54"/>
    <n v="229.02"/>
    <n v="673.02"/>
    <n v="8972.14"/>
    <n v="33969.94"/>
    <n v="3495074.23"/>
    <n v="6308701.4199999999"/>
    <n v="8859807.75"/>
    <n v="16445452.279999999"/>
    <n v="49705851.649999999"/>
    <n v="347350.9"/>
    <n v="304441.36"/>
    <n v="328351.59999999998"/>
    <n v="498997.15"/>
    <n v="626223.43000000005"/>
    <n v="49764.6"/>
    <n v="429531.24"/>
    <n v="499670.69"/>
    <n v="674728.93"/>
    <n v="510685.5"/>
    <n v="0"/>
    <n v="0"/>
    <n v="0"/>
    <n v="0"/>
    <n v="0"/>
    <x v="0"/>
    <x v="0"/>
    <x v="0"/>
    <x v="0"/>
    <x v="0"/>
    <x v="0"/>
    <x v="0"/>
    <x v="0"/>
    <x v="0"/>
    <x v="0"/>
    <n v="0"/>
    <n v="0"/>
    <n v="0"/>
    <n v="0"/>
    <n v="0"/>
    <x v="0"/>
    <x v="0"/>
    <x v="0"/>
    <x v="0"/>
    <x v="0"/>
    <x v="0"/>
    <x v="0"/>
    <x v="0"/>
    <x v="0"/>
    <x v="0"/>
    <n v="115743.23"/>
    <n v="191921.72"/>
    <n v="288142.18"/>
    <n v="572385.86"/>
    <n v="2131732.7999999998"/>
    <n v="1308.4100000000001"/>
    <n v="1335.34"/>
    <n v="2095.48"/>
    <n v="4400.25"/>
    <n v="9185.99"/>
    <x v="0"/>
    <n v="664.92"/>
    <n v="355.73"/>
    <x v="6"/>
    <x v="0"/>
    <x v="0"/>
    <x v="0"/>
    <x v="0"/>
    <x v="0"/>
    <x v="0"/>
    <x v="0"/>
    <x v="0"/>
    <x v="0"/>
    <x v="0"/>
    <x v="0"/>
    <x v="0"/>
    <x v="0"/>
    <x v="0"/>
    <x v="0"/>
    <x v="0"/>
    <x v="0"/>
    <x v="0"/>
    <x v="0"/>
    <x v="0"/>
    <x v="0"/>
    <x v="0"/>
    <x v="0"/>
    <x v="0"/>
    <x v="0"/>
    <x v="0"/>
    <x v="0"/>
    <x v="0"/>
    <n v="6728922.8799999999"/>
    <n v="125480402.09"/>
    <n v="-10223288.85"/>
    <n v="135703690.94"/>
  </r>
  <r>
    <x v="0"/>
    <x v="6"/>
    <x v="6"/>
    <x v="11"/>
    <x v="11"/>
    <n v="48372.93"/>
    <n v="108465.16"/>
    <n v="313473.88"/>
    <n v="432977.39"/>
    <n v="1793806.6"/>
    <n v="0"/>
    <n v="0"/>
    <n v="0"/>
    <n v="0"/>
    <n v="0"/>
    <n v="0"/>
    <n v="0"/>
    <n v="0"/>
    <n v="0"/>
    <n v="3"/>
    <n v="1393029.48"/>
    <n v="2538269.34"/>
    <n v="3576862.86"/>
    <n v="28971102.219999999"/>
    <n v="125038.98"/>
    <n v="112736.88"/>
    <n v="126451.3"/>
    <n v="808274.27"/>
    <n v="18094.48"/>
    <n v="149506.51"/>
    <n v="165620.51999999999"/>
    <n v="395080.06"/>
    <n v="31765.83"/>
    <n v="56145.62"/>
    <n v="237304.01"/>
    <n v="1508923.97"/>
    <n v="341.83"/>
    <n v="516.61"/>
    <n v="1644.56"/>
    <n v="37503.72"/>
    <n v="0"/>
    <n v="140.53"/>
    <n v="4570.24"/>
    <n v="195.01"/>
    <n v="3449859.82"/>
    <n v="6376935.8700000001"/>
    <n v="8818650.8699999992"/>
    <n v="16503740.16"/>
    <n v="49631511.009999998"/>
    <n v="312463.61"/>
    <n v="273103.25"/>
    <n v="287525.03999999998"/>
    <n v="444773.06"/>
    <n v="492014.36"/>
    <n v="40528.730000000003"/>
    <n v="389961.12"/>
    <n v="470242.55"/>
    <n v="649813.51"/>
    <n v="454737.8"/>
    <n v="0"/>
    <n v="0"/>
    <n v="0"/>
    <n v="0"/>
    <n v="0"/>
    <x v="0"/>
    <x v="0"/>
    <x v="0"/>
    <x v="0"/>
    <x v="0"/>
    <x v="0"/>
    <x v="0"/>
    <x v="0"/>
    <x v="0"/>
    <x v="0"/>
    <n v="0"/>
    <n v="0"/>
    <n v="0"/>
    <n v="0"/>
    <n v="0"/>
    <x v="0"/>
    <x v="0"/>
    <x v="0"/>
    <x v="0"/>
    <x v="0"/>
    <x v="0"/>
    <x v="0"/>
    <x v="0"/>
    <x v="0"/>
    <x v="0"/>
    <n v="105048.41"/>
    <n v="209932.34"/>
    <n v="298963.84000000003"/>
    <n v="621795.85"/>
    <n v="2243592.04"/>
    <n v="2348.52"/>
    <n v="2423.0500000000002"/>
    <n v="3723.45"/>
    <n v="5375.33"/>
    <n v="8647.86"/>
    <x v="0"/>
    <n v="1142.5999999999999"/>
    <n v="0"/>
    <x v="0"/>
    <x v="0"/>
    <x v="0"/>
    <x v="0"/>
    <x v="0"/>
    <x v="0"/>
    <x v="0"/>
    <x v="0"/>
    <x v="0"/>
    <x v="0"/>
    <x v="0"/>
    <x v="0"/>
    <x v="0"/>
    <x v="0"/>
    <x v="0"/>
    <x v="0"/>
    <x v="0"/>
    <x v="0"/>
    <x v="0"/>
    <x v="0"/>
    <x v="0"/>
    <x v="0"/>
    <x v="0"/>
    <x v="0"/>
    <x v="0"/>
    <x v="0"/>
    <x v="0"/>
    <x v="0"/>
    <x v="0"/>
    <n v="5784542.3399999999"/>
    <n v="125177450.90000001"/>
    <n v="-9877620.9399999995"/>
    <n v="135055071.84"/>
  </r>
  <r>
    <x v="0"/>
    <x v="7"/>
    <x v="7"/>
    <x v="0"/>
    <x v="0"/>
    <n v="750966.54"/>
    <n v="1313686.33"/>
    <n v="1800643.24"/>
    <n v="3491271.54"/>
    <n v="11778355.76"/>
    <n v="27056.400000000001"/>
    <n v="38485.22"/>
    <n v="38980.53"/>
    <n v="59397.47"/>
    <n v="99245.68"/>
    <n v="0"/>
    <n v="11091.98"/>
    <n v="0"/>
    <n v="0"/>
    <n v="188144.13"/>
    <n v="2235351.94"/>
    <n v="4292719.7"/>
    <n v="6073132.0599999996"/>
    <n v="41930598.460000001"/>
    <n v="80693.02"/>
    <n v="100577.74"/>
    <n v="135436.78"/>
    <n v="618149.36"/>
    <n v="31852.63"/>
    <n v="45361.35"/>
    <n v="13142.1"/>
    <n v="342052.41"/>
    <n v="337742.87"/>
    <n v="614666.44999999995"/>
    <n v="2693264.35"/>
    <n v="13479605.960000001"/>
    <n v="7948.83"/>
    <n v="10335.56"/>
    <n v="31517.35"/>
    <n v="46734.55"/>
    <n v="0"/>
    <n v="3394.08"/>
    <n v="1663.54"/>
    <n v="89101.37"/>
    <n v="3866268.74"/>
    <n v="6990684.3399999999"/>
    <n v="9973813.0899999999"/>
    <n v="18197013.510000002"/>
    <n v="46369835.960000001"/>
    <n v="262075.46"/>
    <n v="324102.01"/>
    <n v="431998.83"/>
    <n v="650880.88"/>
    <n v="899274.25"/>
    <n v="80590.52"/>
    <n v="170475.87"/>
    <n v="58276.67"/>
    <n v="25252.560000000001"/>
    <n v="680469.34"/>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603758.4699999997"/>
    <n v="176573412.13"/>
    <n v="-5219967.18"/>
    <n v="181793379.31"/>
  </r>
  <r>
    <x v="0"/>
    <x v="7"/>
    <x v="7"/>
    <x v="1"/>
    <x v="1"/>
    <n v="765541.88"/>
    <n v="1246255.8799999999"/>
    <n v="1778000.8"/>
    <n v="3429526.29"/>
    <n v="11137857.050000001"/>
    <n v="25867.93"/>
    <n v="36691.74"/>
    <n v="36955.86"/>
    <n v="50813.77"/>
    <n v="93135.74"/>
    <n v="0"/>
    <n v="12032.89"/>
    <n v="5796.77"/>
    <n v="0"/>
    <n v="186704.63"/>
    <n v="2333764.02"/>
    <n v="4109305.89"/>
    <n v="6003933.5099999998"/>
    <n v="41167462.439999998"/>
    <n v="90490.05"/>
    <n v="103927.7"/>
    <n v="148239.60999999999"/>
    <n v="668706.54"/>
    <n v="33298.29"/>
    <n v="51397.39"/>
    <n v="14915.07"/>
    <n v="330324.02"/>
    <n v="342661.55"/>
    <n v="602875.49"/>
    <n v="2702236.36"/>
    <n v="13451015.91"/>
    <n v="10325.049999999999"/>
    <n v="13343.51"/>
    <n v="41453.69"/>
    <n v="81776.05"/>
    <n v="0"/>
    <n v="4085.19"/>
    <n v="2252.44"/>
    <n v="89101.37"/>
    <n v="3977368.97"/>
    <n v="6692052.3399999999"/>
    <n v="9998585.0600000005"/>
    <n v="18236104.140000001"/>
    <n v="46189282.090000004"/>
    <n v="284638.06"/>
    <n v="327305.7"/>
    <n v="453196.41"/>
    <n v="701236.89"/>
    <n v="1075344.26"/>
    <n v="89074.2"/>
    <n v="182093.3"/>
    <n v="74023.81"/>
    <n v="30705.1"/>
    <n v="661407.31999999995"/>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6010660.3499999996"/>
    <n v="174900672.53999999"/>
    <n v="-5273817.4800000004"/>
    <n v="180174490.02000001"/>
  </r>
  <r>
    <x v="0"/>
    <x v="7"/>
    <x v="7"/>
    <x v="2"/>
    <x v="2"/>
    <n v="749777.6"/>
    <n v="1196705.68"/>
    <n v="1749727.41"/>
    <n v="3453583.71"/>
    <n v="10531747.9"/>
    <n v="20379.689999999999"/>
    <n v="29295.62"/>
    <n v="29029.37"/>
    <n v="41432"/>
    <n v="56549.67"/>
    <n v="0"/>
    <n v="9629.31"/>
    <n v="8864.67"/>
    <n v="0"/>
    <n v="186325.52"/>
    <n v="2239460.98"/>
    <n v="4070571.18"/>
    <n v="6100045.5499999998"/>
    <n v="41407885.539999999"/>
    <n v="75004.27"/>
    <n v="92603.29"/>
    <n v="120824.28"/>
    <n v="510118.44"/>
    <n v="28290.58"/>
    <n v="47548.31"/>
    <n v="14893.95"/>
    <n v="327049.93"/>
    <n v="333108.71000000002"/>
    <n v="607014.93000000005"/>
    <n v="2739936.89"/>
    <n v="13299318.83"/>
    <n v="8387.7099999999991"/>
    <n v="12175.11"/>
    <n v="37339.480000000003"/>
    <n v="59288.480000000003"/>
    <n v="0"/>
    <n v="3659.16"/>
    <n v="3737.81"/>
    <n v="89101.37"/>
    <n v="3764693.05"/>
    <n v="6753965.7000000002"/>
    <n v="10126042.859999999"/>
    <n v="18861019"/>
    <n v="46077519.880000003"/>
    <n v="246244.65"/>
    <n v="288211.27"/>
    <n v="378109.16"/>
    <n v="596748.91"/>
    <n v="800659.93"/>
    <n v="72927.63"/>
    <n v="183396.92"/>
    <n v="76903.08"/>
    <n v="33957.370000000003"/>
    <n v="681798.85"/>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170485.79"/>
    <n v="173674063.94"/>
    <n v="-5558547.25"/>
    <n v="179232611.19"/>
  </r>
  <r>
    <x v="0"/>
    <x v="7"/>
    <x v="7"/>
    <x v="3"/>
    <x v="3"/>
    <n v="717068.17"/>
    <n v="1176475.6399999999"/>
    <n v="1705953.5"/>
    <n v="3351212.17"/>
    <n v="9976725.4199999999"/>
    <n v="17618.37"/>
    <n v="26694.17"/>
    <n v="22134.22"/>
    <n v="28333.93"/>
    <n v="37392.65"/>
    <n v="0"/>
    <n v="8809.26"/>
    <n v="7246.89"/>
    <n v="0"/>
    <n v="185567.04"/>
    <n v="2219945.04"/>
    <n v="4220667.9400000004"/>
    <n v="5984675.4500000002"/>
    <n v="41087558.82"/>
    <n v="69180.039999999994"/>
    <n v="82172.649999999994"/>
    <n v="104649.2"/>
    <n v="455042.62"/>
    <n v="19797.2"/>
    <n v="46513.98"/>
    <n v="13874.86"/>
    <n v="333051.8"/>
    <n v="337638.99"/>
    <n v="603616.46"/>
    <n v="2698401.35"/>
    <n v="13017542.859999999"/>
    <n v="9486.33"/>
    <n v="13733.53"/>
    <n v="41493.339999999997"/>
    <n v="86823.72"/>
    <n v="0"/>
    <n v="4500.0600000000004"/>
    <n v="2147.81"/>
    <n v="89101.37"/>
    <n v="3884377.77"/>
    <n v="6815167.4000000004"/>
    <n v="10026378.1"/>
    <n v="18690374.91"/>
    <n v="46328445.460000001"/>
    <n v="247833.08"/>
    <n v="283528.06"/>
    <n v="365297.74"/>
    <n v="579183.67000000004"/>
    <n v="712518.16"/>
    <n v="67090.210000000006"/>
    <n v="175181.05"/>
    <n v="64362.99"/>
    <n v="27117.69"/>
    <n v="850211.29"/>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077688.9800000004"/>
    <n v="172280482.38999999"/>
    <n v="-5639432.04"/>
    <n v="177919914.43000001"/>
  </r>
  <r>
    <x v="0"/>
    <x v="7"/>
    <x v="7"/>
    <x v="4"/>
    <x v="4"/>
    <n v="680985.83"/>
    <n v="1128958.1100000001"/>
    <n v="1652413.33"/>
    <n v="3247235.56"/>
    <n v="9412314.0399999991"/>
    <n v="17423.310000000001"/>
    <n v="25397.79"/>
    <n v="19902.37"/>
    <n v="26634.17"/>
    <n v="16424.04"/>
    <n v="0"/>
    <n v="7751.81"/>
    <n v="9042.83"/>
    <n v="654.53"/>
    <n v="152141.78"/>
    <n v="2178556.23"/>
    <n v="4194624.75"/>
    <n v="5996282.7000000002"/>
    <n v="40838375.119999997"/>
    <n v="79936"/>
    <n v="100847.99"/>
    <n v="129210.82"/>
    <n v="552706.16"/>
    <n v="30247.67"/>
    <n v="47359.1"/>
    <n v="16589.46"/>
    <n v="359354.67"/>
    <n v="328960.06"/>
    <n v="597506.72"/>
    <n v="2712221.55"/>
    <n v="12828871.65"/>
    <n v="8187.86"/>
    <n v="11423.43"/>
    <n v="29376.22"/>
    <n v="48739.62"/>
    <n v="0"/>
    <n v="2866.99"/>
    <n v="2663.11"/>
    <n v="101954.72"/>
    <n v="3760630.86"/>
    <n v="6870838.5800000001"/>
    <n v="10024475.949999999"/>
    <n v="18813393.489999998"/>
    <n v="46065674.280000001"/>
    <n v="249716.8"/>
    <n v="297453.96000000002"/>
    <n v="388292.61"/>
    <n v="627672.85"/>
    <n v="889388.38"/>
    <n v="81535.070000000007"/>
    <n v="179425"/>
    <n v="69313.67"/>
    <n v="27212.32"/>
    <n v="813944.22"/>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420791.3300000001"/>
    <n v="171112869.75999999"/>
    <n v="-5640240.3799999999"/>
    <n v="176753110.13999999"/>
  </r>
  <r>
    <x v="0"/>
    <x v="7"/>
    <x v="7"/>
    <x v="5"/>
    <x v="5"/>
    <n v="674689.1"/>
    <n v="1087460.02"/>
    <n v="1638521.63"/>
    <n v="3149525.52"/>
    <n v="8881597.7100000009"/>
    <n v="15014.19"/>
    <n v="19085.16"/>
    <n v="11601.47"/>
    <n v="11903.05"/>
    <n v="15958.99"/>
    <n v="0"/>
    <n v="7250.61"/>
    <n v="7192.21"/>
    <n v="2339.62"/>
    <n v="144479.64000000001"/>
    <n v="2354356.61"/>
    <n v="4072012.74"/>
    <n v="6021566.1500000004"/>
    <n v="40861728.289999999"/>
    <n v="76390.570000000007"/>
    <n v="87180.35"/>
    <n v="114333.1"/>
    <n v="441074.02"/>
    <n v="23712.799999999999"/>
    <n v="49282.52"/>
    <n v="17143.12"/>
    <n v="343613.23"/>
    <n v="334715.23"/>
    <n v="593580.23"/>
    <n v="2707521.82"/>
    <n v="12625512.51"/>
    <n v="8226.09"/>
    <n v="11843.97"/>
    <n v="37961.46"/>
    <n v="69089.539999999994"/>
    <n v="0"/>
    <n v="4154.05"/>
    <n v="2671.41"/>
    <n v="101954.72"/>
    <n v="4014552.32"/>
    <n v="6673763.0800000001"/>
    <n v="10138684.619999999"/>
    <n v="18768125.41"/>
    <n v="46236441.090000004"/>
    <n v="238703.64"/>
    <n v="262671.14"/>
    <n v="359072.08"/>
    <n v="566190.36"/>
    <n v="795977.67"/>
    <n v="63834.85"/>
    <n v="182109.69"/>
    <n v="76827.34"/>
    <n v="33858.68"/>
    <n v="779162.73"/>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981864.07"/>
    <n v="170389987.02000001"/>
    <n v="-5426231.1299999999"/>
    <n v="175816218.15000001"/>
  </r>
  <r>
    <x v="0"/>
    <x v="7"/>
    <x v="7"/>
    <x v="6"/>
    <x v="6"/>
    <n v="636783.84"/>
    <n v="1003236.36"/>
    <n v="1505092.88"/>
    <n v="2975557.88"/>
    <n v="8063914.8300000001"/>
    <n v="53853.79"/>
    <n v="50397.38"/>
    <n v="69902.850000000006"/>
    <n v="123129.02"/>
    <n v="225213.88"/>
    <n v="0"/>
    <n v="32867.730000000003"/>
    <n v="8319.07"/>
    <n v="3059.17"/>
    <n v="142842.84"/>
    <n v="2240522.19"/>
    <n v="4160821.24"/>
    <n v="5972219.9199999999"/>
    <n v="40492487.159999996"/>
    <n v="70788.740000000005"/>
    <n v="62826.54"/>
    <n v="75303.3"/>
    <n v="363894.68"/>
    <n v="0"/>
    <n v="48642.54"/>
    <n v="23001.4"/>
    <n v="336870.49"/>
    <n v="332056.65999999997"/>
    <n v="604172.42000000004"/>
    <n v="2695269.91"/>
    <n v="12399050.810000001"/>
    <n v="9846.59"/>
    <n v="15305.61"/>
    <n v="45492.38"/>
    <n v="103080.09"/>
    <n v="0"/>
    <n v="3955.42"/>
    <n v="1979.24"/>
    <n v="99085.64"/>
    <n v="3983645.48"/>
    <n v="6872967.9400000004"/>
    <n v="10137624.26"/>
    <n v="19034895.73"/>
    <n v="46298868.810000002"/>
    <n v="229819.12"/>
    <n v="219281.16"/>
    <n v="261523.74"/>
    <n v="406010.8"/>
    <n v="570877.92000000004"/>
    <n v="0"/>
    <n v="166542.34"/>
    <n v="91188.94"/>
    <n v="43224.11"/>
    <n v="790856.78"/>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748983.3"/>
    <n v="168836675.22999999"/>
    <n v="-5321496.3899999997"/>
    <n v="174158171.62"/>
  </r>
  <r>
    <x v="0"/>
    <x v="7"/>
    <x v="7"/>
    <x v="7"/>
    <x v="7"/>
    <n v="577401.79"/>
    <n v="982581.31"/>
    <n v="1472672.89"/>
    <n v="2872201.16"/>
    <n v="7539326.0199999996"/>
    <n v="55514.98"/>
    <n v="56170.1"/>
    <n v="79261.179999999993"/>
    <n v="132200.74"/>
    <n v="205270.91"/>
    <n v="0"/>
    <n v="35159.879999999997"/>
    <n v="8673.11"/>
    <n v="4345.26"/>
    <n v="142842.84"/>
    <n v="2233244.81"/>
    <n v="4119759.64"/>
    <n v="6111633.5099999998"/>
    <n v="40625943.210000001"/>
    <n v="70560.91"/>
    <n v="63166.13"/>
    <n v="76466.16"/>
    <n v="268553.01"/>
    <n v="0"/>
    <n v="53208.1"/>
    <n v="24761.37"/>
    <n v="309117.98"/>
    <n v="324073.86"/>
    <n v="603614.11"/>
    <n v="2683843.7200000002"/>
    <n v="12214360.76"/>
    <n v="9882.0300000000007"/>
    <n v="14556.87"/>
    <n v="35792.5"/>
    <n v="93020.7"/>
    <n v="0"/>
    <n v="3674.71"/>
    <n v="4847.6899999999996"/>
    <n v="85254.63"/>
    <n v="3927849.36"/>
    <n v="6899833.0199999996"/>
    <n v="10285154.560000001"/>
    <n v="18889989.68"/>
    <n v="46499127.270000003"/>
    <n v="243598.26"/>
    <n v="234410.46"/>
    <n v="280363.24"/>
    <n v="426449.58"/>
    <n v="639595.1"/>
    <n v="0"/>
    <n v="187147.6"/>
    <n v="103569.86"/>
    <n v="57531.87"/>
    <n v="788087.87"/>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793055.63"/>
    <n v="168188783.27000001"/>
    <n v="-5466883.04"/>
    <n v="173655666.31"/>
  </r>
  <r>
    <x v="0"/>
    <x v="7"/>
    <x v="7"/>
    <x v="8"/>
    <x v="8"/>
    <n v="602687.94999999995"/>
    <n v="962371.6"/>
    <n v="1486114.94"/>
    <n v="2765796.04"/>
    <n v="7220868.46"/>
    <n v="49678.65"/>
    <n v="49951.7"/>
    <n v="68172.149999999994"/>
    <n v="109623.41"/>
    <n v="184932.35"/>
    <n v="0"/>
    <n v="32533.3"/>
    <n v="13470.08"/>
    <n v="5433.52"/>
    <n v="63859.49"/>
    <n v="2252280.79"/>
    <n v="4165801.81"/>
    <n v="6235135.71"/>
    <n v="40319541.539999999"/>
    <n v="69345.84"/>
    <n v="63079.6"/>
    <n v="74549.649999999994"/>
    <n v="303732.83"/>
    <n v="0"/>
    <n v="53102.75"/>
    <n v="31637.03"/>
    <n v="209199.5"/>
    <n v="332921.92"/>
    <n v="596115.04"/>
    <n v="2647867.48"/>
    <n v="11895170.57"/>
    <n v="9843.51"/>
    <n v="13736.94"/>
    <n v="33450.25"/>
    <n v="86265.82"/>
    <n v="0"/>
    <n v="3327.76"/>
    <n v="4289.41"/>
    <n v="85254.63"/>
    <n v="4004459.81"/>
    <n v="6927453.7300000004"/>
    <n v="10506548.18"/>
    <n v="18534157.510000002"/>
    <n v="46762789.689999998"/>
    <n v="250097.31"/>
    <n v="242128.48"/>
    <n v="293342.03000000003"/>
    <n v="435157.49"/>
    <n v="661048.98"/>
    <n v="0"/>
    <n v="188946.42"/>
    <n v="121502.32"/>
    <n v="74130.02"/>
    <n v="589593.74"/>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474416.96"/>
    <n v="167350239.25"/>
    <n v="-5342260.4800000004"/>
    <n v="172692499.72999999"/>
  </r>
  <r>
    <x v="0"/>
    <x v="7"/>
    <x v="7"/>
    <x v="9"/>
    <x v="9"/>
    <n v="577129.36"/>
    <n v="947390.5"/>
    <n v="1517302.65"/>
    <n v="2694909.51"/>
    <n v="6901470.7199999997"/>
    <n v="46990.81"/>
    <n v="47510.07"/>
    <n v="61505.77"/>
    <n v="99095.6"/>
    <n v="216471.61"/>
    <n v="0"/>
    <n v="31329.16"/>
    <n v="14386.12"/>
    <n v="6350.29"/>
    <n v="59661.79"/>
    <n v="2237748.0499999998"/>
    <n v="4190995.37"/>
    <n v="6259538.2199999997"/>
    <n v="39919660.590000004"/>
    <n v="80990.350000000006"/>
    <n v="72886.7"/>
    <n v="93168.55"/>
    <n v="396174.16"/>
    <n v="0"/>
    <n v="59356.23"/>
    <n v="32406.86"/>
    <n v="211926.81"/>
    <n v="330458.19"/>
    <n v="595512.14"/>
    <n v="2656996.15"/>
    <n v="11774912.59"/>
    <n v="10195.9"/>
    <n v="15155.87"/>
    <n v="37097.08"/>
    <n v="81737.89"/>
    <n v="0"/>
    <n v="4199.59"/>
    <n v="3428.64"/>
    <n v="83436.240000000005"/>
    <n v="3978435.74"/>
    <n v="6844680.3899999997"/>
    <n v="10775834.529999999"/>
    <n v="18367735.600000001"/>
    <n v="46706548.25"/>
    <n v="283000.59999999998"/>
    <n v="272101.7"/>
    <n v="346741.77"/>
    <n v="509972.62"/>
    <n v="749674.67"/>
    <n v="0"/>
    <n v="210081.11"/>
    <n v="133385.69"/>
    <n v="86238.04"/>
    <n v="580962.48"/>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937620.7699999996"/>
    <n v="166613420.81"/>
    <n v="-5601458.5099999998"/>
    <n v="172214879.31999999"/>
  </r>
  <r>
    <x v="0"/>
    <x v="7"/>
    <x v="7"/>
    <x v="10"/>
    <x v="10"/>
    <n v="561706.75"/>
    <n v="962201.67"/>
    <n v="1378954.53"/>
    <n v="2619256.81"/>
    <n v="6443295.1699999999"/>
    <n v="44270.61"/>
    <n v="46069.26"/>
    <n v="56439.64"/>
    <n v="90209.09"/>
    <n v="230406.46"/>
    <n v="0"/>
    <n v="30826.47"/>
    <n v="16585.64"/>
    <n v="8051.91"/>
    <n v="27782.62"/>
    <n v="2313262.9700000002"/>
    <n v="4233120.97"/>
    <n v="6078314.7400000002"/>
    <n v="39427979.5"/>
    <n v="84491.61"/>
    <n v="79723.679999999993"/>
    <n v="100191.23"/>
    <n v="435675.55"/>
    <n v="0"/>
    <n v="63791.92"/>
    <n v="34760.97"/>
    <n v="205502.43"/>
    <n v="333200.86"/>
    <n v="603235.74"/>
    <n v="2612748.7599999998"/>
    <n v="11493735.380000001"/>
    <n v="11147.19"/>
    <n v="17838.03"/>
    <n v="40541.339999999997"/>
    <n v="102053.4"/>
    <n v="0"/>
    <n v="5563.86"/>
    <n v="4932.21"/>
    <n v="83436.240000000005"/>
    <n v="4004349.84"/>
    <n v="7136676.0099999998"/>
    <n v="10240899.85"/>
    <n v="18358763.82"/>
    <n v="46792314.310000002"/>
    <n v="283135.67"/>
    <n v="281053.24"/>
    <n v="335173.40000000002"/>
    <n v="491033.43"/>
    <n v="768114.82"/>
    <n v="0"/>
    <n v="219693.46"/>
    <n v="139989.13"/>
    <n v="91115.17"/>
    <n v="622873.67000000004"/>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052473.3499999996"/>
    <n v="164939961.80000001"/>
    <n v="-5706529.2300000004"/>
    <n v="170646491.03"/>
  </r>
  <r>
    <x v="0"/>
    <x v="7"/>
    <x v="7"/>
    <x v="11"/>
    <x v="11"/>
    <n v="560177.6"/>
    <n v="979653.43"/>
    <n v="1381929.74"/>
    <n v="2617342.9700000002"/>
    <n v="6239260.6600000001"/>
    <n v="12318.21"/>
    <n v="14405.43"/>
    <n v="14839.42"/>
    <n v="26034.89"/>
    <n v="45810.96"/>
    <n v="0"/>
    <n v="10608.27"/>
    <n v="9735.59"/>
    <n v="4112.58"/>
    <n v="63970.55"/>
    <n v="2223464.2599999998"/>
    <n v="4211935.9400000004"/>
    <n v="6070360.1200000001"/>
    <n v="39232651.079999998"/>
    <n v="46105.56"/>
    <n v="44045.59"/>
    <n v="51015.6"/>
    <n v="181720.38"/>
    <n v="0"/>
    <n v="36523.58"/>
    <n v="24426.240000000002"/>
    <n v="258402.24"/>
    <n v="313550.92"/>
    <n v="616495.47"/>
    <n v="2618942.41"/>
    <n v="11325356.49"/>
    <n v="7192.78"/>
    <n v="11408.27"/>
    <n v="21944.3"/>
    <n v="42556.09"/>
    <n v="0"/>
    <n v="3358.93"/>
    <n v="6596.46"/>
    <n v="83436.240000000005"/>
    <n v="3916789.32"/>
    <n v="7387743.6200000001"/>
    <n v="10126062.07"/>
    <n v="18345240.27"/>
    <n v="46176722.380000003"/>
    <n v="208902.07"/>
    <n v="199788.42"/>
    <n v="231505.49"/>
    <n v="325170.77"/>
    <n v="500406.53"/>
    <n v="0"/>
    <n v="169272.08"/>
    <n v="118621.3"/>
    <n v="81357.440000000002"/>
    <n v="751110.48"/>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3606702.74"/>
    <n v="162583372.38"/>
    <n v="-5367009.1100000003"/>
    <n v="167950381.49000001"/>
  </r>
  <r>
    <x v="0"/>
    <x v="8"/>
    <x v="8"/>
    <x v="0"/>
    <x v="0"/>
    <n v="95520.99"/>
    <n v="142694.81"/>
    <n v="206051.39"/>
    <n v="420973.23"/>
    <n v="2794558.17"/>
    <n v="12096.94"/>
    <n v="25998.19"/>
    <n v="16236.96"/>
    <n v="66679.61"/>
    <n v="408893.06"/>
    <n v="0"/>
    <n v="14428.5"/>
    <n v="10546.93"/>
    <n v="8652.7800000000007"/>
    <n v="2"/>
    <n v="2206788.64"/>
    <n v="3596430.43"/>
    <n v="4776373.2"/>
    <n v="40966423.170000002"/>
    <n v="220470.49"/>
    <n v="285468.36"/>
    <n v="401272.65"/>
    <n v="2721411.39"/>
    <n v="78712.37"/>
    <n v="274124.42"/>
    <n v="321662.09999999998"/>
    <n v="740355.04"/>
    <n v="29882.02"/>
    <n v="32937.71"/>
    <n v="161155.84"/>
    <n v="923493.13"/>
    <n v="14546.74"/>
    <n v="16023.6"/>
    <n v="47028.21"/>
    <n v="200289.39"/>
    <n v="0"/>
    <n v="6545.05"/>
    <n v="36443.85"/>
    <n v="25151.74"/>
    <n v="1380413.69"/>
    <n v="2036650.87"/>
    <n v="2898642.53"/>
    <n v="5226611.9800000004"/>
    <n v="10999993.550000001"/>
    <n v="128138.96"/>
    <n v="139216.60999999999"/>
    <n v="199254.1"/>
    <n v="331652.71999999997"/>
    <n v="379553.68"/>
    <n v="40909.519999999997"/>
    <n v="178401.53"/>
    <n v="240074.02"/>
    <n v="349176.04"/>
    <n v="395708.55"/>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8335126.0999999996"/>
    <n v="79417045.790000007"/>
    <n v="-7813675.6600000001"/>
    <n v="87230721.450000003"/>
  </r>
  <r>
    <x v="0"/>
    <x v="8"/>
    <x v="8"/>
    <x v="1"/>
    <x v="1"/>
    <n v="93646.6"/>
    <n v="149679.32999999999"/>
    <n v="205120.55"/>
    <n v="391552.72"/>
    <n v="2649025.75"/>
    <n v="15062.47"/>
    <n v="16307.44"/>
    <n v="23895.84"/>
    <n v="48582.97"/>
    <n v="383645.03"/>
    <n v="0"/>
    <n v="9233.11"/>
    <n v="8518.34"/>
    <n v="11746.43"/>
    <n v="2"/>
    <n v="3284837.63"/>
    <n v="3579152.71"/>
    <n v="4750399.79"/>
    <n v="39196798.329999998"/>
    <n v="329991.84999999998"/>
    <n v="289157.43"/>
    <n v="420006.65"/>
    <n v="2625423.39"/>
    <n v="117256.76"/>
    <n v="279800.81"/>
    <n v="321944.09000000003"/>
    <n v="795963.39"/>
    <n v="20877.759999999998"/>
    <n v="31115.63"/>
    <n v="158997.91"/>
    <n v="908374.56"/>
    <n v="14207.8"/>
    <n v="15361.5"/>
    <n v="49995.21"/>
    <n v="192790.67"/>
    <n v="0"/>
    <n v="5930.78"/>
    <n v="39686.03"/>
    <n v="26221.08"/>
    <n v="1250953.26"/>
    <n v="2151601.44"/>
    <n v="2830670.77"/>
    <n v="5187333.07"/>
    <n v="10803215.98"/>
    <n v="126649.26"/>
    <n v="136286.69"/>
    <n v="219969.06"/>
    <n v="317820.93"/>
    <n v="370561.33"/>
    <n v="53698.14"/>
    <n v="207110.75"/>
    <n v="235927.16"/>
    <n v="374916.84"/>
    <n v="434584.49"/>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8518255.7200000007"/>
    <n v="78625778.599999994"/>
    <n v="-7535830.9100000001"/>
    <n v="86161609.510000005"/>
  </r>
  <r>
    <x v="0"/>
    <x v="8"/>
    <x v="8"/>
    <x v="2"/>
    <x v="2"/>
    <n v="77616.36"/>
    <n v="127040.01"/>
    <n v="188615.62"/>
    <n v="349773.66"/>
    <n v="2453628.42"/>
    <n v="16234.49"/>
    <n v="15381.99"/>
    <n v="32718.34"/>
    <n v="58818.66"/>
    <n v="482982.22"/>
    <n v="0"/>
    <n v="16478.16"/>
    <n v="8294.09"/>
    <n v="12976.74"/>
    <n v="989.65"/>
    <n v="3283299.44"/>
    <n v="3272239.38"/>
    <n v="4735906.83"/>
    <n v="38148862.390000001"/>
    <n v="407141.89"/>
    <n v="351521.39"/>
    <n v="497546.3"/>
    <n v="2963534.97"/>
    <n v="126892.39"/>
    <n v="312172.31"/>
    <n v="349278.39"/>
    <n v="879574.88"/>
    <n v="18275.72"/>
    <n v="30935.89"/>
    <n v="156450.88"/>
    <n v="890432.14"/>
    <n v="10020.23"/>
    <n v="20083.22"/>
    <n v="47806.720000000001"/>
    <n v="187925.98"/>
    <n v="0"/>
    <n v="6044.73"/>
    <n v="39882.559999999998"/>
    <n v="29721.3"/>
    <n v="1205829.3899999999"/>
    <n v="2148763.64"/>
    <n v="2760635.82"/>
    <n v="5148630.76"/>
    <n v="10452769.27"/>
    <n v="142292.49"/>
    <n v="176503.72"/>
    <n v="276213.93"/>
    <n v="394512.56"/>
    <n v="518579.32"/>
    <n v="45761.61"/>
    <n v="211236.55"/>
    <n v="239720.33"/>
    <n v="396755.6"/>
    <n v="484208.01"/>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9759805.7200000007"/>
    <n v="77531805.680000007"/>
    <n v="-7677705.6600000001"/>
    <n v="85209511.340000004"/>
  </r>
  <r>
    <x v="0"/>
    <x v="8"/>
    <x v="8"/>
    <x v="3"/>
    <x v="3"/>
    <n v="79690.3"/>
    <n v="117443.3"/>
    <n v="196266.62"/>
    <n v="348929.76"/>
    <n v="2386678.66"/>
    <n v="16800.599999999999"/>
    <n v="15067.84"/>
    <n v="32127.47"/>
    <n v="57587.06"/>
    <n v="468025.39"/>
    <n v="0"/>
    <n v="14714.93"/>
    <n v="9135.41"/>
    <n v="14011.31"/>
    <n v="2895.74"/>
    <n v="1728307.62"/>
    <n v="2810970.99"/>
    <n v="4387310.79"/>
    <n v="34823865.539999999"/>
    <n v="480805.71"/>
    <n v="606978.71"/>
    <n v="876533.4"/>
    <n v="6239804.0700000003"/>
    <n v="148748.43"/>
    <n v="517835.11"/>
    <n v="468157.56"/>
    <n v="832994.1"/>
    <n v="18495.5"/>
    <n v="41928.54"/>
    <n v="151394.54999999999"/>
    <n v="935456.65"/>
    <n v="7604.28"/>
    <n v="14295.26"/>
    <n v="39874"/>
    <n v="118742.33"/>
    <n v="0"/>
    <n v="6764.39"/>
    <n v="33565.72"/>
    <n v="21021.56"/>
    <n v="1081460.69"/>
    <n v="1718681.88"/>
    <n v="2499452.42"/>
    <n v="4680595.5199999996"/>
    <n v="9569652.8300000001"/>
    <n v="270624.09999999998"/>
    <n v="352843.98"/>
    <n v="493545.97"/>
    <n v="770041.44"/>
    <n v="1215529.78"/>
    <n v="74754.820000000007"/>
    <n v="362973.55"/>
    <n v="364788.28"/>
    <n v="383310.17"/>
    <n v="353474.72"/>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5685977.189999999"/>
    <n v="75977491.810000002"/>
    <n v="-7285067.54"/>
    <n v="83262559.349999994"/>
  </r>
  <r>
    <x v="0"/>
    <x v="8"/>
    <x v="8"/>
    <x v="4"/>
    <x v="4"/>
    <n v="66231.929999999993"/>
    <n v="123974.82"/>
    <n v="187406.03"/>
    <n v="409909.42"/>
    <n v="2695119.89"/>
    <n v="11576.82"/>
    <n v="11733.33"/>
    <n v="17381.55"/>
    <n v="35775.08"/>
    <n v="277694.90999999997"/>
    <n v="0"/>
    <n v="9666.2099999999991"/>
    <n v="9114.81"/>
    <n v="13329.78"/>
    <n v="4624.4799999999996"/>
    <n v="1802031.67"/>
    <n v="3418826.07"/>
    <n v="4767141.17"/>
    <n v="36966721.130000003"/>
    <n v="278962.01"/>
    <n v="347795.19"/>
    <n v="486523.28"/>
    <n v="2939405.88"/>
    <n v="98768.36"/>
    <n v="355571.54"/>
    <n v="395227.06"/>
    <n v="905827.36"/>
    <n v="17703.02"/>
    <n v="41585.49"/>
    <n v="149460.51999999999"/>
    <n v="935312.18"/>
    <n v="9835.7999999999993"/>
    <n v="10910.56"/>
    <n v="38563.25"/>
    <n v="101294.37"/>
    <n v="0"/>
    <n v="4229.78"/>
    <n v="35852.14"/>
    <n v="22061.9"/>
    <n v="1202749.46"/>
    <n v="2017492.92"/>
    <n v="2879210.92"/>
    <n v="4958189.09"/>
    <n v="9938411.7100000009"/>
    <n v="151289.03"/>
    <n v="199771.07"/>
    <n v="256067.16"/>
    <n v="418937.69"/>
    <n v="593431.06999999995"/>
    <n v="50115.5"/>
    <n v="206497.2"/>
    <n v="280710.89"/>
    <n v="401412.44"/>
    <n v="395392.26"/>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9375349.7599999998"/>
    <n v="74652561.459999993"/>
    <n v="-7300265.7400000002"/>
    <n v="81952827.200000003"/>
  </r>
  <r>
    <x v="0"/>
    <x v="8"/>
    <x v="8"/>
    <x v="5"/>
    <x v="5"/>
    <n v="70572.37"/>
    <n v="136159.76"/>
    <n v="197622.54"/>
    <n v="423193.22"/>
    <n v="2963527.17"/>
    <n v="6862.71"/>
    <n v="7912.54"/>
    <n v="11517.43"/>
    <n v="23551.88"/>
    <n v="86517.78"/>
    <n v="0"/>
    <n v="7232.75"/>
    <n v="8125.28"/>
    <n v="12698.27"/>
    <n v="5688.37"/>
    <n v="1700278.84"/>
    <n v="3206595.82"/>
    <n v="4526458.34"/>
    <n v="36520814.420000002"/>
    <n v="294753.39"/>
    <n v="358376.55"/>
    <n v="511163.64"/>
    <n v="3039945.99"/>
    <n v="99588.84"/>
    <n v="336810.21"/>
    <n v="396495.33"/>
    <n v="987314.07"/>
    <n v="29595.53"/>
    <n v="30159.95"/>
    <n v="147670.26"/>
    <n v="907017.82"/>
    <n v="10213.99"/>
    <n v="11192.53"/>
    <n v="43132.08"/>
    <n v="107654.98"/>
    <n v="0"/>
    <n v="3863.1"/>
    <n v="36473.18"/>
    <n v="24371.31"/>
    <n v="1210293.3500000001"/>
    <n v="1835794.03"/>
    <n v="2775001.71"/>
    <n v="5024970.75"/>
    <n v="10497956.82"/>
    <n v="169014.47"/>
    <n v="195721.58"/>
    <n v="279215.49"/>
    <n v="401780.41"/>
    <n v="574761.77"/>
    <n v="48681.5"/>
    <n v="213106.76"/>
    <n v="244507.77"/>
    <n v="405624.67"/>
    <n v="457296.03"/>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9421166.6500000004"/>
    <n v="74266203.75"/>
    <n v="-7358645.5999999996"/>
    <n v="81624849.349999994"/>
  </r>
  <r>
    <x v="0"/>
    <x v="8"/>
    <x v="8"/>
    <x v="6"/>
    <x v="6"/>
    <n v="84346.91"/>
    <n v="129744.68"/>
    <n v="198437.24"/>
    <n v="416218.22"/>
    <n v="2847304.48"/>
    <n v="9619.8799999999992"/>
    <n v="8723.81"/>
    <n v="14280.97"/>
    <n v="29312.31"/>
    <n v="126976.96000000001"/>
    <n v="0"/>
    <n v="8652.59"/>
    <n v="8987.4599999999991"/>
    <n v="12601.18"/>
    <n v="7783.3"/>
    <n v="1997679.57"/>
    <n v="3074228.76"/>
    <n v="4354966.08"/>
    <n v="35503647.990000002"/>
    <n v="294955.83"/>
    <n v="346640.13"/>
    <n v="487328.33"/>
    <n v="2967816.28"/>
    <n v="79699.070000000007"/>
    <n v="341455.93"/>
    <n v="391514.14"/>
    <n v="1080423.48"/>
    <n v="19703.52"/>
    <n v="29485.13"/>
    <n v="147113.9"/>
    <n v="956095.55"/>
    <n v="7471.16"/>
    <n v="16639.75"/>
    <n v="40792.51"/>
    <n v="103618.69"/>
    <n v="0"/>
    <n v="3303.97"/>
    <n v="37678.85"/>
    <n v="26846.51"/>
    <n v="1302941.8899999999"/>
    <n v="1773517.12"/>
    <n v="2791780.95"/>
    <n v="4869677.53"/>
    <n v="10241120.84"/>
    <n v="197232.83"/>
    <n v="216236.32"/>
    <n v="341657.56"/>
    <n v="499855.35999999999"/>
    <n v="786724.07"/>
    <n v="45155.65"/>
    <n v="263556.94"/>
    <n v="231034.81"/>
    <n v="410806.95"/>
    <n v="519847.54"/>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9965231.1199999992"/>
    <n v="73580490.969999999"/>
    <n v="-7122750.5099999998"/>
    <n v="80703241.480000004"/>
  </r>
  <r>
    <x v="0"/>
    <x v="8"/>
    <x v="8"/>
    <x v="7"/>
    <x v="7"/>
    <n v="88674.15"/>
    <n v="121653.83"/>
    <n v="210695.3"/>
    <n v="412384.93"/>
    <n v="2727902.07"/>
    <n v="9162.5400000000009"/>
    <n v="15787.96"/>
    <n v="19217.259999999998"/>
    <n v="39439.15"/>
    <n v="226373.2"/>
    <n v="0"/>
    <n v="9525.8799999999992"/>
    <n v="10084.06"/>
    <n v="13577.72"/>
    <n v="7974.16"/>
    <n v="1847448.39"/>
    <n v="2942819.41"/>
    <n v="4273797.8"/>
    <n v="34279828.049999997"/>
    <n v="404928.6"/>
    <n v="397273.98"/>
    <n v="529587.69999999995"/>
    <n v="3242310.63"/>
    <n v="0"/>
    <n v="328711.57"/>
    <n v="374194.34"/>
    <n v="1172655.32"/>
    <n v="17213.64"/>
    <n v="29250.62"/>
    <n v="146800.54"/>
    <n v="940666.28"/>
    <n v="7521.06"/>
    <n v="14228.38"/>
    <n v="41032.589999999997"/>
    <n v="99554.75"/>
    <n v="0"/>
    <n v="5830.38"/>
    <n v="37347.199999999997"/>
    <n v="29959.55"/>
    <n v="1137752.74"/>
    <n v="1842635.3"/>
    <n v="2691148.1"/>
    <n v="4634652.54"/>
    <n v="10021252.15"/>
    <n v="268627.28999999998"/>
    <n v="260142.14"/>
    <n v="438379.45"/>
    <n v="609920.48"/>
    <n v="962589.9"/>
    <n v="0"/>
    <n v="346128.68"/>
    <n v="230865.35"/>
    <n v="421473.93"/>
    <n v="577045.54"/>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1151450.74"/>
    <n v="72164647.629999995"/>
    <n v="-7353378.9500000002"/>
    <n v="79518026.579999998"/>
  </r>
  <r>
    <x v="0"/>
    <x v="8"/>
    <x v="8"/>
    <x v="8"/>
    <x v="8"/>
    <n v="88160.49"/>
    <n v="146675.31"/>
    <n v="235770.14"/>
    <n v="474045.73"/>
    <n v="2849272.83"/>
    <n v="10565.04"/>
    <n v="11614.91"/>
    <n v="16060.12"/>
    <n v="31731.37"/>
    <n v="60156.03"/>
    <n v="0"/>
    <n v="7710.74"/>
    <n v="9693.9"/>
    <n v="10136.219999999999"/>
    <n v="9511.7000000000007"/>
    <n v="1723352.63"/>
    <n v="2992687.62"/>
    <n v="4303577.0599999996"/>
    <n v="33229071.98"/>
    <n v="372571.88"/>
    <n v="394557.21"/>
    <n v="502740.23"/>
    <n v="3290142.18"/>
    <n v="0"/>
    <n v="328768.93"/>
    <n v="370266.46"/>
    <n v="1260491.8600000001"/>
    <n v="17435.189999999999"/>
    <n v="31088.94"/>
    <n v="146483.4"/>
    <n v="928074.62"/>
    <n v="10020.84"/>
    <n v="11216.67"/>
    <n v="40642.400000000001"/>
    <n v="93423.63"/>
    <n v="0"/>
    <n v="3360.42"/>
    <n v="39228.19"/>
    <n v="33208.53"/>
    <n v="1033574.36"/>
    <n v="1942185.13"/>
    <n v="2694912.04"/>
    <n v="4470215.55"/>
    <n v="10202846.609999999"/>
    <n v="246572.11"/>
    <n v="300150.03000000003"/>
    <n v="401087.95"/>
    <n v="575126.87"/>
    <n v="846581.82"/>
    <n v="0"/>
    <n v="325285.15000000002"/>
    <n v="264722.86"/>
    <n v="415842.85"/>
    <n v="629974.5"/>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0923163.6"/>
    <n v="70987721.420000002"/>
    <n v="-7444871.8099999996"/>
    <n v="78432593.230000004"/>
  </r>
  <r>
    <x v="0"/>
    <x v="8"/>
    <x v="8"/>
    <x v="9"/>
    <x v="9"/>
    <n v="82708.7"/>
    <n v="142749.26999999999"/>
    <n v="245560.2"/>
    <n v="455818.13"/>
    <n v="2903121.9199999999"/>
    <n v="5318.22"/>
    <n v="6368.68"/>
    <n v="8191.89"/>
    <n v="16832.150000000001"/>
    <n v="46475.08"/>
    <n v="0"/>
    <n v="4268.93"/>
    <n v="7771.74"/>
    <n v="9716.75"/>
    <n v="10795.59"/>
    <n v="1748602.24"/>
    <n v="2753183.14"/>
    <n v="4249120.79"/>
    <n v="33241688.16"/>
    <n v="421909.02"/>
    <n v="417883.45"/>
    <n v="548199.27"/>
    <n v="2576661.69"/>
    <n v="0"/>
    <n v="340996.55"/>
    <n v="378867.8"/>
    <n v="1322427.25"/>
    <n v="16548.64"/>
    <n v="34174.39"/>
    <n v="133617.32999999999"/>
    <n v="865042.18"/>
    <n v="12293.35"/>
    <n v="12773.29"/>
    <n v="48471.42"/>
    <n v="129610.87"/>
    <n v="0"/>
    <n v="4153.46"/>
    <n v="36362.19"/>
    <n v="37549.46"/>
    <n v="1124920.5"/>
    <n v="1695978.58"/>
    <n v="2492483.31"/>
    <n v="4275875.1100000003"/>
    <n v="10343372.08"/>
    <n v="323363.08"/>
    <n v="412121.8"/>
    <n v="435198.5"/>
    <n v="675111.41"/>
    <n v="783735.15"/>
    <n v="0"/>
    <n v="324488.52"/>
    <n v="361811.44"/>
    <n v="411842.3"/>
    <n v="686762.01"/>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0818332.310000001"/>
    <n v="69873176.629999995"/>
    <n v="-7749720.3499999996"/>
    <n v="77622896.980000004"/>
  </r>
  <r>
    <x v="0"/>
    <x v="8"/>
    <x v="8"/>
    <x v="10"/>
    <x v="10"/>
    <n v="83798.73"/>
    <n v="162071.66"/>
    <n v="229371.84"/>
    <n v="451425.18"/>
    <n v="2903471.06"/>
    <n v="5225.3500000000004"/>
    <n v="5285.48"/>
    <n v="8043.41"/>
    <n v="16515.689999999999"/>
    <n v="74982.34"/>
    <n v="0"/>
    <n v="5166.32"/>
    <n v="4481.32"/>
    <n v="7778.41"/>
    <n v="12082.21"/>
    <n v="1864903.46"/>
    <n v="3094130.17"/>
    <n v="4071433.47"/>
    <n v="32847830.73"/>
    <n v="327406.48"/>
    <n v="337471.34"/>
    <n v="419762.88"/>
    <n v="2283268.15"/>
    <n v="0"/>
    <n v="302654.56"/>
    <n v="359597.43"/>
    <n v="1150256.6499999999"/>
    <n v="15517.06"/>
    <n v="31952.880000000001"/>
    <n v="122162.29"/>
    <n v="824888.88"/>
    <n v="11933.34"/>
    <n v="21333.73"/>
    <n v="55856.68"/>
    <n v="151082.29999999999"/>
    <n v="0"/>
    <n v="4681.43"/>
    <n v="36417.730000000003"/>
    <n v="40137.65"/>
    <n v="1118739.8999999999"/>
    <n v="1966481.96"/>
    <n v="2504035.7599999998"/>
    <n v="4379003.24"/>
    <n v="10693435.960000001"/>
    <n v="275919.51"/>
    <n v="273460.82"/>
    <n v="283760.17"/>
    <n v="466597.52"/>
    <n v="662555.43000000005"/>
    <n v="0"/>
    <n v="243655.06"/>
    <n v="355764.84"/>
    <n v="389166.87"/>
    <n v="570712.68999999994"/>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9163013.7899999991"/>
    <n v="69076004.280000001"/>
    <n v="-7451663.7400000002"/>
    <n v="76527668.019999996"/>
  </r>
  <r>
    <x v="0"/>
    <x v="8"/>
    <x v="8"/>
    <x v="11"/>
    <x v="11"/>
    <n v="87810.89"/>
    <n v="168518.07"/>
    <n v="255377.85"/>
    <n v="463993.17"/>
    <n v="3354652.53"/>
    <n v="1829.71"/>
    <n v="1863.56"/>
    <n v="2860.2"/>
    <n v="5961.86"/>
    <n v="6073.23"/>
    <n v="0"/>
    <n v="1796.48"/>
    <n v="2085.56"/>
    <n v="1869.57"/>
    <n v="2507.4299999999998"/>
    <n v="1636807.39"/>
    <n v="2984059.36"/>
    <n v="3998365.07"/>
    <n v="33667865.969999999"/>
    <n v="269172.62"/>
    <n v="290783.40999999997"/>
    <n v="335793.47"/>
    <n v="1610992.69"/>
    <n v="0"/>
    <n v="260100.07"/>
    <n v="368612.52"/>
    <n v="1101798.93"/>
    <n v="21383.5"/>
    <n v="29942.68"/>
    <n v="127964.86"/>
    <n v="832866.62"/>
    <n v="6872.1"/>
    <n v="14286.33"/>
    <n v="38086.5"/>
    <n v="110295.52"/>
    <n v="0"/>
    <n v="4705.58"/>
    <n v="29968.25"/>
    <n v="40947.06"/>
    <n v="1081847.45"/>
    <n v="1800366.04"/>
    <n v="2422467.5299999998"/>
    <n v="4428150.07"/>
    <n v="11479228.050000001"/>
    <n v="260550.41"/>
    <n v="211305.33"/>
    <n v="223114.04"/>
    <n v="339350.04"/>
    <n v="425951.84"/>
    <n v="0"/>
    <n v="208365.31"/>
    <n v="346661.74"/>
    <n v="389536.13"/>
    <n v="590538.57999999996"/>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7504636.0700000003"/>
    <n v="68785520.010000005"/>
    <n v="-7560783.1600000001"/>
    <n v="76346303.170000002"/>
  </r>
  <r>
    <x v="0"/>
    <x v="9"/>
    <x v="9"/>
    <x v="0"/>
    <x v="0"/>
    <n v="0"/>
    <n v="0"/>
    <n v="0"/>
    <n v="0"/>
    <n v="0"/>
    <n v="0"/>
    <n v="0"/>
    <n v="0"/>
    <n v="0"/>
    <n v="0"/>
    <n v="0"/>
    <n v="0"/>
    <n v="0"/>
    <n v="0"/>
    <n v="0"/>
    <n v="1864565.19"/>
    <n v="3764556.93"/>
    <n v="5167828.91"/>
    <n v="40402835.57"/>
    <n v="107369.58"/>
    <n v="147726.85"/>
    <n v="195858.37"/>
    <n v="751104.82"/>
    <n v="73174.42"/>
    <n v="98333.94"/>
    <n v="155881.34"/>
    <n v="490948.07"/>
    <n v="211405.97"/>
    <n v="393741.23"/>
    <n v="1896531.65"/>
    <n v="12378092.82"/>
    <n v="4442.54"/>
    <n v="2766.91"/>
    <n v="11186.46"/>
    <n v="16151.4"/>
    <n v="0"/>
    <n v="1454.64"/>
    <n v="735.14"/>
    <n v="3272.67"/>
    <n v="1619201.99"/>
    <n v="3056513.4"/>
    <n v="4281101.38"/>
    <n v="7849576.8399999999"/>
    <n v="23455614.359999999"/>
    <n v="181531.28"/>
    <n v="220823.21"/>
    <n v="284925.96000000002"/>
    <n v="422371.91"/>
    <n v="713395.47"/>
    <n v="109637.96"/>
    <n v="195886.34"/>
    <n v="264907.12"/>
    <n v="354536.59"/>
    <n v="835990.83"/>
    <n v="0"/>
    <n v="0"/>
    <n v="0"/>
    <n v="0"/>
    <n v="0"/>
    <x v="0"/>
    <x v="0"/>
    <x v="0"/>
    <x v="0"/>
    <x v="0"/>
    <x v="0"/>
    <x v="0"/>
    <x v="0"/>
    <x v="0"/>
    <x v="0"/>
    <n v="0"/>
    <n v="0"/>
    <n v="0"/>
    <n v="0"/>
    <n v="0"/>
    <x v="0"/>
    <x v="0"/>
    <x v="0"/>
    <x v="0"/>
    <x v="0"/>
    <x v="0"/>
    <x v="0"/>
    <x v="0"/>
    <x v="0"/>
    <x v="0"/>
    <n v="8228.2099999999991"/>
    <n v="23425.39"/>
    <n v="37968.980000000003"/>
    <n v="79946.97"/>
    <n v="532407.22"/>
    <n v="0"/>
    <n v="0"/>
    <n v="0"/>
    <n v="0"/>
    <n v="0"/>
    <x v="0"/>
    <n v="0"/>
    <n v="0"/>
    <x v="0"/>
    <x v="0"/>
    <x v="0"/>
    <x v="0"/>
    <x v="0"/>
    <x v="0"/>
    <x v="0"/>
    <x v="0"/>
    <x v="0"/>
    <x v="0"/>
    <x v="0"/>
    <x v="0"/>
    <x v="0"/>
    <x v="0"/>
    <x v="0"/>
    <x v="0"/>
    <x v="0"/>
    <x v="0"/>
    <x v="0"/>
    <x v="0"/>
    <x v="0"/>
    <x v="0"/>
    <x v="0"/>
    <x v="0"/>
    <x v="0"/>
    <x v="0"/>
    <x v="0"/>
    <x v="0"/>
    <x v="0"/>
    <n v="5644413.8200000003"/>
    <n v="106807599.87"/>
    <n v="-5860356.96"/>
    <n v="112667956.83"/>
  </r>
  <r>
    <x v="0"/>
    <x v="9"/>
    <x v="9"/>
    <x v="1"/>
    <x v="1"/>
    <n v="0"/>
    <n v="0"/>
    <n v="0"/>
    <n v="0"/>
    <n v="0"/>
    <n v="0"/>
    <n v="0"/>
    <n v="0"/>
    <n v="0"/>
    <n v="0"/>
    <n v="0"/>
    <n v="0"/>
    <n v="0"/>
    <n v="0"/>
    <n v="0"/>
    <n v="1847983.33"/>
    <n v="3637398.24"/>
    <n v="5244569.78"/>
    <n v="39765926.630000003"/>
    <n v="117788.73"/>
    <n v="149783.32999999999"/>
    <n v="201119.35"/>
    <n v="752910.58"/>
    <n v="58521.65"/>
    <n v="104655.26"/>
    <n v="127970.48"/>
    <n v="541681.84"/>
    <n v="211768.73"/>
    <n v="383223.67"/>
    <n v="1896151.03"/>
    <n v="12159244.300000001"/>
    <n v="6007.87"/>
    <n v="3566.14"/>
    <n v="15565.59"/>
    <n v="22596.68"/>
    <n v="0"/>
    <n v="1543.58"/>
    <n v="1089"/>
    <n v="3272.67"/>
    <n v="1610447.63"/>
    <n v="2973863.37"/>
    <n v="4370003.7"/>
    <n v="7855207.2699999996"/>
    <n v="23582049.600000001"/>
    <n v="189131.48"/>
    <n v="229654.05"/>
    <n v="294305.2"/>
    <n v="451514.76"/>
    <n v="775992.37"/>
    <n v="81863.070000000007"/>
    <n v="232289.21"/>
    <n v="215620.51"/>
    <n v="417988.86"/>
    <n v="785658.3"/>
    <n v="0"/>
    <n v="0"/>
    <n v="0"/>
    <n v="0"/>
    <n v="0"/>
    <x v="0"/>
    <x v="0"/>
    <x v="0"/>
    <x v="0"/>
    <x v="0"/>
    <x v="0"/>
    <x v="0"/>
    <x v="0"/>
    <x v="0"/>
    <x v="0"/>
    <n v="0"/>
    <n v="0"/>
    <n v="0"/>
    <n v="0"/>
    <n v="0"/>
    <x v="0"/>
    <x v="0"/>
    <x v="0"/>
    <x v="0"/>
    <x v="0"/>
    <x v="0"/>
    <x v="0"/>
    <x v="0"/>
    <x v="0"/>
    <x v="0"/>
    <n v="17591.39"/>
    <n v="42572.94"/>
    <n v="66979.56"/>
    <n v="140398.16"/>
    <n v="897574.40000000002"/>
    <n v="0"/>
    <n v="0"/>
    <n v="0"/>
    <n v="0"/>
    <n v="0"/>
    <x v="0"/>
    <n v="0"/>
    <n v="0"/>
    <x v="0"/>
    <x v="0"/>
    <x v="0"/>
    <x v="0"/>
    <x v="0"/>
    <x v="0"/>
    <x v="0"/>
    <x v="0"/>
    <x v="0"/>
    <x v="0"/>
    <x v="0"/>
    <x v="0"/>
    <x v="0"/>
    <x v="0"/>
    <x v="0"/>
    <x v="0"/>
    <x v="0"/>
    <x v="0"/>
    <x v="0"/>
    <x v="0"/>
    <x v="0"/>
    <x v="0"/>
    <x v="0"/>
    <x v="0"/>
    <x v="0"/>
    <x v="0"/>
    <x v="0"/>
    <x v="0"/>
    <x v="0"/>
    <n v="5782090.5599999996"/>
    <n v="106542025.61"/>
    <n v="-5943018.6799999997"/>
    <n v="112485044.29000001"/>
  </r>
  <r>
    <x v="0"/>
    <x v="9"/>
    <x v="9"/>
    <x v="2"/>
    <x v="2"/>
    <n v="0"/>
    <n v="0"/>
    <n v="0"/>
    <n v="0"/>
    <n v="0"/>
    <n v="0"/>
    <n v="0"/>
    <n v="0"/>
    <n v="0"/>
    <n v="0"/>
    <n v="0"/>
    <n v="0"/>
    <n v="0"/>
    <n v="0"/>
    <n v="0"/>
    <n v="1923767.69"/>
    <n v="3368917.11"/>
    <n v="5244547.79"/>
    <n v="39327299.630000003"/>
    <n v="121146.6"/>
    <n v="169877.75"/>
    <n v="228270.9"/>
    <n v="836617.49"/>
    <n v="105823.33"/>
    <n v="115897.46"/>
    <n v="119871.13"/>
    <n v="556166.67000000004"/>
    <n v="212639.01"/>
    <n v="389008.12"/>
    <n v="1880782.85"/>
    <n v="11950315.24"/>
    <n v="4312.55"/>
    <n v="2584.52"/>
    <n v="10279.61"/>
    <n v="10181.69"/>
    <n v="0"/>
    <n v="1496.19"/>
    <n v="1692.65"/>
    <n v="3272.67"/>
    <n v="1581393.47"/>
    <n v="2992200.42"/>
    <n v="4356989.01"/>
    <n v="7987159.7699999996"/>
    <n v="23619627.969999999"/>
    <n v="193403.57"/>
    <n v="257306.75"/>
    <n v="334970.7"/>
    <n v="520360.78"/>
    <n v="922947.18"/>
    <n v="183694.99"/>
    <n v="247891.24"/>
    <n v="214364.25"/>
    <n v="414893.38"/>
    <n v="782486.33"/>
    <n v="0"/>
    <n v="0"/>
    <n v="0"/>
    <n v="0"/>
    <n v="0"/>
    <x v="0"/>
    <x v="0"/>
    <x v="0"/>
    <x v="0"/>
    <x v="0"/>
    <x v="0"/>
    <x v="0"/>
    <x v="0"/>
    <x v="0"/>
    <x v="0"/>
    <n v="0"/>
    <n v="0"/>
    <n v="0"/>
    <n v="0"/>
    <n v="0"/>
    <x v="0"/>
    <x v="0"/>
    <x v="0"/>
    <x v="0"/>
    <x v="0"/>
    <x v="0"/>
    <x v="0"/>
    <x v="0"/>
    <x v="0"/>
    <x v="0"/>
    <n v="22625.15"/>
    <n v="78200.539999999994"/>
    <n v="93028.02"/>
    <n v="198346.43"/>
    <n v="1220212.8"/>
    <n v="0"/>
    <n v="0"/>
    <n v="0"/>
    <n v="0"/>
    <n v="0"/>
    <x v="0"/>
    <n v="0"/>
    <n v="0"/>
    <x v="0"/>
    <x v="0"/>
    <x v="0"/>
    <x v="0"/>
    <x v="0"/>
    <x v="0"/>
    <x v="0"/>
    <x v="0"/>
    <x v="0"/>
    <x v="0"/>
    <x v="0"/>
    <x v="0"/>
    <x v="0"/>
    <x v="0"/>
    <x v="0"/>
    <x v="0"/>
    <x v="0"/>
    <x v="0"/>
    <x v="0"/>
    <x v="0"/>
    <x v="0"/>
    <x v="0"/>
    <x v="0"/>
    <x v="0"/>
    <x v="0"/>
    <x v="0"/>
    <x v="0"/>
    <x v="0"/>
    <x v="0"/>
    <n v="6359810.3799999999"/>
    <n v="106634913.78"/>
    <n v="-6171957.6200000001"/>
    <n v="112806871.40000001"/>
  </r>
  <r>
    <x v="0"/>
    <x v="9"/>
    <x v="9"/>
    <x v="3"/>
    <x v="3"/>
    <n v="0"/>
    <n v="0"/>
    <n v="0"/>
    <n v="0"/>
    <n v="0"/>
    <n v="0"/>
    <n v="0"/>
    <n v="0"/>
    <n v="0"/>
    <n v="0"/>
    <n v="0"/>
    <n v="0"/>
    <n v="0"/>
    <n v="0"/>
    <n v="0"/>
    <n v="1698656.62"/>
    <n v="3386850.99"/>
    <n v="5180485.4800000004"/>
    <n v="39025165.609999999"/>
    <n v="109417.52"/>
    <n v="153713.29"/>
    <n v="207917.99"/>
    <n v="760898.04"/>
    <n v="122630.92"/>
    <n v="148847.16"/>
    <n v="116225.04"/>
    <n v="586845.12"/>
    <n v="213065.45"/>
    <n v="389683.94"/>
    <n v="1881168.98"/>
    <n v="11704757.199999999"/>
    <n v="5113.4399999999996"/>
    <n v="3304.98"/>
    <n v="13039.4"/>
    <n v="35970.239999999998"/>
    <n v="0"/>
    <n v="1687.19"/>
    <n v="2512.4299999999998"/>
    <n v="3086.48"/>
    <n v="1592037.62"/>
    <n v="3025246.71"/>
    <n v="4417528.03"/>
    <n v="8101331.4500000002"/>
    <n v="23156459.41"/>
    <n v="200434.09"/>
    <n v="256177.21"/>
    <n v="332815.19"/>
    <n v="529775.18000000005"/>
    <n v="911649.71"/>
    <n v="170230.69"/>
    <n v="322265.03000000003"/>
    <n v="242221.35"/>
    <n v="409405.48"/>
    <n v="827962.13"/>
    <n v="0"/>
    <n v="0"/>
    <n v="0"/>
    <n v="0"/>
    <n v="0"/>
    <x v="0"/>
    <x v="0"/>
    <x v="0"/>
    <x v="0"/>
    <x v="0"/>
    <x v="0"/>
    <x v="0"/>
    <x v="0"/>
    <x v="0"/>
    <x v="0"/>
    <n v="0"/>
    <n v="0"/>
    <n v="0"/>
    <n v="0"/>
    <n v="0"/>
    <x v="0"/>
    <x v="0"/>
    <x v="0"/>
    <x v="0"/>
    <x v="0"/>
    <x v="0"/>
    <x v="0"/>
    <x v="0"/>
    <x v="0"/>
    <x v="0"/>
    <n v="33332.239999999998"/>
    <n v="97138.27"/>
    <n v="122314.08"/>
    <n v="260901.31"/>
    <n v="1579523.18"/>
    <n v="0"/>
    <n v="0"/>
    <n v="0"/>
    <n v="0"/>
    <n v="0"/>
    <x v="0"/>
    <n v="0"/>
    <n v="0"/>
    <x v="0"/>
    <x v="0"/>
    <x v="0"/>
    <x v="0"/>
    <x v="0"/>
    <x v="0"/>
    <x v="0"/>
    <x v="0"/>
    <x v="0"/>
    <x v="0"/>
    <x v="0"/>
    <x v="0"/>
    <x v="0"/>
    <x v="0"/>
    <x v="0"/>
    <x v="0"/>
    <x v="0"/>
    <x v="0"/>
    <x v="0"/>
    <x v="0"/>
    <x v="0"/>
    <x v="0"/>
    <x v="0"/>
    <x v="0"/>
    <x v="0"/>
    <x v="0"/>
    <x v="0"/>
    <x v="0"/>
    <x v="0"/>
    <n v="6474145.2999999998"/>
    <n v="106167838.25"/>
    <n v="-6171953.6200000001"/>
    <n v="112339791.87"/>
  </r>
  <r>
    <x v="0"/>
    <x v="9"/>
    <x v="9"/>
    <x v="4"/>
    <x v="4"/>
    <n v="0"/>
    <n v="0"/>
    <n v="0"/>
    <n v="0"/>
    <n v="0"/>
    <n v="0"/>
    <n v="0"/>
    <n v="0"/>
    <n v="0"/>
    <n v="0"/>
    <n v="0"/>
    <n v="0"/>
    <n v="0"/>
    <n v="0"/>
    <n v="0"/>
    <n v="1653880.64"/>
    <n v="3517767.88"/>
    <n v="5018209.54"/>
    <n v="38338335.600000001"/>
    <n v="128710.43"/>
    <n v="181406.89"/>
    <n v="237706.84"/>
    <n v="922836.08"/>
    <n v="79870.63"/>
    <n v="220625.35"/>
    <n v="111906.47"/>
    <n v="588962.69999999995"/>
    <n v="216870.06"/>
    <n v="388376.93"/>
    <n v="1894358"/>
    <n v="11586402.91"/>
    <n v="2634.09"/>
    <n v="1792.13"/>
    <n v="8437.74"/>
    <n v="32158.55"/>
    <n v="4850.83"/>
    <n v="2273.5300000000002"/>
    <n v="2116.06"/>
    <n v="3086.48"/>
    <n v="1626808.43"/>
    <n v="3002127.83"/>
    <n v="4400372.0999999996"/>
    <n v="8145117.0700000003"/>
    <n v="22648964.27"/>
    <n v="210883.47"/>
    <n v="272297.18"/>
    <n v="354096.54"/>
    <n v="584898"/>
    <n v="1074144.3899999999"/>
    <n v="116768.68"/>
    <n v="390465.27"/>
    <n v="262354.46999999997"/>
    <n v="414713.08"/>
    <n v="803274.88"/>
    <n v="0"/>
    <n v="0"/>
    <n v="0"/>
    <n v="0"/>
    <n v="0"/>
    <x v="0"/>
    <x v="0"/>
    <x v="0"/>
    <x v="0"/>
    <x v="0"/>
    <x v="0"/>
    <x v="0"/>
    <x v="0"/>
    <x v="0"/>
    <x v="0"/>
    <n v="0"/>
    <n v="0"/>
    <n v="0"/>
    <n v="0"/>
    <n v="0"/>
    <x v="0"/>
    <x v="0"/>
    <x v="0"/>
    <x v="0"/>
    <x v="0"/>
    <x v="0"/>
    <x v="0"/>
    <x v="0"/>
    <x v="0"/>
    <x v="0"/>
    <n v="40455.53"/>
    <n v="92434.34"/>
    <n v="144697.49"/>
    <n v="312309.84999999998"/>
    <n v="1856045.18"/>
    <n v="0"/>
    <n v="0"/>
    <n v="0"/>
    <n v="0"/>
    <n v="0"/>
    <x v="0"/>
    <n v="0"/>
    <n v="0"/>
    <x v="0"/>
    <x v="0"/>
    <x v="0"/>
    <x v="0"/>
    <x v="0"/>
    <x v="0"/>
    <x v="0"/>
    <x v="0"/>
    <x v="0"/>
    <x v="0"/>
    <x v="0"/>
    <x v="0"/>
    <x v="0"/>
    <x v="0"/>
    <x v="0"/>
    <x v="0"/>
    <x v="0"/>
    <x v="0"/>
    <x v="0"/>
    <x v="0"/>
    <x v="0"/>
    <x v="0"/>
    <x v="0"/>
    <x v="0"/>
    <x v="0"/>
    <x v="0"/>
    <x v="0"/>
    <x v="0"/>
    <x v="0"/>
    <n v="7013270.7599999998"/>
    <n v="105504985.36"/>
    <n v="-6391819.0499999998"/>
    <n v="111896804.41"/>
  </r>
  <r>
    <x v="0"/>
    <x v="9"/>
    <x v="9"/>
    <x v="5"/>
    <x v="5"/>
    <n v="0"/>
    <n v="0"/>
    <n v="0"/>
    <n v="0"/>
    <n v="0"/>
    <n v="0"/>
    <n v="0"/>
    <n v="0"/>
    <n v="0"/>
    <n v="0"/>
    <n v="0"/>
    <n v="0"/>
    <n v="0"/>
    <n v="0"/>
    <n v="0"/>
    <n v="1660072.14"/>
    <n v="3534244.76"/>
    <n v="4997080.76"/>
    <n v="37951668.950000003"/>
    <n v="132498.07999999999"/>
    <n v="181728.97"/>
    <n v="237620.62"/>
    <n v="911530.86"/>
    <n v="69924.61"/>
    <n v="197365.19"/>
    <n v="159646.51999999999"/>
    <n v="580211.07999999996"/>
    <n v="223800.72"/>
    <n v="399284.2"/>
    <n v="1935739.94"/>
    <n v="11757768.869999999"/>
    <n v="2909.2"/>
    <n v="1978.75"/>
    <n v="9026.0499999999993"/>
    <n v="24260.9"/>
    <n v="0"/>
    <n v="6384.37"/>
    <n v="2870.81"/>
    <n v="3086.48"/>
    <n v="1561208.15"/>
    <n v="3088523.59"/>
    <n v="4495785.4400000004"/>
    <n v="8082062.5899999999"/>
    <n v="22779249.73"/>
    <n v="208792.1"/>
    <n v="268707.01"/>
    <n v="348806.17"/>
    <n v="566856.71"/>
    <n v="977458.11"/>
    <n v="138742.59"/>
    <n v="334524.37"/>
    <n v="342239.31"/>
    <n v="437391.56"/>
    <n v="800863.81"/>
    <n v="0"/>
    <n v="0"/>
    <n v="0"/>
    <n v="0"/>
    <n v="0"/>
    <x v="0"/>
    <x v="0"/>
    <x v="0"/>
    <x v="0"/>
    <x v="0"/>
    <x v="0"/>
    <x v="0"/>
    <x v="0"/>
    <x v="0"/>
    <x v="0"/>
    <n v="0"/>
    <n v="0"/>
    <n v="0"/>
    <n v="0"/>
    <n v="0"/>
    <x v="0"/>
    <x v="0"/>
    <x v="0"/>
    <x v="0"/>
    <x v="0"/>
    <x v="0"/>
    <x v="0"/>
    <x v="0"/>
    <x v="0"/>
    <x v="0"/>
    <n v="48733.59"/>
    <n v="113408.91"/>
    <n v="181928.27"/>
    <n v="383014.25"/>
    <n v="2256959.58"/>
    <n v="0"/>
    <n v="0"/>
    <n v="0"/>
    <n v="0"/>
    <n v="0"/>
    <x v="0"/>
    <n v="0"/>
    <n v="0"/>
    <x v="0"/>
    <x v="0"/>
    <x v="0"/>
    <x v="0"/>
    <x v="0"/>
    <x v="0"/>
    <x v="0"/>
    <x v="0"/>
    <x v="0"/>
    <x v="0"/>
    <x v="0"/>
    <x v="0"/>
    <x v="0"/>
    <x v="0"/>
    <x v="0"/>
    <x v="0"/>
    <x v="0"/>
    <x v="0"/>
    <x v="0"/>
    <x v="0"/>
    <x v="0"/>
    <x v="0"/>
    <x v="0"/>
    <x v="0"/>
    <x v="0"/>
    <x v="0"/>
    <x v="0"/>
    <x v="0"/>
    <x v="0"/>
    <n v="6945424.2300000004"/>
    <n v="105787898.95999999"/>
    <n v="-6608059.71"/>
    <n v="112395958.67"/>
  </r>
  <r>
    <x v="0"/>
    <x v="9"/>
    <x v="9"/>
    <x v="6"/>
    <x v="6"/>
    <n v="0"/>
    <n v="0"/>
    <n v="0"/>
    <n v="0"/>
    <n v="0"/>
    <n v="0"/>
    <n v="0"/>
    <n v="0"/>
    <n v="0"/>
    <n v="0"/>
    <n v="0"/>
    <n v="0"/>
    <n v="0"/>
    <n v="0"/>
    <n v="0"/>
    <n v="1866160.94"/>
    <n v="3416741.34"/>
    <n v="5117405.51"/>
    <n v="37943537.700000003"/>
    <n v="132748.43"/>
    <n v="114506.39"/>
    <n v="141738.39000000001"/>
    <n v="509361.75"/>
    <n v="97868.28"/>
    <n v="135939.57"/>
    <n v="219748.6"/>
    <n v="596045.65"/>
    <n v="230913.35"/>
    <n v="407854.37"/>
    <n v="1987381.75"/>
    <n v="11943874.699999999"/>
    <n v="6773.25"/>
    <n v="4616.8500000000004"/>
    <n v="21510.92"/>
    <n v="71814.259999999995"/>
    <n v="0"/>
    <n v="7081.58"/>
    <n v="3726.76"/>
    <n v="3086.48"/>
    <n v="1722448.45"/>
    <n v="3154305.92"/>
    <n v="4550787.5"/>
    <n v="8427487.1999999993"/>
    <n v="22769763.620000001"/>
    <n v="220416.13"/>
    <n v="189443.92"/>
    <n v="238918.19"/>
    <n v="379236.14"/>
    <n v="545608.49"/>
    <n v="259141.01"/>
    <n v="281593.48"/>
    <n v="412614.83"/>
    <n v="444389.12"/>
    <n v="807910.33"/>
    <n v="0"/>
    <n v="0"/>
    <n v="0"/>
    <n v="0"/>
    <n v="0"/>
    <x v="0"/>
    <x v="0"/>
    <x v="0"/>
    <x v="0"/>
    <x v="0"/>
    <x v="0"/>
    <x v="0"/>
    <x v="0"/>
    <x v="0"/>
    <x v="0"/>
    <n v="0"/>
    <n v="0"/>
    <n v="0"/>
    <n v="0"/>
    <n v="0"/>
    <x v="0"/>
    <x v="0"/>
    <x v="0"/>
    <x v="0"/>
    <x v="0"/>
    <x v="0"/>
    <x v="0"/>
    <x v="0"/>
    <x v="0"/>
    <x v="0"/>
    <n v="59108.86"/>
    <n v="133217.99"/>
    <n v="210663.31"/>
    <n v="450639.12"/>
    <n v="2531625.4900000002"/>
    <n v="0"/>
    <n v="0"/>
    <n v="0"/>
    <n v="0"/>
    <n v="0"/>
    <x v="0"/>
    <n v="0"/>
    <n v="0"/>
    <x v="0"/>
    <x v="0"/>
    <x v="0"/>
    <x v="0"/>
    <x v="0"/>
    <x v="0"/>
    <x v="0"/>
    <x v="0"/>
    <x v="0"/>
    <x v="0"/>
    <x v="0"/>
    <x v="0"/>
    <x v="0"/>
    <x v="0"/>
    <x v="0"/>
    <x v="0"/>
    <x v="0"/>
    <x v="0"/>
    <x v="0"/>
    <x v="0"/>
    <x v="0"/>
    <x v="0"/>
    <x v="0"/>
    <x v="0"/>
    <x v="0"/>
    <x v="0"/>
    <x v="0"/>
    <x v="0"/>
    <x v="0"/>
    <n v="5845838.7999999998"/>
    <n v="106217441.29000001"/>
    <n v="-6552314.6299999999"/>
    <n v="112769755.92"/>
  </r>
  <r>
    <x v="0"/>
    <x v="9"/>
    <x v="9"/>
    <x v="7"/>
    <x v="7"/>
    <n v="0"/>
    <n v="0"/>
    <n v="0"/>
    <n v="0"/>
    <n v="0"/>
    <n v="0"/>
    <n v="0"/>
    <n v="0"/>
    <n v="0"/>
    <n v="0"/>
    <n v="0"/>
    <n v="0"/>
    <n v="0"/>
    <n v="0"/>
    <n v="0"/>
    <n v="1773316.62"/>
    <n v="3450212.24"/>
    <n v="5081300.74"/>
    <n v="37791203.079999998"/>
    <n v="125085.43"/>
    <n v="109404.02"/>
    <n v="133383.25"/>
    <n v="476011.13"/>
    <n v="15076.9"/>
    <n v="215531"/>
    <n v="232745.45"/>
    <n v="604362.11"/>
    <n v="235872.93"/>
    <n v="420038.89"/>
    <n v="2035741.54"/>
    <n v="12407497.710000001"/>
    <n v="6064.99"/>
    <n v="4123.66"/>
    <n v="18933.39"/>
    <n v="66825.83"/>
    <n v="0"/>
    <n v="1985.26"/>
    <n v="9975.7199999999993"/>
    <n v="3086.48"/>
    <n v="1721191.05"/>
    <n v="3224006.77"/>
    <n v="4539069.84"/>
    <n v="8458430.7699999996"/>
    <n v="22497961.170000002"/>
    <n v="216700"/>
    <n v="180394.64"/>
    <n v="233884.46"/>
    <n v="361998.98"/>
    <n v="526530.07999999996"/>
    <n v="66451.399999999994"/>
    <n v="500976.57"/>
    <n v="426351.01"/>
    <n v="410467.99"/>
    <n v="859462.76"/>
    <n v="0"/>
    <n v="0"/>
    <n v="0"/>
    <n v="0"/>
    <n v="0"/>
    <x v="0"/>
    <x v="0"/>
    <x v="0"/>
    <x v="0"/>
    <x v="0"/>
    <x v="0"/>
    <x v="0"/>
    <x v="0"/>
    <x v="0"/>
    <x v="0"/>
    <n v="0"/>
    <n v="0"/>
    <n v="0"/>
    <n v="0"/>
    <n v="0"/>
    <x v="0"/>
    <x v="0"/>
    <x v="0"/>
    <x v="0"/>
    <x v="0"/>
    <x v="0"/>
    <x v="0"/>
    <x v="0"/>
    <x v="0"/>
    <x v="0"/>
    <n v="69043.45"/>
    <n v="158795.35999999999"/>
    <n v="252476.7"/>
    <n v="539674.23"/>
    <n v="2986762.81"/>
    <n v="0"/>
    <n v="0"/>
    <n v="0"/>
    <n v="0"/>
    <n v="0"/>
    <x v="0"/>
    <n v="0"/>
    <n v="0"/>
    <x v="0"/>
    <x v="0"/>
    <x v="0"/>
    <x v="0"/>
    <x v="0"/>
    <x v="0"/>
    <x v="0"/>
    <x v="0"/>
    <x v="0"/>
    <x v="0"/>
    <x v="0"/>
    <x v="0"/>
    <x v="0"/>
    <x v="0"/>
    <x v="0"/>
    <x v="0"/>
    <x v="0"/>
    <x v="0"/>
    <x v="0"/>
    <x v="0"/>
    <x v="0"/>
    <x v="0"/>
    <x v="0"/>
    <x v="0"/>
    <x v="0"/>
    <x v="0"/>
    <x v="0"/>
    <x v="0"/>
    <x v="0"/>
    <n v="5805812.5099999998"/>
    <n v="106852963.22"/>
    <n v="-6595445.1900000004"/>
    <n v="113448408.41"/>
  </r>
  <r>
    <x v="0"/>
    <x v="9"/>
    <x v="9"/>
    <x v="8"/>
    <x v="8"/>
    <n v="0"/>
    <n v="0"/>
    <n v="0"/>
    <n v="0"/>
    <n v="0"/>
    <n v="0"/>
    <n v="0"/>
    <n v="0"/>
    <n v="0"/>
    <n v="0"/>
    <n v="0"/>
    <n v="0"/>
    <n v="0"/>
    <n v="0"/>
    <n v="0"/>
    <n v="1711629"/>
    <n v="3501007.47"/>
    <n v="5101764.42"/>
    <n v="37219970.859999999"/>
    <n v="131044.47"/>
    <n v="110978.84"/>
    <n v="139869.17000000001"/>
    <n v="487339.08"/>
    <n v="0"/>
    <n v="222320.79"/>
    <n v="195139.08"/>
    <n v="663816.38"/>
    <n v="234604.7"/>
    <n v="437972.87"/>
    <n v="2092652.4"/>
    <n v="12737767.130000001"/>
    <n v="5073.3"/>
    <n v="3446.96"/>
    <n v="15386.45"/>
    <n v="52485.66"/>
    <n v="0"/>
    <n v="1631.85"/>
    <n v="4595.83"/>
    <n v="3086.48"/>
    <n v="1779566.32"/>
    <n v="3211622.49"/>
    <n v="4710020.7300000004"/>
    <n v="8206339.4900000002"/>
    <n v="22205895.960000001"/>
    <n v="232300.09"/>
    <n v="195374.57"/>
    <n v="260497.21"/>
    <n v="418069.89"/>
    <n v="618733.39"/>
    <n v="32320.799999999999"/>
    <n v="530562.88"/>
    <n v="387346.52"/>
    <n v="484576.34"/>
    <n v="911145.67"/>
    <n v="0"/>
    <n v="0"/>
    <n v="0"/>
    <n v="0"/>
    <n v="0"/>
    <x v="0"/>
    <x v="0"/>
    <x v="0"/>
    <x v="0"/>
    <x v="0"/>
    <x v="0"/>
    <x v="0"/>
    <x v="0"/>
    <x v="0"/>
    <x v="0"/>
    <n v="0"/>
    <n v="0"/>
    <n v="0"/>
    <n v="0"/>
    <n v="0"/>
    <x v="0"/>
    <x v="0"/>
    <x v="0"/>
    <x v="0"/>
    <x v="0"/>
    <x v="0"/>
    <x v="0"/>
    <x v="0"/>
    <x v="0"/>
    <x v="0"/>
    <n v="80561.710000000006"/>
    <n v="180619.86"/>
    <n v="292017.01"/>
    <n v="607890.88"/>
    <n v="3380112.73"/>
    <n v="0"/>
    <n v="0"/>
    <n v="0"/>
    <n v="0"/>
    <n v="0"/>
    <x v="0"/>
    <n v="0"/>
    <n v="0"/>
    <x v="0"/>
    <x v="0"/>
    <x v="0"/>
    <x v="0"/>
    <x v="0"/>
    <x v="0"/>
    <x v="0"/>
    <x v="0"/>
    <x v="0"/>
    <x v="0"/>
    <x v="0"/>
    <x v="0"/>
    <x v="0"/>
    <x v="0"/>
    <x v="0"/>
    <x v="0"/>
    <x v="0"/>
    <x v="0"/>
    <x v="0"/>
    <x v="0"/>
    <x v="0"/>
    <x v="0"/>
    <x v="0"/>
    <x v="0"/>
    <x v="0"/>
    <x v="0"/>
    <x v="0"/>
    <x v="0"/>
    <x v="0"/>
    <n v="6107141.7000000002"/>
    <n v="107066566.42"/>
    <n v="-6732591.3099999996"/>
    <n v="113799157.73"/>
  </r>
  <r>
    <x v="0"/>
    <x v="9"/>
    <x v="9"/>
    <x v="9"/>
    <x v="9"/>
    <n v="0"/>
    <n v="0"/>
    <n v="0"/>
    <n v="0"/>
    <n v="0"/>
    <n v="0"/>
    <n v="0"/>
    <n v="0"/>
    <n v="0"/>
    <n v="0"/>
    <n v="0"/>
    <n v="0"/>
    <n v="0"/>
    <n v="0"/>
    <n v="0"/>
    <n v="1799346.66"/>
    <n v="3382563.76"/>
    <n v="5040028.97"/>
    <n v="36577349.009999998"/>
    <n v="131711.79"/>
    <n v="107934.03"/>
    <n v="142334.67000000001"/>
    <n v="570126.5"/>
    <n v="0"/>
    <n v="121587.59"/>
    <n v="211528.99"/>
    <n v="684923.8"/>
    <n v="246171.49"/>
    <n v="439070.01"/>
    <n v="2144341.2000000002"/>
    <n v="13109653.32"/>
    <n v="7994.68"/>
    <n v="5473.38"/>
    <n v="24637.79"/>
    <n v="99457.05"/>
    <n v="0"/>
    <n v="2640.84"/>
    <n v="4315.8"/>
    <n v="3086.48"/>
    <n v="1757987.56"/>
    <n v="3123441.3"/>
    <n v="4824402.78"/>
    <n v="8262860.1399999997"/>
    <n v="22235049.059999999"/>
    <n v="228433.83"/>
    <n v="188064.7"/>
    <n v="269493.03999999998"/>
    <n v="419708.62"/>
    <n v="682423.92"/>
    <n v="0"/>
    <n v="303245.96999999997"/>
    <n v="555381.56999999995"/>
    <n v="549078.54"/>
    <n v="933070.9"/>
    <n v="0"/>
    <n v="0"/>
    <n v="0"/>
    <n v="0"/>
    <n v="0"/>
    <x v="0"/>
    <x v="0"/>
    <x v="0"/>
    <x v="0"/>
    <x v="0"/>
    <x v="0"/>
    <x v="0"/>
    <x v="0"/>
    <x v="0"/>
    <x v="0"/>
    <n v="0"/>
    <n v="0"/>
    <n v="0"/>
    <n v="0"/>
    <n v="0"/>
    <x v="0"/>
    <x v="0"/>
    <x v="0"/>
    <x v="0"/>
    <x v="0"/>
    <x v="0"/>
    <x v="0"/>
    <x v="0"/>
    <x v="0"/>
    <x v="0"/>
    <n v="88866.5"/>
    <n v="204219.14"/>
    <n v="331882.17"/>
    <n v="695020.49"/>
    <n v="3797459.39"/>
    <n v="0"/>
    <n v="0"/>
    <n v="0"/>
    <n v="0"/>
    <n v="0"/>
    <x v="0"/>
    <n v="0"/>
    <n v="0"/>
    <x v="0"/>
    <x v="0"/>
    <x v="0"/>
    <x v="0"/>
    <x v="0"/>
    <x v="0"/>
    <x v="0"/>
    <x v="0"/>
    <x v="0"/>
    <x v="0"/>
    <x v="0"/>
    <x v="0"/>
    <x v="0"/>
    <x v="0"/>
    <x v="0"/>
    <x v="0"/>
    <x v="0"/>
    <x v="0"/>
    <x v="0"/>
    <x v="0"/>
    <x v="0"/>
    <x v="0"/>
    <x v="0"/>
    <x v="0"/>
    <x v="0"/>
    <x v="0"/>
    <x v="0"/>
    <x v="0"/>
    <x v="0"/>
    <n v="6246654.4800000004"/>
    <n v="107627998.8"/>
    <n v="-6678368.6299999999"/>
    <n v="114306367.43000001"/>
  </r>
  <r>
    <x v="0"/>
    <x v="9"/>
    <x v="9"/>
    <x v="10"/>
    <x v="10"/>
    <n v="0"/>
    <n v="0"/>
    <n v="0"/>
    <n v="0"/>
    <n v="0"/>
    <n v="0"/>
    <n v="0"/>
    <n v="0"/>
    <n v="0"/>
    <n v="0"/>
    <n v="0"/>
    <n v="0"/>
    <n v="0"/>
    <n v="0"/>
    <n v="0"/>
    <n v="1801870.38"/>
    <n v="3330849.18"/>
    <n v="4964558.18"/>
    <n v="35903430.020000003"/>
    <n v="133881.20000000001"/>
    <n v="114393.06"/>
    <n v="148620.88"/>
    <n v="567385.39"/>
    <n v="20340.650000000001"/>
    <n v="113973.61"/>
    <n v="206275.79"/>
    <n v="684438.32"/>
    <n v="253300.36"/>
    <n v="455322.85"/>
    <n v="2160505.7400000002"/>
    <n v="13451866.76"/>
    <n v="6493.46"/>
    <n v="4437.8599999999997"/>
    <n v="19470.02"/>
    <n v="96897.26"/>
    <n v="0"/>
    <n v="2116.48"/>
    <n v="4034.43"/>
    <n v="580.11"/>
    <n v="1765098.87"/>
    <n v="3328140.76"/>
    <n v="4583649.76"/>
    <n v="8178288.4100000001"/>
    <n v="22142097.59"/>
    <n v="232384.85"/>
    <n v="211426.67"/>
    <n v="267893.37"/>
    <n v="418016.82"/>
    <n v="660090.31000000006"/>
    <n v="44465.79"/>
    <n v="245431.26"/>
    <n v="574572.57999999996"/>
    <n v="579593.6"/>
    <n v="954239.58"/>
    <n v="0"/>
    <n v="0"/>
    <n v="0"/>
    <n v="0"/>
    <n v="0"/>
    <x v="0"/>
    <x v="0"/>
    <x v="0"/>
    <x v="0"/>
    <x v="0"/>
    <x v="0"/>
    <x v="0"/>
    <x v="0"/>
    <x v="0"/>
    <x v="0"/>
    <n v="0"/>
    <n v="0"/>
    <n v="0"/>
    <n v="0"/>
    <n v="0"/>
    <x v="0"/>
    <x v="0"/>
    <x v="0"/>
    <x v="0"/>
    <x v="0"/>
    <x v="0"/>
    <x v="0"/>
    <x v="0"/>
    <x v="0"/>
    <x v="0"/>
    <n v="107849.98"/>
    <n v="239239.09"/>
    <n v="386015.33"/>
    <n v="803296.97"/>
    <n v="4588607.2699999996"/>
    <n v="0"/>
    <n v="0"/>
    <n v="0"/>
    <n v="0"/>
    <n v="0"/>
    <x v="0"/>
    <n v="0"/>
    <n v="0"/>
    <x v="0"/>
    <x v="0"/>
    <x v="0"/>
    <x v="0"/>
    <x v="0"/>
    <x v="0"/>
    <x v="0"/>
    <x v="0"/>
    <x v="0"/>
    <x v="0"/>
    <x v="0"/>
    <x v="0"/>
    <x v="0"/>
    <x v="0"/>
    <x v="0"/>
    <x v="0"/>
    <x v="0"/>
    <x v="0"/>
    <x v="0"/>
    <x v="0"/>
    <x v="0"/>
    <x v="0"/>
    <x v="0"/>
    <x v="0"/>
    <x v="0"/>
    <x v="0"/>
    <x v="0"/>
    <x v="0"/>
    <x v="0"/>
    <n v="6311453.3499999996"/>
    <n v="107965358.5"/>
    <n v="-6790082.3499999996"/>
    <n v="114755440.84999999"/>
  </r>
  <r>
    <x v="0"/>
    <x v="9"/>
    <x v="9"/>
    <x v="11"/>
    <x v="11"/>
    <n v="0"/>
    <n v="0"/>
    <n v="0"/>
    <n v="0"/>
    <n v="0"/>
    <n v="0"/>
    <n v="0"/>
    <n v="0"/>
    <n v="0"/>
    <n v="0"/>
    <n v="0"/>
    <n v="0"/>
    <n v="0"/>
    <n v="0"/>
    <n v="0"/>
    <n v="1684935.87"/>
    <n v="3330029.66"/>
    <n v="4886775.54"/>
    <n v="35319406.619999997"/>
    <n v="113017.33"/>
    <n v="97048.13"/>
    <n v="122183"/>
    <n v="453176.97"/>
    <n v="1355.1"/>
    <n v="121402.32"/>
    <n v="198945.57"/>
    <n v="680275.38"/>
    <n v="249590.62"/>
    <n v="471995.5"/>
    <n v="2223476.5499999998"/>
    <n v="13983895.710000001"/>
    <n v="4836.33"/>
    <n v="3300.31"/>
    <n v="13752.09"/>
    <n v="58347.83"/>
    <n v="0"/>
    <n v="1583.08"/>
    <n v="4111.8900000000003"/>
    <n v="832.32"/>
    <n v="1714091.24"/>
    <n v="3420847.61"/>
    <n v="4506460.7"/>
    <n v="8275270.6699999999"/>
    <n v="21876131.640000001"/>
    <n v="201507.21"/>
    <n v="172572.1"/>
    <n v="225102.26"/>
    <n v="361887.72"/>
    <n v="533448.18000000005"/>
    <n v="22188.84"/>
    <n v="232217"/>
    <n v="556921.29"/>
    <n v="595023.07999999996"/>
    <n v="920080.26"/>
    <n v="0"/>
    <n v="0"/>
    <n v="0"/>
    <n v="0"/>
    <n v="0"/>
    <x v="0"/>
    <x v="0"/>
    <x v="0"/>
    <x v="0"/>
    <x v="0"/>
    <x v="0"/>
    <x v="0"/>
    <x v="0"/>
    <x v="0"/>
    <x v="0"/>
    <n v="0"/>
    <n v="0"/>
    <n v="0"/>
    <n v="0"/>
    <n v="0"/>
    <x v="0"/>
    <x v="0"/>
    <x v="0"/>
    <x v="0"/>
    <x v="0"/>
    <x v="0"/>
    <x v="0"/>
    <x v="0"/>
    <x v="0"/>
    <x v="0"/>
    <n v="120465.04"/>
    <n v="270562.21999999997"/>
    <n v="414684.6"/>
    <n v="888568.78"/>
    <n v="4932531.2300000004"/>
    <n v="360.53"/>
    <n v="372.65"/>
    <n v="572.35"/>
    <n v="1213.58"/>
    <n v="1310.22"/>
    <x v="0"/>
    <n v="176.09"/>
    <n v="0"/>
    <x v="0"/>
    <x v="0"/>
    <x v="0"/>
    <x v="0"/>
    <x v="0"/>
    <x v="0"/>
    <x v="0"/>
    <x v="0"/>
    <x v="0"/>
    <x v="0"/>
    <x v="0"/>
    <x v="0"/>
    <x v="0"/>
    <x v="0"/>
    <x v="0"/>
    <x v="0"/>
    <x v="0"/>
    <x v="0"/>
    <x v="0"/>
    <x v="0"/>
    <x v="0"/>
    <x v="0"/>
    <x v="0"/>
    <x v="0"/>
    <x v="0"/>
    <x v="0"/>
    <x v="0"/>
    <x v="0"/>
    <x v="0"/>
    <n v="5699121.0099999998"/>
    <n v="108094846.81999999"/>
    <n v="-6173993.9900000002"/>
    <n v="114268840.81"/>
  </r>
  <r>
    <x v="0"/>
    <x v="10"/>
    <x v="10"/>
    <x v="0"/>
    <x v="0"/>
    <n v="0"/>
    <n v="0"/>
    <n v="0"/>
    <n v="0"/>
    <n v="0"/>
    <n v="0"/>
    <n v="0"/>
    <n v="0"/>
    <n v="0"/>
    <n v="0"/>
    <n v="0"/>
    <n v="0"/>
    <n v="0"/>
    <n v="0"/>
    <n v="0"/>
    <n v="295000.71000000002"/>
    <n v="472645.7"/>
    <n v="668078.13"/>
    <n v="8168630.5300000003"/>
    <n v="53328.71"/>
    <n v="71680.94"/>
    <n v="104607.1"/>
    <n v="1136596.47"/>
    <n v="18823.3"/>
    <n v="54023.14"/>
    <n v="62392.26"/>
    <n v="143050.53"/>
    <n v="0"/>
    <n v="0"/>
    <n v="0"/>
    <n v="0"/>
    <n v="0"/>
    <n v="0"/>
    <n v="0"/>
    <n v="0"/>
    <n v="0"/>
    <n v="0"/>
    <n v="0"/>
    <n v="0"/>
    <n v="3447034.68"/>
    <n v="5756849.6900000004"/>
    <n v="7831108.46"/>
    <n v="12930296.52"/>
    <n v="24606067.039999999"/>
    <n v="452464.71"/>
    <n v="556103.23"/>
    <n v="733378.59"/>
    <n v="1145237.3500000001"/>
    <n v="2317966.86"/>
    <n v="164872.29999999999"/>
    <n v="432680.29"/>
    <n v="468043.72"/>
    <n v="681299.75"/>
    <n v="1152091.24"/>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9748640.4900000002"/>
    <n v="71979144.549999997"/>
    <n v="-1945207.4"/>
    <n v="73924351.950000003"/>
  </r>
  <r>
    <x v="0"/>
    <x v="10"/>
    <x v="10"/>
    <x v="1"/>
    <x v="1"/>
    <n v="0"/>
    <n v="0"/>
    <n v="0"/>
    <n v="0"/>
    <n v="0"/>
    <n v="0"/>
    <n v="0"/>
    <n v="0"/>
    <n v="0"/>
    <n v="0"/>
    <n v="0"/>
    <n v="0"/>
    <n v="0"/>
    <n v="0"/>
    <n v="0"/>
    <n v="333915.8"/>
    <n v="456637.32"/>
    <n v="700327.19"/>
    <n v="7996213.0800000001"/>
    <n v="64603.87"/>
    <n v="83005.490000000005"/>
    <n v="123340.38"/>
    <n v="1473536.9"/>
    <n v="22310.61"/>
    <n v="58887.67"/>
    <n v="60540.69"/>
    <n v="153697.70000000001"/>
    <n v="0"/>
    <n v="0"/>
    <n v="0"/>
    <n v="0"/>
    <n v="0"/>
    <n v="0"/>
    <n v="0"/>
    <n v="0"/>
    <n v="0"/>
    <n v="0"/>
    <n v="0"/>
    <n v="0"/>
    <n v="3408879.07"/>
    <n v="5546180.0599999996"/>
    <n v="7749946.6600000001"/>
    <n v="12630290.890000001"/>
    <n v="24041023.010000002"/>
    <n v="505081.13"/>
    <n v="579950.49"/>
    <n v="793418.11"/>
    <n v="1234624.27"/>
    <n v="2536326.63"/>
    <n v="172657.23"/>
    <n v="457992.47"/>
    <n v="476780.31"/>
    <n v="707197.45"/>
    <n v="1230303.1399999999"/>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0734254.539999999"/>
    <n v="71551246.900000006"/>
    <n v="-2046420.72"/>
    <n v="73597667.620000005"/>
  </r>
  <r>
    <x v="0"/>
    <x v="10"/>
    <x v="10"/>
    <x v="2"/>
    <x v="2"/>
    <n v="0"/>
    <n v="0"/>
    <n v="0"/>
    <n v="0"/>
    <n v="0"/>
    <n v="0"/>
    <n v="0"/>
    <n v="0"/>
    <n v="0"/>
    <n v="0"/>
    <n v="0"/>
    <n v="0"/>
    <n v="0"/>
    <n v="0"/>
    <n v="0"/>
    <n v="302729.03000000003"/>
    <n v="490593.72"/>
    <n v="759740.32"/>
    <n v="8512501.1699999999"/>
    <n v="59687.73"/>
    <n v="78875.149999999994"/>
    <n v="120096.91"/>
    <n v="1419588.93"/>
    <n v="22989.27"/>
    <n v="65430.879999999997"/>
    <n v="64927.8"/>
    <n v="171397.48"/>
    <n v="0"/>
    <n v="0"/>
    <n v="0"/>
    <n v="0"/>
    <n v="0"/>
    <n v="0"/>
    <n v="0"/>
    <n v="0"/>
    <n v="0"/>
    <n v="0"/>
    <n v="0"/>
    <n v="0"/>
    <n v="3221614.18"/>
    <n v="5429116.0899999999"/>
    <n v="7559170.1500000004"/>
    <n v="12596588.93"/>
    <n v="22909986.16"/>
    <n v="518591.8"/>
    <n v="626590.43000000005"/>
    <n v="858045.99"/>
    <n v="1352630.4"/>
    <n v="2664377.77"/>
    <n v="181623.67999999999"/>
    <n v="518984.12"/>
    <n v="471748.72"/>
    <n v="732562.04"/>
    <n v="1295735.79"/>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1223884.890000001"/>
    <n v="70754533.340000004"/>
    <n v="-2251391.2999999998"/>
    <n v="73005924.640000001"/>
  </r>
  <r>
    <x v="0"/>
    <x v="10"/>
    <x v="10"/>
    <x v="3"/>
    <x v="3"/>
    <n v="0"/>
    <n v="0"/>
    <n v="0"/>
    <n v="0"/>
    <n v="0"/>
    <n v="0"/>
    <n v="0"/>
    <n v="0"/>
    <n v="0"/>
    <n v="0"/>
    <n v="0"/>
    <n v="0"/>
    <n v="0"/>
    <n v="0"/>
    <n v="0"/>
    <n v="317665.27"/>
    <n v="521344.93"/>
    <n v="798368.63"/>
    <n v="8800696.4499999993"/>
    <n v="66659.59"/>
    <n v="84104.4"/>
    <n v="126988.27"/>
    <n v="1493474.81"/>
    <n v="20576.509999999998"/>
    <n v="69619.27"/>
    <n v="63430.21"/>
    <n v="187048.25"/>
    <n v="0"/>
    <n v="0"/>
    <n v="0"/>
    <n v="0"/>
    <n v="0"/>
    <n v="0"/>
    <n v="0"/>
    <n v="0"/>
    <n v="0"/>
    <n v="0"/>
    <n v="0"/>
    <n v="0"/>
    <n v="3234765.22"/>
    <n v="5290896.9000000004"/>
    <n v="7374255.4000000004"/>
    <n v="12361517.779999999"/>
    <n v="22439228.640000001"/>
    <n v="523866.8"/>
    <n v="604491.39"/>
    <n v="832837.32"/>
    <n v="1314085.18"/>
    <n v="2525382.91"/>
    <n v="150177.75"/>
    <n v="521687.13"/>
    <n v="481893.53"/>
    <n v="718469.24"/>
    <n v="757123.2"/>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0541915.76"/>
    <n v="69428036.890000001"/>
    <n v="-2252618.09"/>
    <n v="71680654.980000004"/>
  </r>
  <r>
    <x v="0"/>
    <x v="10"/>
    <x v="10"/>
    <x v="4"/>
    <x v="4"/>
    <n v="0"/>
    <n v="0"/>
    <n v="0"/>
    <n v="0"/>
    <n v="0"/>
    <n v="0"/>
    <n v="0"/>
    <n v="0"/>
    <n v="0"/>
    <n v="0"/>
    <n v="0"/>
    <n v="0"/>
    <n v="0"/>
    <n v="0"/>
    <n v="0"/>
    <n v="324224.46000000002"/>
    <n v="536629.82999999996"/>
    <n v="825241.1"/>
    <n v="9149883.4000000004"/>
    <n v="61774.15"/>
    <n v="81181.5"/>
    <n v="123195.69"/>
    <n v="1311054.48"/>
    <n v="22298.18"/>
    <n v="71812.710000000006"/>
    <n v="71283.19"/>
    <n v="202604.86"/>
    <n v="0"/>
    <n v="0"/>
    <n v="0"/>
    <n v="0"/>
    <n v="0"/>
    <n v="0"/>
    <n v="0"/>
    <n v="0"/>
    <n v="0"/>
    <n v="0"/>
    <n v="0"/>
    <n v="0"/>
    <n v="3111837.42"/>
    <n v="5044878.3600000003"/>
    <n v="7086843.9800000004"/>
    <n v="12001504.779999999"/>
    <n v="21605449.52"/>
    <n v="563943.15"/>
    <n v="678816.63"/>
    <n v="924595.76"/>
    <n v="1501045.18"/>
    <n v="2960018.18"/>
    <n v="191448.53"/>
    <n v="528172.15"/>
    <n v="505489.27"/>
    <n v="722011.77"/>
    <n v="845220.77"/>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1365966.15"/>
    <n v="68799840.909999996"/>
    <n v="-2252618.09"/>
    <n v="71052459"/>
  </r>
  <r>
    <x v="0"/>
    <x v="10"/>
    <x v="10"/>
    <x v="5"/>
    <x v="5"/>
    <n v="0"/>
    <n v="0"/>
    <n v="0"/>
    <n v="0"/>
    <n v="0"/>
    <n v="0"/>
    <n v="0"/>
    <n v="0"/>
    <n v="0"/>
    <n v="0"/>
    <n v="0"/>
    <n v="0"/>
    <n v="0"/>
    <n v="0"/>
    <n v="0"/>
    <n v="337871.84"/>
    <n v="564668.01"/>
    <n v="908863.42"/>
    <n v="9777538.6500000004"/>
    <n v="51981.19"/>
    <n v="65554.03"/>
    <n v="103528.85"/>
    <n v="1038039.22"/>
    <n v="18040.54"/>
    <n v="61858.95"/>
    <n v="72959.83"/>
    <n v="217841.15"/>
    <n v="0"/>
    <n v="0"/>
    <n v="0"/>
    <n v="0"/>
    <n v="0"/>
    <n v="0"/>
    <n v="0"/>
    <n v="0"/>
    <n v="0"/>
    <n v="0"/>
    <n v="0"/>
    <n v="0"/>
    <n v="3078530.26"/>
    <n v="5061005.2300000004"/>
    <n v="7129162.54"/>
    <n v="12028710.5"/>
    <n v="22155012.920000002"/>
    <n v="495489.52"/>
    <n v="561551.88"/>
    <n v="770619.25"/>
    <n v="1211027.48"/>
    <n v="2316166.86"/>
    <n v="142956.01999999999"/>
    <n v="503471.69"/>
    <n v="510904.32000000001"/>
    <n v="713722.68"/>
    <n v="918487.8"/>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9774201.2599999998"/>
    <n v="68357975.969999999"/>
    <n v="-2457588.66"/>
    <n v="70815564.629999995"/>
  </r>
  <r>
    <x v="0"/>
    <x v="10"/>
    <x v="10"/>
    <x v="6"/>
    <x v="6"/>
    <n v="0"/>
    <n v="0"/>
    <n v="0"/>
    <n v="0"/>
    <n v="0"/>
    <n v="0"/>
    <n v="0"/>
    <n v="0"/>
    <n v="0"/>
    <n v="0"/>
    <n v="0"/>
    <n v="0"/>
    <n v="0"/>
    <n v="0"/>
    <n v="0"/>
    <n v="372627.11"/>
    <n v="605399.52"/>
    <n v="1014415.88"/>
    <n v="9994815.0099999998"/>
    <n v="75904.539999999994"/>
    <n v="69538.7"/>
    <n v="103666.57"/>
    <n v="1188947.2"/>
    <n v="0"/>
    <n v="58163.8"/>
    <n v="76210.83"/>
    <n v="238139.45"/>
    <n v="0"/>
    <n v="0"/>
    <n v="0"/>
    <n v="0"/>
    <n v="0"/>
    <n v="0"/>
    <n v="0"/>
    <n v="0"/>
    <n v="0"/>
    <n v="0"/>
    <n v="0"/>
    <n v="0"/>
    <n v="3172575.34"/>
    <n v="5068942.8899999997"/>
    <n v="7138097.79"/>
    <n v="11937792.130000001"/>
    <n v="21905039.120000001"/>
    <n v="590768.57999999996"/>
    <n v="481542.71"/>
    <n v="651983.94999999995"/>
    <n v="1053613.77"/>
    <n v="2082934.9"/>
    <n v="0"/>
    <n v="453652.23"/>
    <n v="517485.25"/>
    <n v="715766.32"/>
    <n v="989970.03"/>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9348288.8300000001"/>
    <n v="67895434.370000005"/>
    <n v="-2662559.25"/>
    <n v="70557993.620000005"/>
  </r>
  <r>
    <x v="0"/>
    <x v="10"/>
    <x v="10"/>
    <x v="7"/>
    <x v="7"/>
    <n v="0"/>
    <n v="0"/>
    <n v="0"/>
    <n v="0"/>
    <n v="0"/>
    <n v="0"/>
    <n v="0"/>
    <n v="0"/>
    <n v="0"/>
    <n v="0"/>
    <n v="0"/>
    <n v="0"/>
    <n v="0"/>
    <n v="0"/>
    <n v="0"/>
    <n v="392856.32000000001"/>
    <n v="665538.78"/>
    <n v="1037791.16"/>
    <n v="10385129.300000001"/>
    <n v="75623.429999999993"/>
    <n v="67519.679999999993"/>
    <n v="100413.64"/>
    <n v="1074388.7"/>
    <n v="0"/>
    <n v="60411.54"/>
    <n v="78637.67"/>
    <n v="260035.26"/>
    <n v="0"/>
    <n v="0"/>
    <n v="0"/>
    <n v="0"/>
    <n v="0"/>
    <n v="0"/>
    <n v="0"/>
    <n v="0"/>
    <n v="0"/>
    <n v="0"/>
    <n v="0"/>
    <n v="0"/>
    <n v="3115444.59"/>
    <n v="4922662.25"/>
    <n v="7132786.8700000001"/>
    <n v="11814608.380000001"/>
    <n v="21735528.199999999"/>
    <n v="580541.06000000006"/>
    <n v="475251.86"/>
    <n v="651391.15"/>
    <n v="1065090.51"/>
    <n v="2109321.91"/>
    <n v="0"/>
    <n v="450714.4"/>
    <n v="508137.42"/>
    <n v="736017.28"/>
    <n v="1077218.49"/>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9370714"/>
    <n v="67705530.019999996"/>
    <n v="-2867529.83"/>
    <n v="70573059.849999994"/>
  </r>
  <r>
    <x v="0"/>
    <x v="10"/>
    <x v="10"/>
    <x v="8"/>
    <x v="8"/>
    <n v="0"/>
    <n v="0"/>
    <n v="0"/>
    <n v="0"/>
    <n v="0"/>
    <n v="0"/>
    <n v="0"/>
    <n v="0"/>
    <n v="0"/>
    <n v="0"/>
    <n v="0"/>
    <n v="0"/>
    <n v="0"/>
    <n v="0"/>
    <n v="0"/>
    <n v="397947.6"/>
    <n v="677587.07"/>
    <n v="1126896.5900000001"/>
    <n v="10721180.460000001"/>
    <n v="74874.33"/>
    <n v="68803.179999999993"/>
    <n v="103932.75"/>
    <n v="1101071.8700000001"/>
    <n v="0"/>
    <n v="59284.38"/>
    <n v="74665.37"/>
    <n v="275224.25"/>
    <n v="0"/>
    <n v="0"/>
    <n v="0"/>
    <n v="0"/>
    <n v="0"/>
    <n v="0"/>
    <n v="0"/>
    <n v="0"/>
    <n v="0"/>
    <n v="0"/>
    <n v="0"/>
    <n v="0"/>
    <n v="3127853.16"/>
    <n v="4880363.03"/>
    <n v="7239421.6900000004"/>
    <n v="11567937.76"/>
    <n v="22217930.899999999"/>
    <n v="584209.74"/>
    <n v="480706.78"/>
    <n v="668185.77"/>
    <n v="1044718.61"/>
    <n v="2125828.44"/>
    <n v="0"/>
    <n v="442754.69"/>
    <n v="480105.61"/>
    <n v="707953.12"/>
    <n v="1128422.75"/>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9420741.6400000006"/>
    <n v="68305359.480000004"/>
    <n v="-3072500.42"/>
    <n v="71377859.900000006"/>
  </r>
  <r>
    <x v="0"/>
    <x v="10"/>
    <x v="10"/>
    <x v="9"/>
    <x v="9"/>
    <n v="0"/>
    <n v="0"/>
    <n v="0"/>
    <n v="0"/>
    <n v="0"/>
    <n v="0"/>
    <n v="0"/>
    <n v="0"/>
    <n v="0"/>
    <n v="0"/>
    <n v="0"/>
    <n v="0"/>
    <n v="0"/>
    <n v="0"/>
    <n v="0"/>
    <n v="437180.59"/>
    <n v="720400.7"/>
    <n v="1148738.92"/>
    <n v="11937432.550000001"/>
    <n v="57537.19"/>
    <n v="52800.39"/>
    <n v="79898.61"/>
    <n v="735821.99"/>
    <n v="0"/>
    <n v="47342.14"/>
    <n v="58632.87"/>
    <n v="250622.53"/>
    <n v="0"/>
    <n v="0"/>
    <n v="0"/>
    <n v="0"/>
    <n v="0"/>
    <n v="0"/>
    <n v="0"/>
    <n v="0"/>
    <n v="0"/>
    <n v="0"/>
    <n v="0"/>
    <n v="0"/>
    <n v="3041284.69"/>
    <n v="4976496.37"/>
    <n v="7226863.9299999997"/>
    <n v="11639237.41"/>
    <n v="22952094.989999998"/>
    <n v="509723.48"/>
    <n v="413840.32"/>
    <n v="575555.97"/>
    <n v="874804.8"/>
    <n v="1763603.33"/>
    <n v="0"/>
    <n v="399417.41"/>
    <n v="436425.33"/>
    <n v="671967.57"/>
    <n v="1171827.8400000001"/>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8099821.7699999996"/>
    <n v="68902080.920000002"/>
    <n v="-3277471"/>
    <n v="72179551.920000002"/>
  </r>
  <r>
    <x v="0"/>
    <x v="10"/>
    <x v="10"/>
    <x v="10"/>
    <x v="10"/>
    <n v="0"/>
    <n v="0"/>
    <n v="0"/>
    <n v="0"/>
    <n v="0"/>
    <n v="0"/>
    <n v="0"/>
    <n v="0"/>
    <n v="0"/>
    <n v="0"/>
    <n v="0"/>
    <n v="0"/>
    <n v="0"/>
    <n v="0"/>
    <n v="0"/>
    <n v="425383.93"/>
    <n v="816366.5"/>
    <n v="1236682.31"/>
    <n v="13140553.07"/>
    <n v="48580.639999999999"/>
    <n v="45393.49"/>
    <n v="67440.960000000006"/>
    <n v="553594.75"/>
    <n v="0"/>
    <n v="39406.949999999997"/>
    <n v="51955.1"/>
    <n v="253175.01"/>
    <n v="0"/>
    <n v="0"/>
    <n v="0"/>
    <n v="0"/>
    <n v="0"/>
    <n v="0"/>
    <n v="0"/>
    <n v="0"/>
    <n v="0"/>
    <n v="0"/>
    <n v="0"/>
    <n v="0"/>
    <n v="3101597.88"/>
    <n v="5146117.3899999997"/>
    <n v="7019488.1399999997"/>
    <n v="11453485.380000001"/>
    <n v="23239299.600000001"/>
    <n v="466838.78"/>
    <n v="393280.45"/>
    <n v="503862.72"/>
    <n v="766776.77"/>
    <n v="1422345.39"/>
    <n v="0"/>
    <n v="371276.69"/>
    <n v="400554.71"/>
    <n v="628821.66"/>
    <n v="1199517.72"/>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7212821.79"/>
    <n v="69309354.409999996"/>
    <n v="-3482441.58"/>
    <n v="72791795.989999995"/>
  </r>
  <r>
    <x v="0"/>
    <x v="10"/>
    <x v="10"/>
    <x v="11"/>
    <x v="11"/>
    <n v="0"/>
    <n v="0"/>
    <n v="0"/>
    <n v="0"/>
    <n v="0"/>
    <n v="0"/>
    <n v="0"/>
    <n v="0"/>
    <n v="0"/>
    <n v="0"/>
    <n v="0"/>
    <n v="0"/>
    <n v="0"/>
    <n v="0"/>
    <n v="0"/>
    <n v="508298.63"/>
    <n v="890486.34"/>
    <n v="1267246.58"/>
    <n v="14147729.91"/>
    <n v="48756.45"/>
    <n v="45633.25"/>
    <n v="67578.36"/>
    <n v="469977.69"/>
    <n v="0"/>
    <n v="37748.92"/>
    <n v="51780.1"/>
    <n v="267444.67"/>
    <n v="0"/>
    <n v="0"/>
    <n v="0"/>
    <n v="0"/>
    <n v="0"/>
    <n v="0"/>
    <n v="0"/>
    <n v="0"/>
    <n v="0"/>
    <n v="0"/>
    <n v="0"/>
    <n v="0"/>
    <n v="3128334.82"/>
    <n v="5140870.51"/>
    <n v="6932429.6100000003"/>
    <n v="11379358.48"/>
    <n v="23399761.039999999"/>
    <n v="391289.78"/>
    <n v="328429.56"/>
    <n v="405238.59"/>
    <n v="621439.18000000005"/>
    <n v="1207827.18"/>
    <n v="0"/>
    <n v="313266.84999999998"/>
    <n v="364091.27"/>
    <n v="584212.18999999994"/>
    <n v="1202120.08"/>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6406834.1200000001"/>
    <n v="69513937.879999995"/>
    <n v="-3687412.16"/>
    <n v="73201350.040000007"/>
  </r>
  <r>
    <x v="0"/>
    <x v="11"/>
    <x v="11"/>
    <x v="0"/>
    <x v="0"/>
    <n v="551613.88"/>
    <n v="922461.11"/>
    <n v="1417585.72"/>
    <n v="2814368.91"/>
    <n v="28604061.609999999"/>
    <n v="44254.2"/>
    <n v="39865.089999999997"/>
    <n v="61590.66"/>
    <n v="106866.56"/>
    <n v="689176.33"/>
    <n v="0"/>
    <n v="126659.55"/>
    <n v="247168.28"/>
    <n v="187547.34"/>
    <n v="324974.37"/>
    <n v="2124766.7799999998"/>
    <n v="3372269.15"/>
    <n v="4894008.13"/>
    <n v="58652717.920000002"/>
    <n v="258536.73"/>
    <n v="267052.03000000003"/>
    <n v="410915.99"/>
    <n v="3816366.6"/>
    <n v="46881.88"/>
    <n v="272727.45"/>
    <n v="210591.56"/>
    <n v="1818490.03"/>
    <n v="151361.59"/>
    <n v="199878.87"/>
    <n v="963554.84"/>
    <n v="6165944.2300000004"/>
    <n v="11096.88"/>
    <n v="6449.27"/>
    <n v="26023.81"/>
    <n v="124938.27"/>
    <n v="0"/>
    <n v="3432.39"/>
    <n v="64088"/>
    <n v="1283.8399999999999"/>
    <n v="372656.55"/>
    <n v="536337.36"/>
    <n v="855581.03"/>
    <n v="1562177.86"/>
    <n v="7560971.8499999996"/>
    <n v="76349.19"/>
    <n v="76142.23"/>
    <n v="120658.78"/>
    <n v="197606.76"/>
    <n v="811007.71"/>
    <n v="9137.69"/>
    <n v="76043.59"/>
    <n v="115461.79"/>
    <n v="191257.64"/>
    <n v="384685.61"/>
    <n v="510.78"/>
    <n v="1920.8"/>
    <n v="2934.59"/>
    <n v="6065.35"/>
    <n v="118568.48"/>
    <x v="0"/>
    <x v="0"/>
    <x v="0"/>
    <x v="0"/>
    <x v="0"/>
    <x v="0"/>
    <x v="0"/>
    <x v="0"/>
    <x v="0"/>
    <x v="0"/>
    <n v="231.86"/>
    <n v="475.41"/>
    <n v="728.33"/>
    <n v="1518.1"/>
    <n v="4826.9399999999996"/>
    <x v="0"/>
    <x v="0"/>
    <x v="0"/>
    <x v="0"/>
    <x v="0"/>
    <x v="0"/>
    <x v="0"/>
    <x v="0"/>
    <x v="0"/>
    <x v="0"/>
    <n v="0"/>
    <n v="0"/>
    <n v="0"/>
    <n v="0"/>
    <n v="0"/>
    <n v="0"/>
    <n v="0"/>
    <n v="0"/>
    <n v="0"/>
    <n v="0"/>
    <x v="0"/>
    <n v="0"/>
    <n v="0"/>
    <x v="0"/>
    <x v="0"/>
    <x v="0"/>
    <x v="0"/>
    <x v="0"/>
    <x v="0"/>
    <x v="0"/>
    <x v="0"/>
    <x v="0"/>
    <x v="0"/>
    <x v="0"/>
    <x v="0"/>
    <x v="0"/>
    <x v="0"/>
    <x v="0"/>
    <x v="0"/>
    <x v="0"/>
    <x v="0"/>
    <x v="0"/>
    <x v="0"/>
    <x v="0"/>
    <x v="0"/>
    <x v="0"/>
    <x v="0"/>
    <x v="0"/>
    <x v="0"/>
    <x v="0"/>
    <x v="0"/>
    <x v="0"/>
    <n v="11225328.1"/>
    <n v="116326076.2"/>
    <n v="-16759349.93"/>
    <n v="133085426.13"/>
  </r>
  <r>
    <x v="0"/>
    <x v="11"/>
    <x v="11"/>
    <x v="1"/>
    <x v="1"/>
    <n v="563690.80000000005"/>
    <n v="898537.55"/>
    <n v="1373283.45"/>
    <n v="2790344.92"/>
    <n v="28103746.34"/>
    <n v="45576.37"/>
    <n v="40522.25"/>
    <n v="62674.26"/>
    <n v="119066.49"/>
    <n v="721530.46"/>
    <n v="4935.34"/>
    <n v="32778.92"/>
    <n v="259393.53"/>
    <n v="262688.71999999997"/>
    <n v="296005.15999999997"/>
    <n v="2174471.7400000002"/>
    <n v="3245531.2"/>
    <n v="4666477.09"/>
    <n v="58510846.509999998"/>
    <n v="291087.01"/>
    <n v="262600.88"/>
    <n v="455042.47"/>
    <n v="4388115.62"/>
    <n v="150043.01999999999"/>
    <n v="369131.87"/>
    <n v="87507.44"/>
    <n v="1938102.67"/>
    <n v="146003.53"/>
    <n v="194349.79"/>
    <n v="949785.72"/>
    <n v="6059138.8700000001"/>
    <n v="13814.94"/>
    <n v="7207.32"/>
    <n v="34911"/>
    <n v="126198.44"/>
    <n v="0"/>
    <n v="3860.62"/>
    <n v="38394.17"/>
    <n v="2179.04"/>
    <n v="376193.42"/>
    <n v="462208.03"/>
    <n v="834973.54"/>
    <n v="1631514.86"/>
    <n v="7701274.46"/>
    <n v="81886.17"/>
    <n v="67136.320000000007"/>
    <n v="120522.33"/>
    <n v="214368.05"/>
    <n v="858746.74"/>
    <n v="77043.179999999993"/>
    <n v="59284.2"/>
    <n v="99970.15"/>
    <n v="208215.92"/>
    <n v="344272.37"/>
    <n v="3007.89"/>
    <n v="6192.4"/>
    <n v="9477.61"/>
    <n v="19734.41"/>
    <n v="181076.91"/>
    <x v="0"/>
    <x v="0"/>
    <x v="0"/>
    <x v="0"/>
    <x v="0"/>
    <x v="0"/>
    <x v="0"/>
    <x v="0"/>
    <x v="0"/>
    <x v="0"/>
    <n v="234.18"/>
    <n v="482.44"/>
    <n v="733.32"/>
    <n v="1531.72"/>
    <n v="4567.12"/>
    <x v="0"/>
    <x v="0"/>
    <x v="0"/>
    <x v="0"/>
    <x v="0"/>
    <x v="0"/>
    <x v="0"/>
    <x v="0"/>
    <x v="0"/>
    <x v="0"/>
    <n v="0"/>
    <n v="0"/>
    <n v="0"/>
    <n v="0"/>
    <n v="0"/>
    <n v="0"/>
    <n v="0"/>
    <n v="0"/>
    <n v="0"/>
    <n v="0"/>
    <x v="0"/>
    <n v="0"/>
    <n v="0"/>
    <x v="0"/>
    <x v="0"/>
    <x v="0"/>
    <x v="0"/>
    <x v="0"/>
    <x v="0"/>
    <x v="0"/>
    <x v="0"/>
    <x v="0"/>
    <x v="0"/>
    <x v="0"/>
    <x v="0"/>
    <x v="0"/>
    <x v="0"/>
    <x v="0"/>
    <x v="0"/>
    <x v="0"/>
    <x v="0"/>
    <x v="0"/>
    <x v="0"/>
    <x v="0"/>
    <x v="0"/>
    <x v="0"/>
    <x v="0"/>
    <x v="0"/>
    <x v="0"/>
    <x v="0"/>
    <x v="0"/>
    <x v="0"/>
    <n v="12144813.439999999"/>
    <n v="116244319.09999999"/>
    <n v="-16809904.16"/>
    <n v="133054223.26000001"/>
  </r>
  <r>
    <x v="0"/>
    <x v="11"/>
    <x v="11"/>
    <x v="2"/>
    <x v="2"/>
    <n v="554334.39"/>
    <n v="915237.68"/>
    <n v="1367799.49"/>
    <n v="2802393.03"/>
    <n v="27593473.640000001"/>
    <n v="45664.12"/>
    <n v="49464.95"/>
    <n v="67285.19"/>
    <n v="119514.14"/>
    <n v="834547.03"/>
    <n v="796.18"/>
    <n v="35249.410000000003"/>
    <n v="141208.45000000001"/>
    <n v="323973.92"/>
    <n v="350672.88"/>
    <n v="1950109.8"/>
    <n v="3527399"/>
    <n v="4641793.53"/>
    <n v="59446257.479999997"/>
    <n v="265342.15999999997"/>
    <n v="289327.52"/>
    <n v="395235.89"/>
    <n v="4073529.32"/>
    <n v="132332.94"/>
    <n v="520862.44"/>
    <n v="60066.8"/>
    <n v="1851113.55"/>
    <n v="135522.32999999999"/>
    <n v="211492.96"/>
    <n v="954550.08"/>
    <n v="5920650.0899999999"/>
    <n v="6359.52"/>
    <n v="4303.66"/>
    <n v="19662.84"/>
    <n v="120595.93"/>
    <n v="14581.19"/>
    <n v="2294.6999999999998"/>
    <n v="1564.49"/>
    <n v="39247.089999999997"/>
    <n v="330922.02"/>
    <n v="580135.94999999995"/>
    <n v="794876.1"/>
    <n v="1657934.95"/>
    <n v="7843895.2599999998"/>
    <n v="66692.75"/>
    <n v="79931.399999999994"/>
    <n v="105290.97"/>
    <n v="194044.16"/>
    <n v="803484.51"/>
    <n v="79197.289999999994"/>
    <n v="121868.96"/>
    <n v="106509.96"/>
    <n v="207061.96"/>
    <n v="275846.55"/>
    <n v="3069.91"/>
    <n v="6221.13"/>
    <n v="9539.6"/>
    <n v="20137.52"/>
    <n v="177513.17"/>
    <x v="0"/>
    <x v="0"/>
    <x v="0"/>
    <x v="0"/>
    <x v="0"/>
    <x v="0"/>
    <x v="0"/>
    <x v="0"/>
    <x v="0"/>
    <x v="0"/>
    <n v="241.23"/>
    <n v="480.35"/>
    <n v="742.84"/>
    <n v="1551.45"/>
    <n v="4298.7299999999996"/>
    <x v="0"/>
    <x v="0"/>
    <x v="0"/>
    <x v="0"/>
    <x v="0"/>
    <x v="0"/>
    <x v="0"/>
    <x v="0"/>
    <x v="0"/>
    <x v="0"/>
    <n v="0"/>
    <n v="0"/>
    <n v="0"/>
    <n v="0"/>
    <n v="0"/>
    <n v="0"/>
    <n v="0"/>
    <n v="0"/>
    <n v="0"/>
    <n v="0"/>
    <x v="0"/>
    <n v="0"/>
    <n v="0"/>
    <x v="0"/>
    <x v="0"/>
    <x v="0"/>
    <x v="0"/>
    <x v="0"/>
    <x v="0"/>
    <x v="0"/>
    <x v="0"/>
    <x v="0"/>
    <x v="0"/>
    <x v="0"/>
    <x v="0"/>
    <x v="0"/>
    <x v="0"/>
    <x v="0"/>
    <x v="0"/>
    <x v="0"/>
    <x v="0"/>
    <x v="0"/>
    <x v="0"/>
    <x v="0"/>
    <x v="0"/>
    <x v="0"/>
    <x v="0"/>
    <x v="0"/>
    <x v="0"/>
    <x v="0"/>
    <x v="0"/>
    <x v="0"/>
    <n v="11804724.82"/>
    <n v="116221996.29000001"/>
    <n v="-17035302.239999998"/>
    <n v="133257298.53"/>
  </r>
  <r>
    <x v="0"/>
    <x v="11"/>
    <x v="11"/>
    <x v="3"/>
    <x v="3"/>
    <n v="565758.14"/>
    <n v="901472.98"/>
    <n v="1361715.77"/>
    <n v="2793938.26"/>
    <n v="27379384.579999998"/>
    <n v="47480.44"/>
    <n v="41809.269999999997"/>
    <n v="63614.43"/>
    <n v="120366.72"/>
    <n v="866359.24"/>
    <n v="22848.81"/>
    <n v="33647.85"/>
    <n v="108836.74"/>
    <n v="309512.8"/>
    <n v="395687.99"/>
    <n v="2212602.4700000002"/>
    <n v="3144276.62"/>
    <n v="4672479.7"/>
    <n v="59893464.060000002"/>
    <n v="261418.14"/>
    <n v="275104.96000000002"/>
    <n v="380675.19"/>
    <n v="3789489.88"/>
    <n v="4473.26"/>
    <n v="859091.98"/>
    <n v="93390.55"/>
    <n v="1819521.59"/>
    <n v="150431.73000000001"/>
    <n v="200648.22"/>
    <n v="943955.73"/>
    <n v="5769534.1600000001"/>
    <n v="8106.64"/>
    <n v="4810.57"/>
    <n v="24751.279999999999"/>
    <n v="129051.5"/>
    <n v="0"/>
    <n v="16979.810000000001"/>
    <n v="2649.81"/>
    <n v="39247.089999999997"/>
    <n v="387095.52"/>
    <n v="546320.01"/>
    <n v="791289.26"/>
    <n v="1698637.96"/>
    <n v="7805982.0899999999"/>
    <n v="74433.72"/>
    <n v="75423.62"/>
    <n v="106257.89"/>
    <n v="201605.49"/>
    <n v="819611.66"/>
    <n v="70770.84"/>
    <n v="190084.83"/>
    <n v="51168.36"/>
    <n v="204242.77"/>
    <n v="316473.71999999997"/>
    <n v="3122.49"/>
    <n v="6302.37"/>
    <n v="9604.93"/>
    <n v="20276.22"/>
    <n v="174105.41"/>
    <x v="0"/>
    <x v="0"/>
    <x v="0"/>
    <x v="0"/>
    <x v="0"/>
    <x v="0"/>
    <x v="0"/>
    <x v="0"/>
    <x v="0"/>
    <x v="0"/>
    <n v="241.21"/>
    <n v="487.12"/>
    <n v="747.89"/>
    <n v="1566.46"/>
    <n v="4030.69"/>
    <x v="0"/>
    <x v="0"/>
    <x v="0"/>
    <x v="0"/>
    <x v="0"/>
    <x v="0"/>
    <x v="0"/>
    <x v="0"/>
    <x v="0"/>
    <x v="0"/>
    <n v="0"/>
    <n v="0"/>
    <n v="0"/>
    <n v="0"/>
    <n v="0"/>
    <n v="0"/>
    <n v="0"/>
    <n v="0"/>
    <n v="0"/>
    <n v="0"/>
    <x v="0"/>
    <n v="0"/>
    <n v="0"/>
    <x v="0"/>
    <x v="0"/>
    <x v="0"/>
    <x v="0"/>
    <x v="0"/>
    <x v="0"/>
    <x v="0"/>
    <x v="0"/>
    <x v="0"/>
    <x v="0"/>
    <x v="0"/>
    <x v="0"/>
    <x v="0"/>
    <x v="0"/>
    <x v="0"/>
    <x v="0"/>
    <x v="0"/>
    <x v="0"/>
    <x v="0"/>
    <x v="0"/>
    <x v="0"/>
    <x v="0"/>
    <x v="0"/>
    <x v="0"/>
    <x v="0"/>
    <x v="0"/>
    <x v="0"/>
    <x v="0"/>
    <x v="0"/>
    <n v="11828999.439999999"/>
    <n v="116232849.53"/>
    <n v="-17035621.960000001"/>
    <n v="133268471.48999999"/>
  </r>
  <r>
    <x v="0"/>
    <x v="11"/>
    <x v="11"/>
    <x v="4"/>
    <x v="4"/>
    <n v="538113.47"/>
    <n v="897512.77"/>
    <n v="1335227.95"/>
    <n v="2811740.78"/>
    <n v="26876922.760000002"/>
    <n v="52573.07"/>
    <n v="45952.480000000003"/>
    <n v="65960.73"/>
    <n v="120990.65"/>
    <n v="961638.49"/>
    <n v="0"/>
    <n v="55806.75"/>
    <n v="10167.700000000001"/>
    <n v="389982.52"/>
    <n v="399098.5"/>
    <n v="1968870.46"/>
    <n v="3128786.03"/>
    <n v="4588178.99"/>
    <n v="59738140.710000001"/>
    <n v="299146.03999999998"/>
    <n v="316815.21000000002"/>
    <n v="443243.46"/>
    <n v="4316354.62"/>
    <n v="6149.29"/>
    <n v="610855.48"/>
    <n v="218676.61"/>
    <n v="1818686.33"/>
    <n v="144313.42000000001"/>
    <n v="196749.34"/>
    <n v="932012.58"/>
    <n v="5534582.2000000002"/>
    <n v="8973.94"/>
    <n v="6320.61"/>
    <n v="30236.41"/>
    <n v="208280.28"/>
    <n v="0"/>
    <n v="17302.16"/>
    <n v="3105.7"/>
    <n v="39247.089999999997"/>
    <n v="374977.21"/>
    <n v="553055.18000000005"/>
    <n v="790699.55"/>
    <n v="1763471.5"/>
    <n v="8243239"/>
    <n v="77967.73"/>
    <n v="78264.73"/>
    <n v="107196.02"/>
    <n v="223115"/>
    <n v="881350.87"/>
    <n v="16166.43"/>
    <n v="175667.47"/>
    <n v="93695.37"/>
    <n v="218966.96"/>
    <n v="287437.01"/>
    <n v="3098.64"/>
    <n v="6378.97"/>
    <n v="9684.24"/>
    <n v="20574"/>
    <n v="170553.08"/>
    <x v="0"/>
    <x v="0"/>
    <x v="0"/>
    <x v="0"/>
    <x v="0"/>
    <x v="0"/>
    <x v="0"/>
    <x v="0"/>
    <x v="0"/>
    <x v="0"/>
    <n v="239.14"/>
    <n v="3455.48"/>
    <n v="6456.33"/>
    <n v="13649.47"/>
    <n v="133031.74"/>
    <x v="0"/>
    <x v="0"/>
    <x v="0"/>
    <x v="0"/>
    <x v="0"/>
    <x v="0"/>
    <x v="0"/>
    <x v="0"/>
    <x v="0"/>
    <x v="0"/>
    <n v="0"/>
    <n v="0"/>
    <n v="0"/>
    <n v="0"/>
    <n v="0"/>
    <n v="0"/>
    <n v="0"/>
    <n v="0"/>
    <n v="0"/>
    <n v="0"/>
    <x v="0"/>
    <n v="0"/>
    <n v="0"/>
    <x v="0"/>
    <x v="0"/>
    <x v="0"/>
    <x v="0"/>
    <x v="0"/>
    <x v="0"/>
    <x v="0"/>
    <x v="0"/>
    <x v="0"/>
    <x v="0"/>
    <x v="0"/>
    <x v="0"/>
    <x v="0"/>
    <x v="0"/>
    <x v="0"/>
    <x v="0"/>
    <x v="0"/>
    <x v="0"/>
    <x v="0"/>
    <x v="0"/>
    <x v="0"/>
    <x v="0"/>
    <x v="0"/>
    <x v="0"/>
    <x v="0"/>
    <x v="0"/>
    <x v="0"/>
    <x v="0"/>
    <x v="0"/>
    <n v="12605391.710000001"/>
    <n v="116023422.02"/>
    <n v="-17365684.68"/>
    <n v="133389106.7"/>
  </r>
  <r>
    <x v="0"/>
    <x v="11"/>
    <x v="11"/>
    <x v="5"/>
    <x v="5"/>
    <n v="535261.25"/>
    <n v="899542.43"/>
    <n v="1374795.21"/>
    <n v="2792180.78"/>
    <n v="26895682.760000002"/>
    <n v="42928.01"/>
    <n v="43338.17"/>
    <n v="62119.46"/>
    <n v="111462.3"/>
    <n v="741309.48"/>
    <n v="0"/>
    <n v="54868.800000000003"/>
    <n v="8038.49"/>
    <n v="350224.78"/>
    <n v="420823.6"/>
    <n v="1812946.09"/>
    <n v="3542513.02"/>
    <n v="4727753.2300000004"/>
    <n v="60160598.850000001"/>
    <n v="274163.75"/>
    <n v="298857.07"/>
    <n v="416495.86"/>
    <n v="4291657.4800000004"/>
    <n v="64048.76"/>
    <n v="476374.46"/>
    <n v="161958.16"/>
    <n v="1907909.27"/>
    <n v="132650.51999999999"/>
    <n v="202076.96"/>
    <n v="919489.55"/>
    <n v="5478177.7999999998"/>
    <n v="13368.69"/>
    <n v="6072.32"/>
    <n v="28788.27"/>
    <n v="130048.28"/>
    <n v="0"/>
    <n v="2689.02"/>
    <n v="18941.12"/>
    <n v="39247.089999999997"/>
    <n v="353376.42"/>
    <n v="589926.15"/>
    <n v="847072.45"/>
    <n v="1764350.37"/>
    <n v="8855941.1500000004"/>
    <n v="72171.19"/>
    <n v="82690.44"/>
    <n v="112436.35"/>
    <n v="220620.69"/>
    <n v="833848.89"/>
    <n v="8385.07"/>
    <n v="115258.48"/>
    <n v="134625.82999999999"/>
    <n v="224598.53"/>
    <n v="280517.11"/>
    <n v="3203.73"/>
    <n v="6335.87"/>
    <n v="9890.9"/>
    <n v="20671.740000000002"/>
    <n v="167088.04999999999"/>
    <x v="0"/>
    <x v="0"/>
    <x v="0"/>
    <x v="0"/>
    <x v="0"/>
    <x v="0"/>
    <x v="0"/>
    <x v="0"/>
    <x v="0"/>
    <x v="0"/>
    <n v="1064.51"/>
    <n v="5128.33"/>
    <n v="8541.7099999999991"/>
    <n v="17853.13"/>
    <n v="207412.32"/>
    <x v="0"/>
    <x v="0"/>
    <x v="0"/>
    <x v="0"/>
    <x v="0"/>
    <x v="0"/>
    <x v="0"/>
    <x v="0"/>
    <x v="0"/>
    <x v="0"/>
    <n v="0"/>
    <n v="0"/>
    <n v="0"/>
    <n v="0"/>
    <n v="0"/>
    <n v="0"/>
    <n v="0"/>
    <n v="0"/>
    <n v="0"/>
    <n v="0"/>
    <x v="0"/>
    <n v="0"/>
    <n v="0"/>
    <x v="0"/>
    <x v="0"/>
    <x v="0"/>
    <x v="0"/>
    <x v="0"/>
    <x v="0"/>
    <x v="0"/>
    <x v="0"/>
    <x v="0"/>
    <x v="0"/>
    <x v="0"/>
    <x v="0"/>
    <x v="0"/>
    <x v="0"/>
    <x v="0"/>
    <x v="0"/>
    <x v="0"/>
    <x v="0"/>
    <x v="0"/>
    <x v="0"/>
    <x v="0"/>
    <x v="0"/>
    <x v="0"/>
    <x v="0"/>
    <x v="0"/>
    <x v="0"/>
    <x v="0"/>
    <x v="0"/>
    <x v="0"/>
    <n v="12050885.27"/>
    <n v="117261952.67"/>
    <n v="-17120457.879999999"/>
    <n v="134382410.55000001"/>
  </r>
  <r>
    <x v="0"/>
    <x v="11"/>
    <x v="11"/>
    <x v="6"/>
    <x v="6"/>
    <n v="559329.47"/>
    <n v="906349.41"/>
    <n v="1374591.06"/>
    <n v="2830110.07"/>
    <n v="26502742.170000002"/>
    <n v="46832.63"/>
    <n v="42440.44"/>
    <n v="59810.91"/>
    <n v="104732.96"/>
    <n v="794543.86"/>
    <n v="0"/>
    <n v="31871.3"/>
    <n v="32832.33"/>
    <n v="301972.43"/>
    <n v="389392.22"/>
    <n v="2307434.2999999998"/>
    <n v="3337577.14"/>
    <n v="4820146.07"/>
    <n v="62075322.759999998"/>
    <n v="228916.03"/>
    <n v="220490.23999999999"/>
    <n v="313735.74"/>
    <n v="2891891.26"/>
    <n v="113964.37"/>
    <n v="286908.03999999998"/>
    <n v="281638.07"/>
    <n v="1950679.02"/>
    <n v="141929.15"/>
    <n v="191364.99"/>
    <n v="908075.91"/>
    <n v="5259877.84"/>
    <n v="15262.02"/>
    <n v="7353.75"/>
    <n v="35614.519999999997"/>
    <n v="194498.69"/>
    <n v="0"/>
    <n v="4092.1"/>
    <n v="20189.16"/>
    <n v="39247.089999999997"/>
    <n v="451318.47"/>
    <n v="611980.67000000004"/>
    <n v="908831.46"/>
    <n v="1956447.66"/>
    <n v="9733894"/>
    <n v="53362.95"/>
    <n v="49962.91"/>
    <n v="73812.78"/>
    <n v="141305.14000000001"/>
    <n v="476685.12"/>
    <n v="70644.22"/>
    <n v="50404.46"/>
    <n v="185652.25"/>
    <n v="134671.70000000001"/>
    <n v="342690.84"/>
    <n v="3175.24"/>
    <n v="6429.69"/>
    <n v="9951.7000000000007"/>
    <n v="20917.98"/>
    <n v="163511.95000000001"/>
    <x v="0"/>
    <x v="0"/>
    <x v="0"/>
    <x v="0"/>
    <x v="0"/>
    <x v="0"/>
    <x v="0"/>
    <x v="0"/>
    <x v="0"/>
    <x v="0"/>
    <n v="2481.33"/>
    <n v="5584.25"/>
    <n v="8547.9699999999993"/>
    <n v="18090.55"/>
    <n v="204231.39"/>
    <x v="0"/>
    <x v="0"/>
    <x v="0"/>
    <x v="0"/>
    <x v="0"/>
    <x v="0"/>
    <x v="0"/>
    <x v="0"/>
    <x v="0"/>
    <x v="0"/>
    <n v="0"/>
    <n v="0"/>
    <n v="0"/>
    <n v="0"/>
    <n v="0"/>
    <n v="0"/>
    <n v="0"/>
    <n v="0"/>
    <n v="0"/>
    <n v="0"/>
    <x v="0"/>
    <n v="0"/>
    <n v="0"/>
    <x v="0"/>
    <x v="0"/>
    <x v="0"/>
    <x v="0"/>
    <x v="0"/>
    <x v="0"/>
    <x v="0"/>
    <x v="0"/>
    <x v="0"/>
    <x v="0"/>
    <x v="0"/>
    <x v="0"/>
    <x v="0"/>
    <x v="0"/>
    <x v="0"/>
    <x v="0"/>
    <x v="0"/>
    <x v="0"/>
    <x v="0"/>
    <x v="0"/>
    <x v="0"/>
    <x v="0"/>
    <x v="0"/>
    <x v="0"/>
    <x v="0"/>
    <x v="0"/>
    <x v="0"/>
    <x v="0"/>
    <x v="0"/>
    <n v="9988101.5500000007"/>
    <n v="117698231.83"/>
    <n v="-17610114.370000001"/>
    <n v="135308346.19999999"/>
  </r>
  <r>
    <x v="0"/>
    <x v="11"/>
    <x v="11"/>
    <x v="7"/>
    <x v="7"/>
    <n v="537199.94999999995"/>
    <n v="886637.63"/>
    <n v="1344662.04"/>
    <n v="2803534.24"/>
    <n v="25765839.260000002"/>
    <n v="46491.13"/>
    <n v="44151.95"/>
    <n v="57032.03"/>
    <n v="115893.53"/>
    <n v="930559.85"/>
    <n v="0"/>
    <n v="30648.3"/>
    <n v="34404.300000000003"/>
    <n v="221245.94"/>
    <n v="446585.39"/>
    <n v="2102815.25"/>
    <n v="3301695.46"/>
    <n v="4756336.4800000004"/>
    <n v="61936436.079999998"/>
    <n v="272263.94"/>
    <n v="233964.73"/>
    <n v="321620.96999999997"/>
    <n v="2950807.53"/>
    <n v="0"/>
    <n v="367829.54"/>
    <n v="37453.67"/>
    <n v="2196710.92"/>
    <n v="139060.57999999999"/>
    <n v="193100.24"/>
    <n v="912604.28"/>
    <n v="5199212.22"/>
    <n v="8124.81"/>
    <n v="3961.74"/>
    <n v="19051.79"/>
    <n v="116914.81"/>
    <n v="0"/>
    <n v="2504.11"/>
    <n v="22267.5"/>
    <n v="39247.089999999997"/>
    <n v="432690.54"/>
    <n v="632232.9"/>
    <n v="858360.47"/>
    <n v="2058691.17"/>
    <n v="10266936.25"/>
    <n v="63993.82"/>
    <n v="51456.46"/>
    <n v="70549.63"/>
    <n v="152046.67000000001"/>
    <n v="539154.17000000004"/>
    <n v="0"/>
    <n v="105751.19"/>
    <n v="149058.98000000001"/>
    <n v="136113.62"/>
    <n v="348783.16"/>
    <n v="3160.63"/>
    <n v="6523.61"/>
    <n v="10050.17"/>
    <n v="21118.38"/>
    <n v="159958.53"/>
    <x v="0"/>
    <x v="0"/>
    <x v="0"/>
    <x v="0"/>
    <x v="0"/>
    <x v="0"/>
    <x v="0"/>
    <x v="0"/>
    <x v="0"/>
    <x v="0"/>
    <n v="2647"/>
    <n v="5678.35"/>
    <n v="8662.51"/>
    <n v="18247.7"/>
    <n v="201218.6"/>
    <x v="0"/>
    <x v="0"/>
    <x v="0"/>
    <x v="0"/>
    <x v="0"/>
    <x v="0"/>
    <x v="0"/>
    <x v="0"/>
    <x v="0"/>
    <x v="0"/>
    <n v="0"/>
    <n v="0"/>
    <n v="0"/>
    <n v="0"/>
    <n v="0"/>
    <n v="0"/>
    <n v="0"/>
    <n v="0"/>
    <n v="0"/>
    <n v="0"/>
    <x v="0"/>
    <n v="0"/>
    <n v="0"/>
    <x v="0"/>
    <x v="0"/>
    <x v="0"/>
    <x v="0"/>
    <x v="0"/>
    <x v="0"/>
    <x v="0"/>
    <x v="0"/>
    <x v="0"/>
    <x v="0"/>
    <x v="0"/>
    <x v="0"/>
    <x v="0"/>
    <x v="0"/>
    <x v="0"/>
    <x v="0"/>
    <x v="0"/>
    <x v="0"/>
    <x v="0"/>
    <x v="0"/>
    <x v="0"/>
    <x v="0"/>
    <x v="0"/>
    <x v="0"/>
    <x v="0"/>
    <x v="0"/>
    <x v="0"/>
    <x v="0"/>
    <x v="0"/>
    <n v="10136643.27"/>
    <n v="117255722.8"/>
    <n v="-17446230.989999998"/>
    <n v="134701953.78999999"/>
  </r>
  <r>
    <x v="0"/>
    <x v="11"/>
    <x v="11"/>
    <x v="8"/>
    <x v="8"/>
    <n v="519684.79"/>
    <n v="899378.14"/>
    <n v="1367623.5"/>
    <n v="2720576.59"/>
    <n v="25506234.219999999"/>
    <n v="54394.46"/>
    <n v="49366.18"/>
    <n v="70110.679999999993"/>
    <n v="138364.07"/>
    <n v="1022590.15"/>
    <n v="72254.539999999994"/>
    <n v="36247.51"/>
    <n v="35519.82"/>
    <n v="101769.2"/>
    <n v="549749.66"/>
    <n v="1894272.21"/>
    <n v="3711298.34"/>
    <n v="5032021.46"/>
    <n v="61488285.770000003"/>
    <n v="262896.84000000003"/>
    <n v="234706.85"/>
    <n v="353301.12"/>
    <n v="3105632.09"/>
    <n v="30735.98"/>
    <n v="291014.52"/>
    <n v="100803.44"/>
    <n v="2166817.6"/>
    <n v="130237.03"/>
    <n v="198712.2"/>
    <n v="893687.44"/>
    <n v="5068450.96"/>
    <n v="8201.11"/>
    <n v="5448.32"/>
    <n v="25716.7"/>
    <n v="92996.59"/>
    <n v="31586.23"/>
    <n v="2517.3200000000002"/>
    <n v="20493.3"/>
    <n v="39247.089999999997"/>
    <n v="402953.43"/>
    <n v="707079.74"/>
    <n v="1059148.26"/>
    <n v="1962547.71"/>
    <n v="10886061.310000001"/>
    <n v="59877.47"/>
    <n v="51349.86"/>
    <n v="75879.929999999993"/>
    <n v="132344.92000000001"/>
    <n v="507701.52"/>
    <n v="25998.91"/>
    <n v="89808.8"/>
    <n v="79459.350000000006"/>
    <n v="197651.98"/>
    <n v="323896.08"/>
    <n v="3269.06"/>
    <n v="6621.84"/>
    <n v="10246.620000000001"/>
    <n v="21183.78"/>
    <n v="156329.39000000001"/>
    <x v="0"/>
    <x v="0"/>
    <x v="0"/>
    <x v="0"/>
    <x v="0"/>
    <x v="0"/>
    <x v="0"/>
    <x v="0"/>
    <x v="0"/>
    <x v="0"/>
    <n v="4710.1899999999996"/>
    <n v="5604.46"/>
    <n v="8922.92"/>
    <n v="18228.560000000001"/>
    <n v="198113.97"/>
    <x v="0"/>
    <x v="0"/>
    <x v="0"/>
    <x v="0"/>
    <x v="0"/>
    <x v="0"/>
    <x v="0"/>
    <x v="0"/>
    <x v="0"/>
    <x v="0"/>
    <n v="0"/>
    <n v="0"/>
    <n v="0"/>
    <n v="0"/>
    <n v="0"/>
    <n v="0"/>
    <n v="0"/>
    <n v="0"/>
    <n v="0"/>
    <n v="0"/>
    <x v="0"/>
    <n v="0"/>
    <n v="0"/>
    <x v="0"/>
    <x v="0"/>
    <x v="0"/>
    <x v="0"/>
    <x v="0"/>
    <x v="0"/>
    <x v="0"/>
    <x v="0"/>
    <x v="0"/>
    <x v="0"/>
    <x v="0"/>
    <x v="0"/>
    <x v="0"/>
    <x v="0"/>
    <x v="0"/>
    <x v="0"/>
    <x v="0"/>
    <x v="0"/>
    <x v="0"/>
    <x v="0"/>
    <x v="0"/>
    <x v="0"/>
    <x v="0"/>
    <x v="0"/>
    <x v="0"/>
    <x v="0"/>
    <x v="0"/>
    <x v="0"/>
    <x v="0"/>
    <n v="10446450.189999999"/>
    <n v="118071501.47"/>
    <n v="-17256432.609999999"/>
    <n v="135327934.08000001"/>
  </r>
  <r>
    <x v="0"/>
    <x v="11"/>
    <x v="11"/>
    <x v="9"/>
    <x v="9"/>
    <n v="530885.80000000005"/>
    <n v="873261.41"/>
    <n v="1387108.19"/>
    <n v="2725726.93"/>
    <n v="25354814.07"/>
    <n v="56596.74"/>
    <n v="50416.36"/>
    <n v="76335.899999999994"/>
    <n v="152034.70000000001"/>
    <n v="964180.95"/>
    <n v="120312.96000000001"/>
    <n v="112799.31"/>
    <n v="16371.63"/>
    <n v="122248.66"/>
    <n v="526415.03"/>
    <n v="2048751.2"/>
    <n v="3283664"/>
    <n v="5085598.34"/>
    <n v="61410388.57"/>
    <n v="285817.57"/>
    <n v="226805.5"/>
    <n v="406057.89"/>
    <n v="3386415.84"/>
    <n v="38645.839999999997"/>
    <n v="215421.46"/>
    <n v="186334.5"/>
    <n v="2197461.81"/>
    <n v="133654.57"/>
    <n v="182570.88"/>
    <n v="885863.03"/>
    <n v="4858897.29"/>
    <n v="10114.549999999999"/>
    <n v="6239.54"/>
    <n v="30111.119999999999"/>
    <n v="169941.41"/>
    <n v="0"/>
    <n v="33760.78"/>
    <n v="21229.83"/>
    <n v="39251.839999999997"/>
    <n v="461179.76"/>
    <n v="579317.52"/>
    <n v="1173855.3999999999"/>
    <n v="2037659.06"/>
    <n v="11544009.6"/>
    <n v="71528.929999999993"/>
    <n v="48171.55"/>
    <n v="91500.25"/>
    <n v="148711.72"/>
    <n v="541966.28"/>
    <n v="34106.949999999997"/>
    <n v="64502.04"/>
    <n v="76070.95"/>
    <n v="199783.08"/>
    <n v="336006.81"/>
    <n v="3254.55"/>
    <n v="6697.15"/>
    <n v="10324.52"/>
    <n v="21461.29"/>
    <n v="152644.12"/>
    <x v="0"/>
    <x v="0"/>
    <x v="0"/>
    <x v="0"/>
    <x v="0"/>
    <x v="0"/>
    <x v="0"/>
    <x v="0"/>
    <x v="0"/>
    <x v="0"/>
    <n v="4767.03"/>
    <n v="5806.87"/>
    <n v="8948.91"/>
    <n v="18486.84"/>
    <n v="194886.19"/>
    <x v="0"/>
    <x v="0"/>
    <x v="0"/>
    <x v="0"/>
    <x v="0"/>
    <x v="0"/>
    <x v="0"/>
    <x v="0"/>
    <x v="0"/>
    <x v="0"/>
    <n v="0"/>
    <n v="0"/>
    <n v="0"/>
    <n v="0"/>
    <n v="0"/>
    <n v="0"/>
    <n v="0"/>
    <n v="0"/>
    <n v="0"/>
    <n v="0"/>
    <x v="0"/>
    <n v="0"/>
    <n v="0"/>
    <x v="0"/>
    <x v="0"/>
    <x v="0"/>
    <x v="0"/>
    <x v="0"/>
    <x v="0"/>
    <x v="0"/>
    <x v="0"/>
    <x v="0"/>
    <x v="0"/>
    <x v="0"/>
    <x v="0"/>
    <x v="0"/>
    <x v="0"/>
    <x v="0"/>
    <x v="0"/>
    <x v="0"/>
    <x v="0"/>
    <x v="0"/>
    <x v="0"/>
    <x v="0"/>
    <x v="0"/>
    <x v="0"/>
    <x v="0"/>
    <x v="0"/>
    <x v="0"/>
    <x v="0"/>
    <x v="0"/>
    <x v="0"/>
    <n v="11063670.279999999"/>
    <n v="118726987.47"/>
    <n v="-17321165.899999999"/>
    <n v="136048153.37"/>
  </r>
  <r>
    <x v="0"/>
    <x v="11"/>
    <x v="11"/>
    <x v="10"/>
    <x v="10"/>
    <n v="562658.69999999995"/>
    <n v="832339.8"/>
    <n v="1404159.78"/>
    <n v="2693661.78"/>
    <n v="24678659.920000002"/>
    <n v="52466.17"/>
    <n v="48408.49"/>
    <n v="75729.36"/>
    <n v="139226.32999999999"/>
    <n v="1118268.18"/>
    <n v="11121.16"/>
    <n v="229467.05"/>
    <n v="15631.92"/>
    <n v="34539.230000000003"/>
    <n v="615602.66"/>
    <n v="2273926.36"/>
    <n v="3018317.41"/>
    <n v="5230235.62"/>
    <n v="61262386.689999998"/>
    <n v="266062.46999999997"/>
    <n v="206925.1"/>
    <n v="378979.84000000003"/>
    <n v="2900480.13"/>
    <n v="97059.22"/>
    <n v="253608.95999999999"/>
    <n v="45467.77"/>
    <n v="2286924.83"/>
    <n v="134549.21"/>
    <n v="177886.8"/>
    <n v="879612.31"/>
    <n v="4748740.2300000004"/>
    <n v="7561.2"/>
    <n v="4315.25"/>
    <n v="22580.02"/>
    <n v="145619.13"/>
    <n v="0"/>
    <n v="33004.120000000003"/>
    <n v="21899.87"/>
    <n v="39251.839999999997"/>
    <n v="486036.55"/>
    <n v="526230.62"/>
    <n v="1278634.92"/>
    <n v="2043594.39"/>
    <n v="12215505.449999999"/>
    <n v="69578.36"/>
    <n v="45399.28"/>
    <n v="96815.11"/>
    <n v="145182.32"/>
    <n v="491264.12"/>
    <n v="44708.58"/>
    <n v="100887.39"/>
    <n v="70409.440000000002"/>
    <n v="181538.33"/>
    <n v="319109.90999999997"/>
    <n v="3367.29"/>
    <n v="6682.88"/>
    <n v="10523.83"/>
    <n v="21574.639999999999"/>
    <n v="148978.44"/>
    <x v="0"/>
    <x v="0"/>
    <x v="0"/>
    <x v="0"/>
    <x v="0"/>
    <x v="0"/>
    <x v="0"/>
    <x v="0"/>
    <x v="0"/>
    <x v="0"/>
    <n v="4769.0600000000004"/>
    <n v="5799.15"/>
    <n v="9134.49"/>
    <n v="18578.25"/>
    <n v="191753.56"/>
    <x v="0"/>
    <x v="0"/>
    <x v="0"/>
    <x v="0"/>
    <x v="0"/>
    <x v="0"/>
    <x v="0"/>
    <x v="0"/>
    <x v="0"/>
    <x v="0"/>
    <n v="0"/>
    <n v="0"/>
    <n v="0"/>
    <n v="0"/>
    <n v="0"/>
    <n v="0"/>
    <n v="0"/>
    <n v="0"/>
    <n v="0"/>
    <n v="0"/>
    <x v="0"/>
    <n v="0"/>
    <n v="0"/>
    <x v="0"/>
    <x v="0"/>
    <x v="0"/>
    <x v="0"/>
    <x v="0"/>
    <x v="0"/>
    <x v="0"/>
    <x v="0"/>
    <x v="0"/>
    <x v="0"/>
    <x v="0"/>
    <x v="0"/>
    <x v="0"/>
    <x v="0"/>
    <x v="0"/>
    <x v="0"/>
    <x v="0"/>
    <x v="0"/>
    <x v="0"/>
    <x v="0"/>
    <x v="0"/>
    <x v="0"/>
    <x v="0"/>
    <x v="0"/>
    <x v="0"/>
    <x v="0"/>
    <x v="0"/>
    <x v="0"/>
    <x v="0"/>
    <n v="10615093.140000001"/>
    <n v="118300620.29000001"/>
    <n v="-17182770.98"/>
    <n v="135483391.27000001"/>
  </r>
  <r>
    <x v="0"/>
    <x v="11"/>
    <x v="11"/>
    <x v="11"/>
    <x v="11"/>
    <n v="532076.71"/>
    <n v="899055.82"/>
    <n v="1330546.57"/>
    <n v="2692227.62"/>
    <n v="24523429.239999998"/>
    <n v="43920.28"/>
    <n v="42433.3"/>
    <n v="63327.25"/>
    <n v="121001.11"/>
    <n v="769905.75"/>
    <n v="11816.18"/>
    <n v="101995.48"/>
    <n v="89548.79"/>
    <n v="35113.47"/>
    <n v="501188.64"/>
    <n v="2007259.95"/>
    <n v="3523362.74"/>
    <n v="4770052.4400000004"/>
    <n v="62004232.869999997"/>
    <n v="200633.3"/>
    <n v="182652.05"/>
    <n v="243098.91"/>
    <n v="1999331.38"/>
    <n v="157456.14000000001"/>
    <n v="270112.5"/>
    <n v="65944.28"/>
    <n v="2184692.61"/>
    <n v="128718.35"/>
    <n v="191027.81"/>
    <n v="859034.67"/>
    <n v="4644407.04"/>
    <n v="3584.39"/>
    <n v="2562.09"/>
    <n v="10521"/>
    <n v="57386.68"/>
    <n v="35915.699999999997"/>
    <n v="1415.84"/>
    <n v="53432.160000000003"/>
    <n v="39942.78"/>
    <n v="479268.54"/>
    <n v="784601.18"/>
    <n v="1102168.68"/>
    <n v="2169892.12"/>
    <n v="13097778.539999999"/>
    <n v="61640.26"/>
    <n v="52031.49"/>
    <n v="72310.8"/>
    <n v="130680.63"/>
    <n v="408723.03"/>
    <n v="296.95"/>
    <n v="107172.93"/>
    <n v="76007.3"/>
    <n v="158480.31"/>
    <n v="312576.67"/>
    <n v="2956.25"/>
    <n v="6174.29"/>
    <n v="9364.16"/>
    <n v="19567.53"/>
    <n v="103225.73"/>
    <x v="0"/>
    <x v="0"/>
    <x v="0"/>
    <x v="0"/>
    <x v="0"/>
    <x v="0"/>
    <x v="0"/>
    <x v="0"/>
    <x v="0"/>
    <x v="0"/>
    <n v="4822.6899999999996"/>
    <n v="5979.41"/>
    <n v="8930.2099999999991"/>
    <n v="18895.66"/>
    <n v="188516.66"/>
    <x v="0"/>
    <x v="0"/>
    <x v="0"/>
    <x v="0"/>
    <x v="0"/>
    <x v="0"/>
    <x v="0"/>
    <x v="0"/>
    <x v="0"/>
    <x v="0"/>
    <n v="0"/>
    <n v="0"/>
    <n v="0"/>
    <n v="0"/>
    <n v="0"/>
    <n v="0"/>
    <n v="0"/>
    <n v="0"/>
    <n v="0"/>
    <n v="0"/>
    <x v="0"/>
    <n v="0"/>
    <n v="0"/>
    <x v="0"/>
    <x v="0"/>
    <x v="0"/>
    <x v="0"/>
    <x v="0"/>
    <x v="0"/>
    <x v="0"/>
    <x v="0"/>
    <x v="0"/>
    <x v="0"/>
    <x v="0"/>
    <x v="0"/>
    <x v="0"/>
    <x v="0"/>
    <x v="0"/>
    <x v="0"/>
    <x v="0"/>
    <x v="0"/>
    <x v="0"/>
    <x v="0"/>
    <x v="0"/>
    <x v="0"/>
    <x v="0"/>
    <x v="0"/>
    <x v="0"/>
    <x v="0"/>
    <x v="0"/>
    <x v="0"/>
    <x v="0"/>
    <n v="8668852.4299999997"/>
    <n v="118593631.23"/>
    <n v="-16182794.68"/>
    <n v="134776425.91"/>
  </r>
  <r>
    <x v="0"/>
    <x v="12"/>
    <x v="12"/>
    <x v="0"/>
    <x v="0"/>
    <n v="0"/>
    <n v="0"/>
    <n v="0"/>
    <n v="0"/>
    <n v="0"/>
    <n v="0"/>
    <n v="0"/>
    <n v="0"/>
    <n v="0"/>
    <n v="0"/>
    <n v="0"/>
    <n v="0"/>
    <n v="0"/>
    <n v="0"/>
    <n v="0"/>
    <n v="729481.07"/>
    <n v="1338284.25"/>
    <n v="1936033.45"/>
    <n v="14879199.970000001"/>
    <n v="24136.82"/>
    <n v="28195.17"/>
    <n v="34788.5"/>
    <n v="127692.81"/>
    <n v="22508.12"/>
    <n v="33783.89"/>
    <n v="34949.17"/>
    <n v="162507.81"/>
    <n v="41037.22"/>
    <n v="68267.92"/>
    <n v="307672.53000000003"/>
    <n v="2161123.67"/>
    <n v="0"/>
    <n v="0"/>
    <n v="0"/>
    <n v="0"/>
    <n v="1899.15"/>
    <n v="3799.83"/>
    <n v="17134.96"/>
    <n v="70545.91"/>
    <n v="1765214.22"/>
    <n v="2985050.48"/>
    <n v="4284362.1399999997"/>
    <n v="7930129.7300000004"/>
    <n v="21239452.77"/>
    <n v="88972.55"/>
    <n v="100121.08"/>
    <n v="112713.43"/>
    <n v="158121.79"/>
    <n v="168380.32"/>
    <n v="64732.76"/>
    <n v="139500.74"/>
    <n v="146661.01"/>
    <n v="220728.56"/>
    <n v="435583.75"/>
    <n v="0"/>
    <n v="0"/>
    <n v="0"/>
    <n v="0"/>
    <n v="0"/>
    <x v="0"/>
    <x v="0"/>
    <x v="0"/>
    <x v="0"/>
    <x v="0"/>
    <x v="0"/>
    <x v="0"/>
    <x v="0"/>
    <x v="0"/>
    <x v="0"/>
    <n v="0"/>
    <n v="0"/>
    <n v="0"/>
    <n v="0"/>
    <n v="0"/>
    <x v="0"/>
    <x v="0"/>
    <x v="0"/>
    <x v="0"/>
    <x v="0"/>
    <x v="0"/>
    <x v="0"/>
    <x v="0"/>
    <x v="0"/>
    <x v="0"/>
    <n v="11746.36"/>
    <n v="25907.49"/>
    <n v="41126.120000000003"/>
    <n v="87594.78"/>
    <n v="407890.06"/>
    <n v="0"/>
    <n v="0"/>
    <n v="0"/>
    <n v="0"/>
    <n v="0"/>
    <x v="0"/>
    <n v="0"/>
    <n v="0"/>
    <x v="0"/>
    <x v="0"/>
    <x v="0"/>
    <x v="0"/>
    <x v="0"/>
    <x v="0"/>
    <x v="0"/>
    <x v="0"/>
    <x v="0"/>
    <x v="0"/>
    <x v="0"/>
    <x v="0"/>
    <x v="0"/>
    <x v="0"/>
    <x v="0"/>
    <x v="0"/>
    <x v="0"/>
    <x v="0"/>
    <x v="0"/>
    <x v="0"/>
    <x v="0"/>
    <x v="0"/>
    <x v="0"/>
    <x v="0"/>
    <x v="0"/>
    <x v="0"/>
    <x v="0"/>
    <x v="0"/>
    <x v="0"/>
    <n v="2197458.13"/>
    <n v="59413426.310000002"/>
    <n v="-3023606.05"/>
    <n v="62437032.359999999"/>
  </r>
  <r>
    <x v="0"/>
    <x v="12"/>
    <x v="12"/>
    <x v="1"/>
    <x v="1"/>
    <n v="0"/>
    <n v="0"/>
    <n v="0"/>
    <n v="0"/>
    <n v="0"/>
    <n v="0"/>
    <n v="0"/>
    <n v="0"/>
    <n v="0"/>
    <n v="0"/>
    <n v="0"/>
    <n v="0"/>
    <n v="0"/>
    <n v="0"/>
    <n v="0"/>
    <n v="733816.64"/>
    <n v="1344991.15"/>
    <n v="1973157.75"/>
    <n v="14658370.99"/>
    <n v="22200.52"/>
    <n v="26434.87"/>
    <n v="33448.400000000001"/>
    <n v="110539"/>
    <n v="24731.96"/>
    <n v="36322.1"/>
    <n v="37810.49"/>
    <n v="173792.62"/>
    <n v="40152.21"/>
    <n v="69441.03"/>
    <n v="300431.62"/>
    <n v="2105553.56"/>
    <n v="0"/>
    <n v="0"/>
    <n v="744.63"/>
    <n v="12324"/>
    <n v="2071.7399999999998"/>
    <n v="4064.77"/>
    <n v="17106.02"/>
    <n v="70527.34"/>
    <n v="1763407.48"/>
    <n v="2937347.03"/>
    <n v="4384037.84"/>
    <n v="7987329.1900000004"/>
    <n v="21141723"/>
    <n v="83365.78"/>
    <n v="82453.91"/>
    <n v="99034.39"/>
    <n v="140446.19"/>
    <n v="182829.18"/>
    <n v="71016.58"/>
    <n v="136915.65"/>
    <n v="151261.99"/>
    <n v="235775.43"/>
    <n v="452550.13"/>
    <n v="0"/>
    <n v="0"/>
    <n v="0"/>
    <n v="0"/>
    <n v="0"/>
    <x v="0"/>
    <x v="0"/>
    <x v="0"/>
    <x v="0"/>
    <x v="0"/>
    <x v="0"/>
    <x v="0"/>
    <x v="0"/>
    <x v="0"/>
    <x v="0"/>
    <n v="0"/>
    <n v="0"/>
    <n v="0"/>
    <n v="0"/>
    <n v="0"/>
    <x v="0"/>
    <x v="0"/>
    <x v="0"/>
    <x v="0"/>
    <x v="0"/>
    <x v="0"/>
    <x v="0"/>
    <x v="0"/>
    <x v="0"/>
    <x v="0"/>
    <n v="14001.44"/>
    <n v="29022.25"/>
    <n v="45373.919999999998"/>
    <n v="96312.69"/>
    <n v="407686.98"/>
    <n v="0"/>
    <n v="0"/>
    <n v="0"/>
    <n v="0"/>
    <n v="0"/>
    <x v="0"/>
    <n v="0"/>
    <n v="0"/>
    <x v="0"/>
    <x v="0"/>
    <x v="0"/>
    <x v="0"/>
    <x v="0"/>
    <x v="0"/>
    <x v="0"/>
    <x v="0"/>
    <x v="0"/>
    <x v="0"/>
    <x v="0"/>
    <x v="0"/>
    <x v="0"/>
    <x v="0"/>
    <x v="0"/>
    <x v="0"/>
    <x v="0"/>
    <x v="0"/>
    <x v="0"/>
    <x v="0"/>
    <x v="0"/>
    <x v="0"/>
    <x v="0"/>
    <x v="0"/>
    <x v="0"/>
    <x v="0"/>
    <x v="0"/>
    <x v="0"/>
    <x v="0"/>
    <n v="2207767.69"/>
    <n v="59191384.32"/>
    <n v="-3048540.14"/>
    <n v="62239924.460000001"/>
  </r>
  <r>
    <x v="0"/>
    <x v="12"/>
    <x v="12"/>
    <x v="2"/>
    <x v="2"/>
    <n v="0"/>
    <n v="0"/>
    <n v="0"/>
    <n v="0"/>
    <n v="0"/>
    <n v="0"/>
    <n v="0"/>
    <n v="0"/>
    <n v="0"/>
    <n v="0"/>
    <n v="0"/>
    <n v="0"/>
    <n v="0"/>
    <n v="0"/>
    <n v="0"/>
    <n v="735037.9"/>
    <n v="1332425.9099999999"/>
    <n v="1982447.42"/>
    <n v="14698557.869999999"/>
    <n v="25646.84"/>
    <n v="31837.24"/>
    <n v="41204.269999999997"/>
    <n v="142772.39000000001"/>
    <n v="23402.65"/>
    <n v="40120.559999999998"/>
    <n v="37931.370000000003"/>
    <n v="166131.81"/>
    <n v="39162.53"/>
    <n v="67436.44"/>
    <n v="294093.73"/>
    <n v="2029439.32"/>
    <n v="0"/>
    <n v="0"/>
    <n v="0"/>
    <n v="0"/>
    <n v="2506.64"/>
    <n v="5013.12"/>
    <n v="20180.71"/>
    <n v="85041.51"/>
    <n v="1724826.89"/>
    <n v="2948030.04"/>
    <n v="4405186.16"/>
    <n v="8147416.5300000003"/>
    <n v="21150028.09"/>
    <n v="82279.789999999994"/>
    <n v="87907.17"/>
    <n v="108002.7"/>
    <n v="148611.09"/>
    <n v="197458.25"/>
    <n v="74142.429999999993"/>
    <n v="158027.06"/>
    <n v="161184.59"/>
    <n v="254462.65"/>
    <n v="478513.01"/>
    <n v="0"/>
    <n v="0"/>
    <n v="0"/>
    <n v="0"/>
    <n v="0"/>
    <x v="0"/>
    <x v="0"/>
    <x v="0"/>
    <x v="0"/>
    <x v="0"/>
    <x v="0"/>
    <x v="0"/>
    <x v="0"/>
    <x v="0"/>
    <x v="0"/>
    <n v="0"/>
    <n v="0"/>
    <n v="0"/>
    <n v="0"/>
    <n v="0"/>
    <x v="0"/>
    <x v="0"/>
    <x v="0"/>
    <x v="0"/>
    <x v="0"/>
    <x v="0"/>
    <x v="0"/>
    <x v="0"/>
    <x v="0"/>
    <x v="0"/>
    <n v="16352.74"/>
    <n v="34883.31"/>
    <n v="54606.82"/>
    <n v="115133.27"/>
    <n v="488953.44"/>
    <n v="0"/>
    <n v="0"/>
    <n v="0"/>
    <n v="0"/>
    <n v="0"/>
    <x v="0"/>
    <n v="0"/>
    <n v="0"/>
    <x v="0"/>
    <x v="0"/>
    <x v="0"/>
    <x v="0"/>
    <x v="0"/>
    <x v="0"/>
    <x v="0"/>
    <x v="0"/>
    <x v="0"/>
    <x v="0"/>
    <x v="0"/>
    <x v="0"/>
    <x v="0"/>
    <x v="0"/>
    <x v="0"/>
    <x v="0"/>
    <x v="0"/>
    <x v="0"/>
    <x v="0"/>
    <x v="0"/>
    <x v="0"/>
    <x v="0"/>
    <x v="0"/>
    <x v="0"/>
    <x v="0"/>
    <x v="0"/>
    <x v="0"/>
    <x v="0"/>
    <x v="0"/>
    <n v="2372377.85"/>
    <n v="59587856.119999997"/>
    <n v="-3048540.14"/>
    <n v="62636396.259999998"/>
  </r>
  <r>
    <x v="0"/>
    <x v="12"/>
    <x v="12"/>
    <x v="3"/>
    <x v="3"/>
    <n v="0"/>
    <n v="0"/>
    <n v="0"/>
    <n v="0"/>
    <n v="0"/>
    <n v="0"/>
    <n v="0"/>
    <n v="0"/>
    <n v="0"/>
    <n v="0"/>
    <n v="0"/>
    <n v="0"/>
    <n v="0"/>
    <n v="0"/>
    <n v="0"/>
    <n v="709764.94"/>
    <n v="1375658.34"/>
    <n v="1972931.83"/>
    <n v="14494366.42"/>
    <n v="26644.01"/>
    <n v="32375.33"/>
    <n v="43056.84"/>
    <n v="149403.31"/>
    <n v="20478.22"/>
    <n v="38533.199999999997"/>
    <n v="35770.94"/>
    <n v="157892.98000000001"/>
    <n v="37880.32"/>
    <n v="63617.29"/>
    <n v="280800.12"/>
    <n v="1988881.04"/>
    <n v="0"/>
    <n v="0"/>
    <n v="0"/>
    <n v="0"/>
    <n v="2527.4"/>
    <n v="5055.72"/>
    <n v="20631.84"/>
    <n v="84527.02"/>
    <n v="1720742.13"/>
    <n v="2913050.58"/>
    <n v="4372066.13"/>
    <n v="8047901.8399999999"/>
    <n v="21324719.82"/>
    <n v="108498.71"/>
    <n v="116501.62"/>
    <n v="153761.28"/>
    <n v="231746.88"/>
    <n v="232335.32"/>
    <n v="80778.27"/>
    <n v="174255.66"/>
    <n v="170108.16"/>
    <n v="269956.42"/>
    <n v="541630.59"/>
    <n v="0"/>
    <n v="0"/>
    <n v="0"/>
    <n v="0"/>
    <n v="0"/>
    <x v="0"/>
    <x v="0"/>
    <x v="0"/>
    <x v="0"/>
    <x v="0"/>
    <x v="0"/>
    <x v="0"/>
    <x v="0"/>
    <x v="0"/>
    <x v="0"/>
    <n v="0"/>
    <n v="0"/>
    <n v="0"/>
    <n v="0"/>
    <n v="0"/>
    <x v="0"/>
    <x v="0"/>
    <x v="0"/>
    <x v="0"/>
    <x v="0"/>
    <x v="0"/>
    <x v="0"/>
    <x v="0"/>
    <x v="0"/>
    <x v="0"/>
    <n v="19019.22"/>
    <n v="40585.75"/>
    <n v="63699.11"/>
    <n v="133221.26999999999"/>
    <n v="553311.54"/>
    <n v="0"/>
    <n v="0"/>
    <n v="0"/>
    <n v="0"/>
    <n v="0"/>
    <x v="0"/>
    <n v="0"/>
    <n v="0"/>
    <x v="0"/>
    <x v="0"/>
    <x v="0"/>
    <x v="0"/>
    <x v="0"/>
    <x v="0"/>
    <x v="0"/>
    <x v="0"/>
    <x v="0"/>
    <x v="0"/>
    <x v="0"/>
    <x v="0"/>
    <x v="0"/>
    <x v="0"/>
    <x v="0"/>
    <x v="0"/>
    <x v="0"/>
    <x v="0"/>
    <x v="0"/>
    <x v="0"/>
    <x v="0"/>
    <x v="0"/>
    <x v="0"/>
    <x v="0"/>
    <x v="0"/>
    <x v="0"/>
    <x v="0"/>
    <x v="0"/>
    <x v="0"/>
    <n v="2696469.72"/>
    <n v="59730558.789999999"/>
    <n v="-3078128.62"/>
    <n v="62808687.409999996"/>
  </r>
  <r>
    <x v="0"/>
    <x v="12"/>
    <x v="12"/>
    <x v="4"/>
    <x v="4"/>
    <n v="0"/>
    <n v="0"/>
    <n v="0"/>
    <n v="0"/>
    <n v="0"/>
    <n v="0"/>
    <n v="0"/>
    <n v="0"/>
    <n v="0"/>
    <n v="0"/>
    <n v="0"/>
    <n v="0"/>
    <n v="0"/>
    <n v="0"/>
    <n v="0"/>
    <n v="730690.64"/>
    <n v="1364813.49"/>
    <n v="1953316.85"/>
    <n v="14137801.279999999"/>
    <n v="28990.46"/>
    <n v="39352.449999999997"/>
    <n v="50553.36"/>
    <n v="178433.77"/>
    <n v="27266.31"/>
    <n v="42290.92"/>
    <n v="42174.3"/>
    <n v="168706.89"/>
    <n v="37255.78"/>
    <n v="62373.919999999998"/>
    <n v="280956.43"/>
    <n v="1977731.4"/>
    <n v="0"/>
    <n v="0"/>
    <n v="0"/>
    <n v="0"/>
    <n v="2548.75"/>
    <n v="5098.4399999999996"/>
    <n v="21084.22"/>
    <n v="84010.57"/>
    <n v="1700306.18"/>
    <n v="2888034.82"/>
    <n v="4328126.6900000004"/>
    <n v="8021865.8300000001"/>
    <n v="21109892.73"/>
    <n v="114341.57"/>
    <n v="131047.98"/>
    <n v="177638.5"/>
    <n v="261003.71"/>
    <n v="243191.6"/>
    <n v="86617.25"/>
    <n v="189644.58"/>
    <n v="184910.38"/>
    <n v="275333.03000000003"/>
    <n v="545063.28"/>
    <n v="0"/>
    <n v="0"/>
    <n v="0"/>
    <n v="0"/>
    <n v="0"/>
    <x v="0"/>
    <x v="0"/>
    <x v="0"/>
    <x v="0"/>
    <x v="0"/>
    <x v="0"/>
    <x v="0"/>
    <x v="0"/>
    <x v="0"/>
    <x v="0"/>
    <n v="0"/>
    <n v="0"/>
    <n v="0"/>
    <n v="0"/>
    <n v="0"/>
    <x v="0"/>
    <x v="0"/>
    <x v="0"/>
    <x v="0"/>
    <x v="0"/>
    <x v="0"/>
    <x v="0"/>
    <x v="0"/>
    <x v="0"/>
    <x v="0"/>
    <n v="21566.41"/>
    <n v="44501.57"/>
    <n v="69963.259999999995"/>
    <n v="145383.69"/>
    <n v="612302.91"/>
    <n v="0"/>
    <n v="0"/>
    <n v="0"/>
    <n v="0"/>
    <n v="0"/>
    <x v="0"/>
    <n v="0"/>
    <n v="0"/>
    <x v="0"/>
    <x v="0"/>
    <x v="0"/>
    <x v="0"/>
    <x v="0"/>
    <x v="0"/>
    <x v="0"/>
    <x v="0"/>
    <x v="0"/>
    <x v="0"/>
    <x v="0"/>
    <x v="0"/>
    <x v="0"/>
    <x v="0"/>
    <x v="0"/>
    <x v="0"/>
    <x v="0"/>
    <x v="0"/>
    <x v="0"/>
    <x v="0"/>
    <x v="0"/>
    <x v="0"/>
    <x v="0"/>
    <x v="0"/>
    <x v="0"/>
    <x v="0"/>
    <x v="0"/>
    <x v="0"/>
    <x v="0"/>
    <n v="2899302.32"/>
    <n v="59176511.310000002"/>
    <n v="-3209674.89"/>
    <n v="62386186.200000003"/>
  </r>
  <r>
    <x v="0"/>
    <x v="12"/>
    <x v="12"/>
    <x v="5"/>
    <x v="5"/>
    <n v="0"/>
    <n v="0"/>
    <n v="0"/>
    <n v="0"/>
    <n v="0"/>
    <n v="0"/>
    <n v="0"/>
    <n v="0"/>
    <n v="0"/>
    <n v="0"/>
    <n v="0"/>
    <n v="0"/>
    <n v="0"/>
    <n v="0"/>
    <n v="0"/>
    <n v="762884.39"/>
    <n v="1340250.58"/>
    <n v="1978984.04"/>
    <n v="14109772.640000001"/>
    <n v="22756.29"/>
    <n v="20182.330000000002"/>
    <n v="23117.02"/>
    <n v="67384.639999999999"/>
    <n v="10706.57"/>
    <n v="40373.230000000003"/>
    <n v="43294.39"/>
    <n v="166748.5"/>
    <n v="38084.6"/>
    <n v="65265.35"/>
    <n v="280369.31"/>
    <n v="1991274.57"/>
    <n v="0"/>
    <n v="0"/>
    <n v="0"/>
    <n v="0"/>
    <n v="2570.08"/>
    <n v="5141.28"/>
    <n v="21543.49"/>
    <n v="83487.13"/>
    <n v="1749388.68"/>
    <n v="2919114.54"/>
    <n v="4392604.01"/>
    <n v="8035536.5199999996"/>
    <n v="20930364.57"/>
    <n v="105743.3"/>
    <n v="100701.93"/>
    <n v="116579.15"/>
    <n v="165663.93"/>
    <n v="127081.83"/>
    <n v="52407.92"/>
    <n v="189661.01"/>
    <n v="208914.66"/>
    <n v="293636.40000000002"/>
    <n v="480210.99"/>
    <n v="0"/>
    <n v="0"/>
    <n v="0"/>
    <n v="0"/>
    <n v="0"/>
    <x v="0"/>
    <x v="0"/>
    <x v="0"/>
    <x v="0"/>
    <x v="0"/>
    <x v="0"/>
    <x v="0"/>
    <x v="0"/>
    <x v="0"/>
    <x v="0"/>
    <n v="0"/>
    <n v="0"/>
    <n v="0"/>
    <n v="0"/>
    <n v="0"/>
    <x v="0"/>
    <x v="0"/>
    <x v="0"/>
    <x v="0"/>
    <x v="0"/>
    <x v="0"/>
    <x v="0"/>
    <x v="0"/>
    <x v="0"/>
    <x v="0"/>
    <n v="24378.69"/>
    <n v="50214.81"/>
    <n v="78844.160000000003"/>
    <n v="162788.01"/>
    <n v="688012.6"/>
    <n v="0"/>
    <n v="0"/>
    <n v="0"/>
    <n v="0"/>
    <n v="0"/>
    <x v="0"/>
    <n v="0"/>
    <n v="0"/>
    <x v="0"/>
    <x v="0"/>
    <x v="0"/>
    <x v="0"/>
    <x v="0"/>
    <x v="0"/>
    <x v="0"/>
    <x v="0"/>
    <x v="0"/>
    <x v="0"/>
    <x v="0"/>
    <x v="0"/>
    <x v="0"/>
    <x v="0"/>
    <x v="0"/>
    <x v="0"/>
    <x v="0"/>
    <x v="0"/>
    <x v="0"/>
    <x v="0"/>
    <x v="0"/>
    <x v="0"/>
    <x v="0"/>
    <x v="0"/>
    <x v="0"/>
    <x v="0"/>
    <x v="0"/>
    <x v="0"/>
    <x v="0"/>
    <n v="2347906.0699999998"/>
    <n v="58932023.859999999"/>
    <n v="-3014014.28"/>
    <n v="61946038.140000001"/>
  </r>
  <r>
    <x v="0"/>
    <x v="12"/>
    <x v="12"/>
    <x v="6"/>
    <x v="6"/>
    <n v="0"/>
    <n v="0"/>
    <n v="0"/>
    <n v="0"/>
    <n v="0"/>
    <n v="0"/>
    <n v="0"/>
    <n v="0"/>
    <n v="0"/>
    <n v="0"/>
    <n v="0"/>
    <n v="0"/>
    <n v="0"/>
    <n v="0"/>
    <n v="0"/>
    <n v="742488.36"/>
    <n v="1374118.9"/>
    <n v="1965022.81"/>
    <n v="14004452.4"/>
    <n v="23182.76"/>
    <n v="21489"/>
    <n v="24739.56"/>
    <n v="92546.99"/>
    <n v="9248.09"/>
    <n v="37425.74"/>
    <n v="42472.78"/>
    <n v="152820.10999999999"/>
    <n v="37885.82"/>
    <n v="64173.04"/>
    <n v="280225.19"/>
    <n v="2016524.28"/>
    <n v="443.43"/>
    <n v="670.11"/>
    <n v="2132.0100000000002"/>
    <n v="34904.879999999997"/>
    <n v="1687.69"/>
    <n v="3592.7"/>
    <n v="13853.09"/>
    <n v="52600.29"/>
    <n v="1812139.45"/>
    <n v="2961211.19"/>
    <n v="4427615.16"/>
    <n v="8048603.0899999999"/>
    <n v="20647305.530000001"/>
    <n v="100708.43"/>
    <n v="94474.72"/>
    <n v="110888.98"/>
    <n v="161027.63"/>
    <n v="150871.56"/>
    <n v="47498.35"/>
    <n v="180243.98"/>
    <n v="210641.04"/>
    <n v="277112.2"/>
    <n v="433282.6"/>
    <n v="0"/>
    <n v="0"/>
    <n v="0"/>
    <n v="0"/>
    <n v="0"/>
    <x v="0"/>
    <x v="0"/>
    <x v="0"/>
    <x v="0"/>
    <x v="0"/>
    <x v="0"/>
    <x v="0"/>
    <x v="0"/>
    <x v="0"/>
    <x v="0"/>
    <n v="0"/>
    <n v="0"/>
    <n v="0"/>
    <n v="0"/>
    <n v="0"/>
    <x v="0"/>
    <x v="0"/>
    <x v="0"/>
    <x v="0"/>
    <x v="0"/>
    <x v="0"/>
    <x v="0"/>
    <x v="0"/>
    <x v="0"/>
    <x v="0"/>
    <n v="27087.05"/>
    <n v="56659.23"/>
    <n v="89489.31"/>
    <n v="185275.59"/>
    <n v="841360.2"/>
    <n v="246.77"/>
    <n v="252.89"/>
    <n v="391.15"/>
    <n v="826.81"/>
    <n v="2353.65"/>
    <x v="0"/>
    <n v="121.13"/>
    <n v="0"/>
    <x v="0"/>
    <x v="0"/>
    <x v="0"/>
    <x v="0"/>
    <x v="0"/>
    <x v="0"/>
    <x v="0"/>
    <x v="0"/>
    <x v="0"/>
    <x v="0"/>
    <x v="0"/>
    <x v="0"/>
    <x v="0"/>
    <x v="0"/>
    <x v="0"/>
    <x v="0"/>
    <x v="0"/>
    <x v="0"/>
    <x v="0"/>
    <x v="0"/>
    <x v="0"/>
    <x v="0"/>
    <x v="0"/>
    <x v="0"/>
    <x v="0"/>
    <x v="0"/>
    <x v="0"/>
    <x v="0"/>
    <x v="0"/>
    <n v="2284751.12"/>
    <n v="58901452.469999999"/>
    <n v="-2964935.25"/>
    <n v="61866387.719999999"/>
  </r>
  <r>
    <x v="0"/>
    <x v="12"/>
    <x v="12"/>
    <x v="7"/>
    <x v="7"/>
    <n v="0"/>
    <n v="0"/>
    <n v="0"/>
    <n v="0"/>
    <n v="0"/>
    <n v="0"/>
    <n v="0"/>
    <n v="0"/>
    <n v="0"/>
    <n v="0"/>
    <n v="0"/>
    <n v="0"/>
    <n v="0"/>
    <n v="0"/>
    <n v="0"/>
    <n v="755565.03"/>
    <n v="1356144.77"/>
    <n v="1979293.73"/>
    <n v="13792288.279999999"/>
    <n v="24359.69"/>
    <n v="22559.83"/>
    <n v="27477.32"/>
    <n v="93107.36"/>
    <n v="8245.08"/>
    <n v="36445.620000000003"/>
    <n v="39989.160000000003"/>
    <n v="150490.45000000001"/>
    <n v="36379.800000000003"/>
    <n v="64565.75"/>
    <n v="283586.34999999998"/>
    <n v="2044938.01"/>
    <n v="0"/>
    <n v="0"/>
    <n v="0"/>
    <n v="0"/>
    <n v="2150.35"/>
    <n v="4300.67"/>
    <n v="16626.580000000002"/>
    <n v="86806.6"/>
    <n v="1788252.45"/>
    <n v="2974190.37"/>
    <n v="4436956.49"/>
    <n v="8086510.0899999999"/>
    <n v="20816031.300000001"/>
    <n v="112200.54"/>
    <n v="104890.96"/>
    <n v="119158.07"/>
    <n v="173766.79"/>
    <n v="161287.91"/>
    <n v="45731.59"/>
    <n v="179322.61"/>
    <n v="212449.11"/>
    <n v="283293.03999999998"/>
    <n v="430478.9"/>
    <n v="0"/>
    <n v="0"/>
    <n v="0"/>
    <n v="0"/>
    <n v="0"/>
    <x v="0"/>
    <x v="0"/>
    <x v="0"/>
    <x v="0"/>
    <x v="0"/>
    <x v="0"/>
    <x v="0"/>
    <x v="0"/>
    <x v="0"/>
    <x v="0"/>
    <n v="0"/>
    <n v="0"/>
    <n v="0"/>
    <n v="0"/>
    <n v="0"/>
    <x v="0"/>
    <x v="0"/>
    <x v="0"/>
    <x v="0"/>
    <x v="0"/>
    <x v="0"/>
    <x v="0"/>
    <x v="0"/>
    <x v="0"/>
    <x v="0"/>
    <n v="28483.5"/>
    <n v="62417.07"/>
    <n v="99347.51"/>
    <n v="204539.64"/>
    <n v="940090.69"/>
    <n v="524.59"/>
    <n v="537.61"/>
    <n v="831.53"/>
    <n v="1757.7"/>
    <n v="2369.9499999999998"/>
    <x v="0"/>
    <n v="378.65"/>
    <n v="0"/>
    <x v="0"/>
    <x v="0"/>
    <x v="0"/>
    <x v="0"/>
    <x v="0"/>
    <x v="0"/>
    <x v="0"/>
    <x v="0"/>
    <x v="0"/>
    <x v="0"/>
    <x v="0"/>
    <x v="0"/>
    <x v="0"/>
    <x v="0"/>
    <x v="0"/>
    <x v="0"/>
    <x v="0"/>
    <x v="0"/>
    <x v="0"/>
    <x v="0"/>
    <x v="0"/>
    <x v="0"/>
    <x v="0"/>
    <x v="0"/>
    <x v="0"/>
    <x v="0"/>
    <x v="0"/>
    <x v="0"/>
    <x v="0"/>
    <n v="2341538.2599999998"/>
    <n v="58979892.57"/>
    <n v="-3111226.52"/>
    <n v="62091119.090000004"/>
  </r>
  <r>
    <x v="0"/>
    <x v="12"/>
    <x v="12"/>
    <x v="8"/>
    <x v="8"/>
    <n v="0"/>
    <n v="0"/>
    <n v="0"/>
    <n v="0"/>
    <n v="0"/>
    <n v="0"/>
    <n v="0"/>
    <n v="0"/>
    <n v="0"/>
    <n v="0"/>
    <n v="0"/>
    <n v="0"/>
    <n v="0"/>
    <n v="0"/>
    <n v="0"/>
    <n v="745487.01"/>
    <n v="1388342.08"/>
    <n v="1982451.19"/>
    <n v="13601476.42"/>
    <n v="25612.6"/>
    <n v="23110.87"/>
    <n v="28904.5"/>
    <n v="99313.83"/>
    <n v="7799.3"/>
    <n v="37165.18"/>
    <n v="37352.94"/>
    <n v="148363.56"/>
    <n v="35416.17"/>
    <n v="64871.28"/>
    <n v="282387"/>
    <n v="2129473.65"/>
    <n v="0"/>
    <n v="0"/>
    <n v="0"/>
    <n v="0"/>
    <n v="2169.0500000000002"/>
    <n v="4338.87"/>
    <n v="17274.439999999999"/>
    <n v="86101.84"/>
    <n v="1830899.28"/>
    <n v="3005303.46"/>
    <n v="4549722.57"/>
    <n v="8042624.9800000004"/>
    <n v="21234458.109999999"/>
    <n v="118586.67"/>
    <n v="107076.71"/>
    <n v="123877.16"/>
    <n v="179939.96"/>
    <n v="181437.88"/>
    <n v="38643.61"/>
    <n v="170019.89"/>
    <n v="193867.95"/>
    <n v="258474.54"/>
    <n v="415047.44"/>
    <n v="0"/>
    <n v="0"/>
    <n v="0"/>
    <n v="0"/>
    <n v="0"/>
    <x v="0"/>
    <x v="0"/>
    <x v="0"/>
    <x v="0"/>
    <x v="0"/>
    <x v="0"/>
    <x v="0"/>
    <x v="0"/>
    <x v="0"/>
    <x v="0"/>
    <n v="0"/>
    <n v="0"/>
    <n v="0"/>
    <n v="0"/>
    <n v="0"/>
    <x v="0"/>
    <x v="0"/>
    <x v="0"/>
    <x v="0"/>
    <x v="0"/>
    <x v="0"/>
    <x v="0"/>
    <x v="0"/>
    <x v="0"/>
    <x v="0"/>
    <n v="32125.63"/>
    <n v="64914.06"/>
    <n v="103693.96"/>
    <n v="213978.63"/>
    <n v="961009.48"/>
    <n v="801.6"/>
    <n v="821.95"/>
    <n v="1272.21"/>
    <n v="2692.58"/>
    <n v="6526.17"/>
    <x v="0"/>
    <n v="528.22"/>
    <n v="0"/>
    <x v="0"/>
    <x v="0"/>
    <x v="0"/>
    <x v="0"/>
    <x v="0"/>
    <x v="0"/>
    <x v="0"/>
    <x v="0"/>
    <x v="0"/>
    <x v="0"/>
    <x v="0"/>
    <x v="0"/>
    <x v="0"/>
    <x v="0"/>
    <x v="0"/>
    <x v="0"/>
    <x v="0"/>
    <x v="0"/>
    <x v="0"/>
    <x v="0"/>
    <x v="0"/>
    <x v="0"/>
    <x v="0"/>
    <x v="0"/>
    <x v="0"/>
    <x v="0"/>
    <x v="0"/>
    <x v="0"/>
    <x v="0"/>
    <n v="2317121.52"/>
    <n v="59514239.25"/>
    <n v="-3071517.23"/>
    <n v="62585756.479999997"/>
  </r>
  <r>
    <x v="0"/>
    <x v="12"/>
    <x v="12"/>
    <x v="9"/>
    <x v="9"/>
    <n v="0"/>
    <n v="0"/>
    <n v="0"/>
    <n v="0"/>
    <n v="0"/>
    <n v="0"/>
    <n v="0"/>
    <n v="0"/>
    <n v="0"/>
    <n v="0"/>
    <n v="0"/>
    <n v="0"/>
    <n v="0"/>
    <n v="0"/>
    <n v="0"/>
    <n v="731447.92"/>
    <n v="1392589.84"/>
    <n v="1961226"/>
    <n v="13361559.23"/>
    <n v="29273.84"/>
    <n v="26280.73"/>
    <n v="31661.56"/>
    <n v="99636.84"/>
    <n v="7725.49"/>
    <n v="38144.57"/>
    <n v="37023.86"/>
    <n v="154730.10999999999"/>
    <n v="34778.339999999997"/>
    <n v="63012.88"/>
    <n v="276626.03000000003"/>
    <n v="2071443.96"/>
    <n v="0"/>
    <n v="0"/>
    <n v="0"/>
    <n v="0"/>
    <n v="3305.59"/>
    <n v="6609.73"/>
    <n v="23304.13"/>
    <n v="111169.81"/>
    <n v="1840496.92"/>
    <n v="2985717.68"/>
    <n v="4502449.43"/>
    <n v="8079060.4800000004"/>
    <n v="21246524.73"/>
    <n v="115841.79"/>
    <n v="105862.6"/>
    <n v="119359.7"/>
    <n v="171722.8"/>
    <n v="248247.4"/>
    <n v="46841.27"/>
    <n v="182705.71"/>
    <n v="200727.44"/>
    <n v="274532.58"/>
    <n v="435599.3"/>
    <n v="0"/>
    <n v="0"/>
    <n v="0"/>
    <n v="0"/>
    <n v="0"/>
    <x v="0"/>
    <x v="0"/>
    <x v="0"/>
    <x v="0"/>
    <x v="0"/>
    <x v="0"/>
    <x v="0"/>
    <x v="0"/>
    <x v="0"/>
    <x v="0"/>
    <n v="0"/>
    <n v="0"/>
    <n v="0"/>
    <n v="0"/>
    <n v="0"/>
    <x v="0"/>
    <x v="0"/>
    <x v="0"/>
    <x v="0"/>
    <x v="0"/>
    <x v="0"/>
    <x v="0"/>
    <x v="0"/>
    <x v="0"/>
    <x v="0"/>
    <n v="33487.42"/>
    <n v="70812.289999999994"/>
    <n v="111479.65"/>
    <n v="230764.32"/>
    <n v="1058604.52"/>
    <n v="420.11"/>
    <n v="431.24"/>
    <n v="668.41"/>
    <n v="1085.28"/>
    <n v="4302.6099999999997"/>
    <x v="0"/>
    <n v="338.62"/>
    <n v="0"/>
    <x v="0"/>
    <x v="0"/>
    <x v="0"/>
    <x v="0"/>
    <x v="0"/>
    <x v="0"/>
    <x v="0"/>
    <x v="0"/>
    <x v="0"/>
    <x v="0"/>
    <x v="0"/>
    <x v="0"/>
    <x v="0"/>
    <x v="0"/>
    <x v="0"/>
    <x v="0"/>
    <x v="0"/>
    <x v="0"/>
    <x v="0"/>
    <x v="0"/>
    <x v="0"/>
    <x v="0"/>
    <x v="0"/>
    <x v="0"/>
    <x v="0"/>
    <x v="0"/>
    <x v="0"/>
    <x v="0"/>
    <x v="0"/>
    <n v="2477553.12"/>
    <n v="59427997.399999999"/>
    <n v="-3101637.36"/>
    <n v="62529634.759999998"/>
  </r>
  <r>
    <x v="0"/>
    <x v="12"/>
    <x v="12"/>
    <x v="10"/>
    <x v="10"/>
    <n v="0"/>
    <n v="0"/>
    <n v="0"/>
    <n v="0"/>
    <n v="0"/>
    <n v="0"/>
    <n v="0"/>
    <n v="0"/>
    <n v="0"/>
    <n v="0"/>
    <n v="0"/>
    <n v="0"/>
    <n v="0"/>
    <n v="0"/>
    <n v="0"/>
    <n v="780641.43"/>
    <n v="1372292.95"/>
    <n v="1905845.03"/>
    <n v="13219191.640000001"/>
    <n v="29246.720000000001"/>
    <n v="27447.42"/>
    <n v="30339.83"/>
    <n v="103535.94"/>
    <n v="8520.16"/>
    <n v="42717.38"/>
    <n v="37601.360000000001"/>
    <n v="159280.78"/>
    <n v="34544.44"/>
    <n v="65122.71"/>
    <n v="278032.61"/>
    <n v="2195845.27"/>
    <n v="0"/>
    <n v="0"/>
    <n v="0"/>
    <n v="0"/>
    <n v="2581.6799999999998"/>
    <n v="5162.25"/>
    <n v="17761.73"/>
    <n v="91502.94"/>
    <n v="1829242.89"/>
    <n v="3138977.83"/>
    <n v="4385916.18"/>
    <n v="8092926.5800000001"/>
    <n v="21996262.59"/>
    <n v="98942.37"/>
    <n v="89915.46"/>
    <n v="97705.14"/>
    <n v="139673.42000000001"/>
    <n v="186286.59"/>
    <n v="47740.02"/>
    <n v="176010.59"/>
    <n v="191585.54"/>
    <n v="265834.93"/>
    <n v="420756.54"/>
    <n v="0"/>
    <n v="0"/>
    <n v="0"/>
    <n v="0"/>
    <n v="0"/>
    <x v="0"/>
    <x v="0"/>
    <x v="0"/>
    <x v="0"/>
    <x v="0"/>
    <x v="0"/>
    <x v="0"/>
    <x v="0"/>
    <x v="0"/>
    <x v="0"/>
    <n v="0"/>
    <n v="0"/>
    <n v="0"/>
    <n v="0"/>
    <n v="0"/>
    <x v="0"/>
    <x v="0"/>
    <x v="0"/>
    <x v="0"/>
    <x v="0"/>
    <x v="0"/>
    <x v="0"/>
    <x v="0"/>
    <x v="0"/>
    <x v="0"/>
    <n v="37492.75"/>
    <n v="79455.97"/>
    <n v="120162.01"/>
    <n v="250757.11"/>
    <n v="1156106.0900000001"/>
    <n v="425.64"/>
    <n v="436.93"/>
    <n v="677.2"/>
    <n v="1017.98"/>
    <n v="4141.22"/>
    <x v="0"/>
    <n v="414.66"/>
    <n v="0"/>
    <x v="0"/>
    <x v="0"/>
    <x v="0"/>
    <x v="0"/>
    <x v="0"/>
    <x v="0"/>
    <x v="0"/>
    <x v="0"/>
    <x v="0"/>
    <x v="0"/>
    <x v="0"/>
    <x v="0"/>
    <x v="0"/>
    <x v="0"/>
    <x v="0"/>
    <x v="0"/>
    <x v="0"/>
    <x v="0"/>
    <x v="0"/>
    <x v="0"/>
    <x v="0"/>
    <x v="0"/>
    <x v="0"/>
    <x v="0"/>
    <x v="0"/>
    <x v="0"/>
    <x v="0"/>
    <x v="0"/>
    <x v="0"/>
    <n v="2277262.42"/>
    <n v="60138042.939999998"/>
    <n v="-3078035.56"/>
    <n v="63216078.5"/>
  </r>
  <r>
    <x v="0"/>
    <x v="12"/>
    <x v="12"/>
    <x v="11"/>
    <x v="11"/>
    <n v="0"/>
    <n v="0"/>
    <n v="0"/>
    <n v="0"/>
    <n v="0"/>
    <n v="0"/>
    <n v="0"/>
    <n v="0"/>
    <n v="0"/>
    <n v="0"/>
    <n v="0"/>
    <n v="0"/>
    <n v="0"/>
    <n v="0"/>
    <n v="0"/>
    <n v="706344.48"/>
    <n v="1386211.13"/>
    <n v="1901868"/>
    <n v="13400250.119999999"/>
    <n v="22162.81"/>
    <n v="19927.21"/>
    <n v="22118.29"/>
    <n v="60288.37"/>
    <n v="5914.32"/>
    <n v="31263.59"/>
    <n v="31666.41"/>
    <n v="147694.87"/>
    <n v="36643.360000000001"/>
    <n v="68858.3"/>
    <n v="294525.28000000003"/>
    <n v="2363369.9"/>
    <n v="250"/>
    <n v="375"/>
    <n v="1125"/>
    <n v="4125"/>
    <n v="1982.17"/>
    <n v="4093.41"/>
    <n v="13341.02"/>
    <n v="78354.87"/>
    <n v="1801180"/>
    <n v="3146903.9"/>
    <n v="4376256.72"/>
    <n v="8115856.7599999998"/>
    <n v="22412757.289999999"/>
    <n v="82058.539999999994"/>
    <n v="74705.320000000007"/>
    <n v="79114.740000000005"/>
    <n v="113224.46"/>
    <n v="130208.87"/>
    <n v="42705.45"/>
    <n v="154152.87"/>
    <n v="183852.34"/>
    <n v="262485.38"/>
    <n v="415751.51"/>
    <n v="0"/>
    <n v="0"/>
    <n v="0"/>
    <n v="0"/>
    <n v="0"/>
    <x v="0"/>
    <x v="0"/>
    <x v="0"/>
    <x v="0"/>
    <x v="0"/>
    <x v="0"/>
    <x v="0"/>
    <x v="0"/>
    <x v="0"/>
    <x v="0"/>
    <n v="0"/>
    <n v="0"/>
    <n v="0"/>
    <n v="0"/>
    <n v="0"/>
    <x v="0"/>
    <x v="0"/>
    <x v="0"/>
    <x v="0"/>
    <x v="0"/>
    <x v="0"/>
    <x v="0"/>
    <x v="0"/>
    <x v="0"/>
    <x v="0"/>
    <n v="38893.51"/>
    <n v="81987.570000000007"/>
    <n v="125346.1"/>
    <n v="259661.16"/>
    <n v="1241605.07"/>
    <n v="262.36"/>
    <n v="268.87"/>
    <n v="415.88"/>
    <n v="879.07"/>
    <n v="1616.64"/>
    <x v="0"/>
    <n v="128.79"/>
    <n v="0"/>
    <x v="0"/>
    <x v="0"/>
    <x v="0"/>
    <x v="0"/>
    <x v="0"/>
    <x v="0"/>
    <x v="0"/>
    <x v="0"/>
    <x v="0"/>
    <x v="0"/>
    <x v="0"/>
    <x v="0"/>
    <x v="0"/>
    <x v="0"/>
    <x v="0"/>
    <x v="0"/>
    <x v="0"/>
    <x v="0"/>
    <x v="0"/>
    <x v="0"/>
    <x v="0"/>
    <x v="0"/>
    <x v="0"/>
    <x v="0"/>
    <x v="0"/>
    <x v="0"/>
    <x v="0"/>
    <x v="0"/>
    <x v="0"/>
    <n v="1986513.43"/>
    <n v="60674921.729999997"/>
    <n v="-3070110.35"/>
    <n v="63745032.079999998"/>
  </r>
  <r>
    <x v="0"/>
    <x v="13"/>
    <x v="13"/>
    <x v="0"/>
    <x v="0"/>
    <n v="56047.96"/>
    <n v="88657.41"/>
    <n v="141140.35999999999"/>
    <n v="282432.49"/>
    <n v="1228744.1200000001"/>
    <n v="13976"/>
    <n v="13341.49"/>
    <n v="18065.099999999999"/>
    <n v="27778.04"/>
    <n v="96740.15"/>
    <n v="9642.61"/>
    <n v="9354.86"/>
    <n v="1242.5999999999999"/>
    <n v="2386.42"/>
    <n v="823.2"/>
    <n v="1474091.07"/>
    <n v="2727831.29"/>
    <n v="3969219.01"/>
    <n v="28298928.030000001"/>
    <n v="100426.91"/>
    <n v="163042.72"/>
    <n v="222218.37"/>
    <n v="976968.72"/>
    <n v="73659.009999999995"/>
    <n v="136402.01"/>
    <n v="111795.76"/>
    <n v="648743.42000000004"/>
    <n v="157525.18"/>
    <n v="240636.84"/>
    <n v="1110088.8899999999"/>
    <n v="7980373.1699999999"/>
    <n v="21976.07"/>
    <n v="12980.03"/>
    <n v="45834.87"/>
    <n v="206900.78"/>
    <n v="0"/>
    <n v="27750.12"/>
    <n v="31180.51"/>
    <n v="11948.73"/>
    <n v="1543159.76"/>
    <n v="2864409.9"/>
    <n v="4350385.75"/>
    <n v="8355894.25"/>
    <n v="23261050.780000001"/>
    <n v="245497.42"/>
    <n v="357152.9"/>
    <n v="523836.33"/>
    <n v="918076.91"/>
    <n v="1717937.3"/>
    <n v="137572.71"/>
    <n v="395431.53"/>
    <n v="306963.03999999998"/>
    <n v="487517.82"/>
    <n v="683752.87"/>
    <n v="0"/>
    <n v="0"/>
    <n v="0"/>
    <n v="0"/>
    <n v="0"/>
    <x v="0"/>
    <x v="0"/>
    <x v="0"/>
    <x v="0"/>
    <x v="0"/>
    <x v="0"/>
    <x v="0"/>
    <x v="0"/>
    <x v="0"/>
    <x v="0"/>
    <n v="0"/>
    <n v="0"/>
    <n v="0"/>
    <n v="0"/>
    <n v="0"/>
    <x v="0"/>
    <x v="0"/>
    <x v="0"/>
    <x v="0"/>
    <x v="0"/>
    <x v="0"/>
    <x v="0"/>
    <x v="0"/>
    <x v="0"/>
    <x v="0"/>
    <n v="7169.23"/>
    <n v="20181.39"/>
    <n v="32975.58"/>
    <n v="68940.59"/>
    <n v="398385.48"/>
    <n v="0"/>
    <n v="0"/>
    <n v="0"/>
    <n v="0"/>
    <n v="0"/>
    <x v="0"/>
    <n v="0"/>
    <n v="0"/>
    <x v="0"/>
    <x v="0"/>
    <x v="0"/>
    <x v="0"/>
    <x v="0"/>
    <x v="0"/>
    <x v="0"/>
    <x v="0"/>
    <x v="0"/>
    <x v="0"/>
    <x v="0"/>
    <x v="0"/>
    <x v="0"/>
    <x v="0"/>
    <x v="0"/>
    <x v="0"/>
    <x v="0"/>
    <x v="0"/>
    <x v="0"/>
    <x v="0"/>
    <x v="0"/>
    <x v="0"/>
    <x v="0"/>
    <x v="0"/>
    <x v="0"/>
    <x v="0"/>
    <x v="0"/>
    <x v="0"/>
    <x v="0"/>
    <n v="8758917.3300000001"/>
    <n v="89335815.810000002"/>
    <n v="-8081370.0499999998"/>
    <n v="97417185.859999999"/>
  </r>
  <r>
    <x v="0"/>
    <x v="13"/>
    <x v="13"/>
    <x v="1"/>
    <x v="1"/>
    <n v="52742.91"/>
    <n v="94534.81"/>
    <n v="142206.57999999999"/>
    <n v="364505.63"/>
    <n v="1244404.57"/>
    <n v="10906.32"/>
    <n v="11059.77"/>
    <n v="11324.66"/>
    <n v="20874.21"/>
    <n v="46989.04"/>
    <n v="0"/>
    <n v="16926.02"/>
    <n v="2300.58"/>
    <n v="2411.89"/>
    <n v="1212.97"/>
    <n v="1349832.37"/>
    <n v="2731802.53"/>
    <n v="3876330.89"/>
    <n v="27644246.789999999"/>
    <n v="102707.2"/>
    <n v="160328.75"/>
    <n v="211808.57"/>
    <n v="901276.84"/>
    <n v="112091.22"/>
    <n v="129531.34"/>
    <n v="133016.81"/>
    <n v="593518.81999999995"/>
    <n v="153082.43"/>
    <n v="246727.38"/>
    <n v="1083588.08"/>
    <n v="7879764.3200000003"/>
    <n v="22358.91"/>
    <n v="13378.14"/>
    <n v="47090.99"/>
    <n v="131543.81"/>
    <n v="0"/>
    <n v="26470.61"/>
    <n v="32361.49"/>
    <n v="13091.37"/>
    <n v="1579336.58"/>
    <n v="2912587.85"/>
    <n v="4288255.43"/>
    <n v="8312933.9100000001"/>
    <n v="22761217.210000001"/>
    <n v="234408.01"/>
    <n v="338551.98"/>
    <n v="475347.12"/>
    <n v="842172.51"/>
    <n v="1495444.7"/>
    <n v="299884.69"/>
    <n v="352304.1"/>
    <n v="334361.39"/>
    <n v="468317.91"/>
    <n v="707237.88"/>
    <n v="0"/>
    <n v="0"/>
    <n v="0"/>
    <n v="0"/>
    <n v="0"/>
    <x v="0"/>
    <x v="0"/>
    <x v="0"/>
    <x v="0"/>
    <x v="0"/>
    <x v="0"/>
    <x v="0"/>
    <x v="0"/>
    <x v="0"/>
    <x v="0"/>
    <n v="0"/>
    <n v="0"/>
    <n v="0"/>
    <n v="0"/>
    <n v="0"/>
    <x v="0"/>
    <x v="0"/>
    <x v="0"/>
    <x v="0"/>
    <x v="0"/>
    <x v="0"/>
    <x v="0"/>
    <x v="0"/>
    <x v="0"/>
    <x v="0"/>
    <n v="10028.57"/>
    <n v="27772.83"/>
    <n v="45749.96"/>
    <n v="97867.23"/>
    <n v="590233.47"/>
    <n v="0"/>
    <n v="0"/>
    <n v="0"/>
    <n v="0"/>
    <n v="0"/>
    <x v="0"/>
    <n v="0"/>
    <n v="0"/>
    <x v="0"/>
    <x v="0"/>
    <x v="0"/>
    <x v="0"/>
    <x v="0"/>
    <x v="0"/>
    <x v="0"/>
    <x v="0"/>
    <x v="0"/>
    <x v="0"/>
    <x v="0"/>
    <x v="0"/>
    <x v="0"/>
    <x v="0"/>
    <x v="0"/>
    <x v="0"/>
    <x v="0"/>
    <x v="0"/>
    <x v="0"/>
    <x v="0"/>
    <x v="0"/>
    <x v="0"/>
    <x v="0"/>
    <x v="0"/>
    <x v="0"/>
    <x v="0"/>
    <x v="0"/>
    <x v="0"/>
    <x v="0"/>
    <n v="8302610.6200000001"/>
    <n v="87661482.200000003"/>
    <n v="-8130880.75"/>
    <n v="95792362.950000003"/>
  </r>
  <r>
    <x v="0"/>
    <x v="13"/>
    <x v="13"/>
    <x v="2"/>
    <x v="2"/>
    <n v="47863.42"/>
    <n v="94580.77"/>
    <n v="142402.74"/>
    <n v="364590.6"/>
    <n v="1199698.5"/>
    <n v="11128.92"/>
    <n v="11689.1"/>
    <n v="9884.82"/>
    <n v="22759.69"/>
    <n v="60045.46"/>
    <n v="0"/>
    <n v="18884.91"/>
    <n v="2170.0500000000002"/>
    <n v="2421.98"/>
    <n v="1614.7"/>
    <n v="1337725.22"/>
    <n v="2622428.4700000002"/>
    <n v="3818944.87"/>
    <n v="27307955.079999998"/>
    <n v="107437.55"/>
    <n v="180758.23"/>
    <n v="238521.4"/>
    <n v="1017021.06"/>
    <n v="80991"/>
    <n v="135110.71"/>
    <n v="118868.06"/>
    <n v="626616.80000000005"/>
    <n v="138317.59"/>
    <n v="243850.6"/>
    <n v="1080722"/>
    <n v="7630298.75"/>
    <n v="25690.67"/>
    <n v="16466.97"/>
    <n v="57190.26"/>
    <n v="216858.27"/>
    <n v="0"/>
    <n v="8098.85"/>
    <n v="53442.99"/>
    <n v="13924.82"/>
    <n v="1418864.12"/>
    <n v="2847625.27"/>
    <n v="4177770.66"/>
    <n v="8155155.25"/>
    <n v="21777205.550000001"/>
    <n v="244307.06"/>
    <n v="405670.43"/>
    <n v="557496.15"/>
    <n v="1016331.56"/>
    <n v="1756036.53"/>
    <n v="197649.51"/>
    <n v="388634.94"/>
    <n v="333401.23"/>
    <n v="621486.51"/>
    <n v="743848.77"/>
    <n v="0"/>
    <n v="0"/>
    <n v="0"/>
    <n v="0"/>
    <n v="0"/>
    <x v="0"/>
    <x v="0"/>
    <x v="0"/>
    <x v="0"/>
    <x v="0"/>
    <x v="0"/>
    <x v="0"/>
    <x v="0"/>
    <x v="0"/>
    <x v="0"/>
    <n v="0"/>
    <n v="0"/>
    <n v="0"/>
    <n v="0"/>
    <n v="0"/>
    <x v="0"/>
    <x v="0"/>
    <x v="0"/>
    <x v="0"/>
    <x v="0"/>
    <x v="0"/>
    <x v="0"/>
    <x v="0"/>
    <x v="0"/>
    <x v="0"/>
    <n v="14629.56"/>
    <n v="45025.82"/>
    <n v="67621.14"/>
    <n v="143800.92000000001"/>
    <n v="836313.24"/>
    <n v="130.11000000000001"/>
    <n v="265.64"/>
    <n v="410.88"/>
    <n v="869.95"/>
    <n v="459.51"/>
    <x v="7"/>
    <n v="0"/>
    <n v="0"/>
    <x v="0"/>
    <x v="0"/>
    <x v="0"/>
    <x v="0"/>
    <x v="0"/>
    <x v="0"/>
    <x v="0"/>
    <x v="0"/>
    <x v="0"/>
    <x v="0"/>
    <x v="0"/>
    <x v="0"/>
    <x v="0"/>
    <x v="0"/>
    <x v="0"/>
    <x v="0"/>
    <x v="0"/>
    <x v="0"/>
    <x v="0"/>
    <x v="0"/>
    <x v="0"/>
    <x v="0"/>
    <x v="0"/>
    <x v="0"/>
    <x v="0"/>
    <x v="0"/>
    <x v="0"/>
    <x v="0"/>
    <x v="0"/>
    <n v="9304726.1600000001"/>
    <n v="86734079.579999998"/>
    <n v="-8084036.7199999997"/>
    <n v="94818116.299999997"/>
  </r>
  <r>
    <x v="0"/>
    <x v="13"/>
    <x v="13"/>
    <x v="3"/>
    <x v="3"/>
    <n v="50912.25"/>
    <n v="90181.3"/>
    <n v="141922.62"/>
    <n v="358925.31"/>
    <n v="1137681.9199999999"/>
    <n v="13327.86"/>
    <n v="11509.61"/>
    <n v="12408.75"/>
    <n v="28595.8"/>
    <n v="68348.649999999994"/>
    <n v="0"/>
    <n v="11178.4"/>
    <n v="12816.65"/>
    <n v="2452.4"/>
    <n v="1999.82"/>
    <n v="1297207.77"/>
    <n v="2556108.88"/>
    <n v="3787295.55"/>
    <n v="26911485.899999999"/>
    <n v="103136.86"/>
    <n v="172927.46"/>
    <n v="238490.73"/>
    <n v="1021401.44"/>
    <n v="158665.82999999999"/>
    <n v="135202.41"/>
    <n v="127741.91"/>
    <n v="620813.84"/>
    <n v="152596.28"/>
    <n v="229273.11"/>
    <n v="1084566.3999999999"/>
    <n v="7555865.2199999997"/>
    <n v="22044.65"/>
    <n v="13450.34"/>
    <n v="43489.02"/>
    <n v="151289.60000000001"/>
    <n v="0"/>
    <n v="7856.45"/>
    <n v="54905.78"/>
    <n v="15167.94"/>
    <n v="1429650.14"/>
    <n v="2735645.5"/>
    <n v="4132840.77"/>
    <n v="8010074.7699999996"/>
    <n v="21210813.48"/>
    <n v="239150.56"/>
    <n v="375620.65"/>
    <n v="536093.93000000005"/>
    <n v="954389.42"/>
    <n v="1688717.23"/>
    <n v="402191.24"/>
    <n v="437770.49"/>
    <n v="346037.15"/>
    <n v="604884.42000000004"/>
    <n v="747488.42"/>
    <n v="0"/>
    <n v="0"/>
    <n v="0"/>
    <n v="0"/>
    <n v="0"/>
    <x v="0"/>
    <x v="0"/>
    <x v="0"/>
    <x v="0"/>
    <x v="0"/>
    <x v="0"/>
    <x v="0"/>
    <x v="0"/>
    <x v="0"/>
    <x v="0"/>
    <n v="0"/>
    <n v="0"/>
    <n v="0"/>
    <n v="0"/>
    <n v="0"/>
    <x v="0"/>
    <x v="0"/>
    <x v="0"/>
    <x v="0"/>
    <x v="0"/>
    <x v="0"/>
    <x v="0"/>
    <x v="0"/>
    <x v="0"/>
    <x v="0"/>
    <n v="21986.03"/>
    <n v="76422.66"/>
    <n v="93558.78"/>
    <n v="196958.16"/>
    <n v="1186619.82"/>
    <n v="131.66"/>
    <n v="269.76"/>
    <n v="414.9"/>
    <n v="880.96"/>
    <n v="308.7"/>
    <x v="7"/>
    <n v="0"/>
    <n v="0"/>
    <x v="0"/>
    <x v="0"/>
    <x v="0"/>
    <x v="0"/>
    <x v="0"/>
    <x v="0"/>
    <x v="0"/>
    <x v="0"/>
    <x v="0"/>
    <x v="0"/>
    <x v="0"/>
    <x v="0"/>
    <x v="0"/>
    <x v="0"/>
    <x v="0"/>
    <x v="0"/>
    <x v="0"/>
    <x v="0"/>
    <x v="0"/>
    <x v="0"/>
    <x v="0"/>
    <x v="0"/>
    <x v="0"/>
    <x v="0"/>
    <x v="0"/>
    <x v="0"/>
    <x v="0"/>
    <x v="0"/>
    <x v="0"/>
    <n v="9383701.8000000007"/>
    <n v="85496975.219999999"/>
    <n v="-8335319.2000000002"/>
    <n v="93832294.420000002"/>
  </r>
  <r>
    <x v="0"/>
    <x v="13"/>
    <x v="13"/>
    <x v="4"/>
    <x v="4"/>
    <n v="48524.68"/>
    <n v="87969.34"/>
    <n v="135375.18"/>
    <n v="349396.89"/>
    <n v="1055987.56"/>
    <n v="16749.47"/>
    <n v="11794.35"/>
    <n v="17054.34"/>
    <n v="37847.19"/>
    <n v="97017.2"/>
    <n v="0"/>
    <n v="11933.32"/>
    <n v="13824.24"/>
    <n v="2467.02"/>
    <n v="2408.27"/>
    <n v="1247599.1599999999"/>
    <n v="2518370.75"/>
    <n v="3718217.52"/>
    <n v="26542967.260000002"/>
    <n v="117326.14"/>
    <n v="193388.66"/>
    <n v="271412.11"/>
    <n v="1179746.99"/>
    <n v="86771.03"/>
    <n v="174386.19"/>
    <n v="114812.3"/>
    <n v="668882.79"/>
    <n v="139792.82"/>
    <n v="224821.5"/>
    <n v="1056731.46"/>
    <n v="7271927.7300000004"/>
    <n v="29125.8"/>
    <n v="16461.2"/>
    <n v="66097.61"/>
    <n v="292255.88"/>
    <n v="0"/>
    <n v="10279.39"/>
    <n v="57968.42"/>
    <n v="16362.52"/>
    <n v="1381859.89"/>
    <n v="2638057.1800000002"/>
    <n v="3979779.43"/>
    <n v="7768129.7000000002"/>
    <n v="20268903.539999999"/>
    <n v="274983.32"/>
    <n v="423390.51"/>
    <n v="608207.12"/>
    <n v="1104281.6000000001"/>
    <n v="1986910"/>
    <n v="178549.9"/>
    <n v="508874.71"/>
    <n v="343835.73"/>
    <n v="728385.7"/>
    <n v="818857.6"/>
    <n v="0"/>
    <n v="0"/>
    <n v="0"/>
    <n v="0"/>
    <n v="0"/>
    <x v="0"/>
    <x v="0"/>
    <x v="0"/>
    <x v="0"/>
    <x v="0"/>
    <x v="0"/>
    <x v="0"/>
    <x v="0"/>
    <x v="0"/>
    <x v="0"/>
    <n v="0"/>
    <n v="0"/>
    <n v="0"/>
    <n v="0"/>
    <n v="0"/>
    <x v="0"/>
    <x v="0"/>
    <x v="0"/>
    <x v="0"/>
    <x v="0"/>
    <x v="0"/>
    <x v="0"/>
    <x v="0"/>
    <x v="0"/>
    <x v="0"/>
    <n v="48644.1"/>
    <n v="91534.21"/>
    <n v="122794.13"/>
    <n v="261463.69"/>
    <n v="1592924.91"/>
    <n v="133.97999999999999"/>
    <n v="272.39999999999998"/>
    <n v="421.15"/>
    <n v="891.53"/>
    <n v="155.26"/>
    <x v="8"/>
    <n v="0"/>
    <n v="0"/>
    <x v="0"/>
    <x v="0"/>
    <x v="0"/>
    <x v="0"/>
    <x v="0"/>
    <x v="0"/>
    <x v="0"/>
    <x v="0"/>
    <x v="0"/>
    <x v="0"/>
    <x v="0"/>
    <x v="0"/>
    <x v="0"/>
    <x v="0"/>
    <x v="0"/>
    <x v="0"/>
    <x v="0"/>
    <x v="0"/>
    <x v="0"/>
    <x v="0"/>
    <x v="0"/>
    <x v="0"/>
    <x v="0"/>
    <x v="0"/>
    <x v="0"/>
    <x v="0"/>
    <x v="0"/>
    <x v="0"/>
    <x v="0"/>
    <n v="10484654.6"/>
    <n v="84668716.370000005"/>
    <n v="-8367710.8600000003"/>
    <n v="93036427.230000004"/>
  </r>
  <r>
    <x v="0"/>
    <x v="13"/>
    <x v="13"/>
    <x v="5"/>
    <x v="5"/>
    <n v="48646.86"/>
    <n v="89300.17"/>
    <n v="141050.41"/>
    <n v="348886.89"/>
    <n v="1022532.97"/>
    <n v="12335.28"/>
    <n v="8627.41"/>
    <n v="15275.4"/>
    <n v="30943.19"/>
    <n v="74834.14"/>
    <n v="0"/>
    <n v="12006.15"/>
    <n v="12279.09"/>
    <n v="2493.0300000000002"/>
    <n v="2808.93"/>
    <n v="1236814.24"/>
    <n v="2485961.35"/>
    <n v="3684573.48"/>
    <n v="26326494.91"/>
    <n v="120065.48"/>
    <n v="202404.76"/>
    <n v="285780.67"/>
    <n v="1228190.43"/>
    <n v="89484.91"/>
    <n v="168088.71"/>
    <n v="118554.66"/>
    <n v="650082.62"/>
    <n v="141142.29999999999"/>
    <n v="220747.91"/>
    <n v="1062498.4099999999"/>
    <n v="7146988.6299999999"/>
    <n v="26025.360000000001"/>
    <n v="12656.97"/>
    <n v="62679.37"/>
    <n v="260761.92"/>
    <n v="0"/>
    <n v="8116.23"/>
    <n v="59883.69"/>
    <n v="17739.75"/>
    <n v="1333602.1399999999"/>
    <n v="2618202.2799999998"/>
    <n v="3963140.82"/>
    <n v="7653645.3200000003"/>
    <n v="19979560.120000001"/>
    <n v="274750.33"/>
    <n v="443098.89"/>
    <n v="637790.77"/>
    <n v="1136244.8999999999"/>
    <n v="2009899.69"/>
    <n v="171667.83"/>
    <n v="483004.82"/>
    <n v="398382.12"/>
    <n v="586977.19999999995"/>
    <n v="956192.51"/>
    <n v="0"/>
    <n v="0"/>
    <n v="0"/>
    <n v="0"/>
    <n v="0"/>
    <x v="0"/>
    <x v="0"/>
    <x v="0"/>
    <x v="0"/>
    <x v="0"/>
    <x v="0"/>
    <x v="0"/>
    <x v="0"/>
    <x v="0"/>
    <x v="0"/>
    <n v="0"/>
    <n v="0"/>
    <n v="0"/>
    <n v="0"/>
    <n v="0"/>
    <x v="0"/>
    <x v="0"/>
    <x v="0"/>
    <x v="0"/>
    <x v="0"/>
    <x v="0"/>
    <x v="0"/>
    <x v="0"/>
    <x v="0"/>
    <x v="0"/>
    <n v="52799.9"/>
    <n v="92331.43"/>
    <n v="212000.93"/>
    <n v="319849.8"/>
    <n v="1954145.51"/>
    <n v="135.78"/>
    <n v="275.10000000000002"/>
    <n v="426.85"/>
    <n v="902.61"/>
    <n v="0"/>
    <x v="9"/>
    <n v="131.66"/>
    <n v="0"/>
    <x v="0"/>
    <x v="0"/>
    <x v="0"/>
    <x v="0"/>
    <x v="0"/>
    <x v="0"/>
    <x v="0"/>
    <x v="0"/>
    <x v="0"/>
    <x v="0"/>
    <x v="0"/>
    <x v="0"/>
    <x v="0"/>
    <x v="0"/>
    <x v="0"/>
    <x v="0"/>
    <x v="0"/>
    <x v="0"/>
    <x v="0"/>
    <x v="0"/>
    <x v="0"/>
    <x v="0"/>
    <x v="0"/>
    <x v="0"/>
    <x v="0"/>
    <x v="0"/>
    <x v="0"/>
    <x v="0"/>
    <x v="0"/>
    <n v="10582133.189999999"/>
    <n v="84269404.379999995"/>
    <n v="-8447645.5899999999"/>
    <n v="92717049.969999999"/>
  </r>
  <r>
    <x v="0"/>
    <x v="13"/>
    <x v="13"/>
    <x v="6"/>
    <x v="6"/>
    <n v="51700.74"/>
    <n v="89376.35"/>
    <n v="141805.75"/>
    <n v="352079.71"/>
    <n v="1005042.99"/>
    <n v="8781.98"/>
    <n v="7382.42"/>
    <n v="9986.35"/>
    <n v="22227.119999999999"/>
    <n v="39377.49"/>
    <n v="0"/>
    <n v="9868.6"/>
    <n v="4070.33"/>
    <n v="11734.95"/>
    <n v="3209.62"/>
    <n v="1319080.22"/>
    <n v="2558899.7999999998"/>
    <n v="3788400.59"/>
    <n v="26946232.030000001"/>
    <n v="116207.26"/>
    <n v="106657.58"/>
    <n v="145753.87"/>
    <n v="581956.16"/>
    <n v="23848.62"/>
    <n v="89929.07"/>
    <n v="196061.06"/>
    <n v="624937.92000000004"/>
    <n v="140386.26999999999"/>
    <n v="216599.8"/>
    <n v="1044062.37"/>
    <n v="6984931.2999999998"/>
    <n v="24727.59"/>
    <n v="12668.89"/>
    <n v="58650.75"/>
    <n v="269254.52"/>
    <n v="11294.88"/>
    <n v="8019.64"/>
    <n v="62603.43"/>
    <n v="19683.53"/>
    <n v="1515813.6"/>
    <n v="2748020.73"/>
    <n v="4144315.56"/>
    <n v="7969069.1299999999"/>
    <n v="20537848.620000001"/>
    <n v="313198.65000000002"/>
    <n v="285475.37"/>
    <n v="403026.18"/>
    <n v="700512.37"/>
    <n v="1097842.45"/>
    <n v="120886.94"/>
    <n v="232088.48"/>
    <n v="647221.54"/>
    <n v="567260.05000000005"/>
    <n v="991795.83"/>
    <n v="0"/>
    <n v="0"/>
    <n v="0"/>
    <n v="0"/>
    <n v="0"/>
    <x v="0"/>
    <x v="0"/>
    <x v="0"/>
    <x v="0"/>
    <x v="0"/>
    <x v="0"/>
    <x v="0"/>
    <x v="0"/>
    <x v="0"/>
    <x v="0"/>
    <n v="0"/>
    <n v="0"/>
    <n v="0"/>
    <n v="0"/>
    <n v="0"/>
    <x v="0"/>
    <x v="0"/>
    <x v="0"/>
    <x v="0"/>
    <x v="0"/>
    <x v="0"/>
    <x v="0"/>
    <x v="0"/>
    <x v="0"/>
    <x v="0"/>
    <n v="45051"/>
    <n v="108161.91"/>
    <n v="230184.73"/>
    <n v="361687.16"/>
    <n v="2206102.7599999998"/>
    <n v="272.39999999999998"/>
    <n v="278.27999999999997"/>
    <n v="432.29"/>
    <n v="757.37"/>
    <n v="0"/>
    <x v="0"/>
    <n v="70.239999999999995"/>
    <n v="0"/>
    <x v="0"/>
    <x v="0"/>
    <x v="0"/>
    <x v="0"/>
    <x v="0"/>
    <x v="0"/>
    <x v="0"/>
    <x v="0"/>
    <x v="0"/>
    <x v="0"/>
    <x v="0"/>
    <x v="0"/>
    <x v="0"/>
    <x v="0"/>
    <x v="0"/>
    <x v="0"/>
    <x v="0"/>
    <x v="0"/>
    <x v="0"/>
    <x v="0"/>
    <x v="0"/>
    <x v="0"/>
    <x v="0"/>
    <x v="0"/>
    <x v="0"/>
    <x v="0"/>
    <x v="0"/>
    <x v="0"/>
    <x v="0"/>
    <n v="7830012.0700000003"/>
    <n v="83632846.670000002"/>
    <n v="-8702018.5199999996"/>
    <n v="92334865.189999998"/>
  </r>
  <r>
    <x v="0"/>
    <x v="13"/>
    <x v="13"/>
    <x v="7"/>
    <x v="7"/>
    <n v="46674"/>
    <n v="89233.52"/>
    <n v="208669.3"/>
    <n v="267827.78999999998"/>
    <n v="941296.46"/>
    <n v="11577.59"/>
    <n v="10534.48"/>
    <n v="16153.78"/>
    <n v="28553.97"/>
    <n v="53905.87"/>
    <n v="0"/>
    <n v="9536.14"/>
    <n v="6173.25"/>
    <n v="11319.71"/>
    <n v="3624.86"/>
    <n v="1278102.67"/>
    <n v="2561789.35"/>
    <n v="3767651.5"/>
    <n v="27153314.170000002"/>
    <n v="112719.24"/>
    <n v="103375.35"/>
    <n v="141576.72"/>
    <n v="528860.16000000003"/>
    <n v="12701.08"/>
    <n v="112923.12"/>
    <n v="151817.43"/>
    <n v="668294.68999999994"/>
    <n v="133240.67000000001"/>
    <n v="218434.49"/>
    <n v="1025576.13"/>
    <n v="6789101.5700000003"/>
    <n v="24109.73"/>
    <n v="13169.7"/>
    <n v="57047.72"/>
    <n v="290674.02"/>
    <n v="0"/>
    <n v="17445.27"/>
    <n v="59122.33"/>
    <n v="21871.5"/>
    <n v="1466910.47"/>
    <n v="2733178.01"/>
    <n v="4088947.44"/>
    <n v="7772442.0700000003"/>
    <n v="20032075.800000001"/>
    <n v="315982.40000000002"/>
    <n v="295704.59999999998"/>
    <n v="415477.25"/>
    <n v="698509.87"/>
    <n v="1151444.25"/>
    <n v="141465.24"/>
    <n v="366008.39"/>
    <n v="466381.63"/>
    <n v="753811.35"/>
    <n v="1000133.37"/>
    <n v="0"/>
    <n v="0"/>
    <n v="0"/>
    <n v="0"/>
    <n v="0"/>
    <x v="0"/>
    <x v="0"/>
    <x v="0"/>
    <x v="0"/>
    <x v="0"/>
    <x v="0"/>
    <x v="0"/>
    <x v="0"/>
    <x v="0"/>
    <x v="0"/>
    <n v="0"/>
    <n v="0"/>
    <n v="0"/>
    <n v="0"/>
    <n v="0"/>
    <x v="0"/>
    <x v="0"/>
    <x v="0"/>
    <x v="0"/>
    <x v="0"/>
    <x v="0"/>
    <x v="0"/>
    <x v="0"/>
    <x v="0"/>
    <x v="0"/>
    <n v="51953.82"/>
    <n v="183862.31"/>
    <n v="194164.16"/>
    <n v="435982"/>
    <n v="2421045.54"/>
    <n v="275.10000000000002"/>
    <n v="282.67"/>
    <n v="437.2"/>
    <n v="609.59"/>
    <n v="0"/>
    <x v="0"/>
    <n v="59.4"/>
    <n v="0"/>
    <x v="0"/>
    <x v="0"/>
    <x v="0"/>
    <x v="0"/>
    <x v="0"/>
    <x v="0"/>
    <x v="0"/>
    <x v="0"/>
    <x v="0"/>
    <x v="0"/>
    <x v="0"/>
    <x v="0"/>
    <x v="0"/>
    <x v="0"/>
    <x v="0"/>
    <x v="0"/>
    <x v="0"/>
    <x v="0"/>
    <x v="0"/>
    <x v="0"/>
    <x v="0"/>
    <x v="0"/>
    <x v="0"/>
    <x v="0"/>
    <x v="0"/>
    <x v="0"/>
    <x v="0"/>
    <x v="0"/>
    <x v="0"/>
    <n v="8073670.0199999996"/>
    <n v="83162736.189999998"/>
    <n v="-8772407.0700000003"/>
    <n v="91935143.260000005"/>
  </r>
  <r>
    <x v="0"/>
    <x v="13"/>
    <x v="13"/>
    <x v="8"/>
    <x v="8"/>
    <n v="50773.760000000002"/>
    <n v="90262.59"/>
    <n v="212738.88"/>
    <n v="270474.55"/>
    <n v="883459.23"/>
    <n v="6860.28"/>
    <n v="6944.1"/>
    <n v="10772.43"/>
    <n v="22271.8"/>
    <n v="61865.22"/>
    <n v="0"/>
    <n v="5135.2299999999996"/>
    <n v="6153.97"/>
    <n v="10907.89"/>
    <n v="4036.68"/>
    <n v="1323232.2"/>
    <n v="2529265.2799999998"/>
    <n v="3798890.14"/>
    <n v="27257235.98"/>
    <n v="113055.64"/>
    <n v="104319.67"/>
    <n v="144291.47"/>
    <n v="512078.95"/>
    <n v="654.80999999999995"/>
    <n v="126309.6"/>
    <n v="146710.07999999999"/>
    <n v="654981.38"/>
    <n v="136401.20000000001"/>
    <n v="216164.76"/>
    <n v="1013437.03"/>
    <n v="6679107.8499999996"/>
    <n v="20963.71"/>
    <n v="12244.04"/>
    <n v="51673.02"/>
    <n v="262596.34999999998"/>
    <n v="0"/>
    <n v="16303.14"/>
    <n v="55405.93"/>
    <n v="26472.2"/>
    <n v="1466265.36"/>
    <n v="2664157.7999999998"/>
    <n v="4077206.77"/>
    <n v="7580185.1900000004"/>
    <n v="19607422.640000001"/>
    <n v="322316.06"/>
    <n v="297395.73"/>
    <n v="421179.74"/>
    <n v="677510.98"/>
    <n v="1114714.3799999999"/>
    <n v="46220.51"/>
    <n v="511568.44"/>
    <n v="421974.39"/>
    <n v="628056.69999999995"/>
    <n v="1181645.58"/>
    <n v="0"/>
    <n v="0"/>
    <n v="0"/>
    <n v="0"/>
    <n v="0"/>
    <x v="0"/>
    <x v="0"/>
    <x v="0"/>
    <x v="0"/>
    <x v="0"/>
    <x v="0"/>
    <x v="0"/>
    <x v="0"/>
    <x v="0"/>
    <x v="0"/>
    <n v="0"/>
    <n v="0"/>
    <n v="0"/>
    <n v="0"/>
    <n v="0"/>
    <x v="0"/>
    <x v="0"/>
    <x v="0"/>
    <x v="0"/>
    <x v="0"/>
    <x v="0"/>
    <x v="0"/>
    <x v="0"/>
    <x v="0"/>
    <x v="0"/>
    <n v="61456.08"/>
    <n v="194041.37"/>
    <n v="217824.97"/>
    <n v="482165.2"/>
    <n v="2647963.37"/>
    <n v="278.27999999999997"/>
    <n v="287.05"/>
    <n v="443.1"/>
    <n v="459.51"/>
    <n v="0"/>
    <x v="0"/>
    <n v="196.02"/>
    <n v="0"/>
    <x v="0"/>
    <x v="0"/>
    <x v="0"/>
    <x v="0"/>
    <x v="0"/>
    <x v="0"/>
    <x v="0"/>
    <x v="0"/>
    <x v="0"/>
    <x v="0"/>
    <x v="0"/>
    <x v="0"/>
    <x v="0"/>
    <x v="0"/>
    <x v="0"/>
    <x v="0"/>
    <x v="0"/>
    <x v="0"/>
    <x v="0"/>
    <x v="0"/>
    <x v="0"/>
    <x v="0"/>
    <x v="0"/>
    <x v="0"/>
    <x v="0"/>
    <x v="0"/>
    <x v="0"/>
    <x v="0"/>
    <x v="0"/>
    <n v="8007254.0599999996"/>
    <n v="82626253.379999995"/>
    <n v="-8841132.8800000008"/>
    <n v="91467386.260000005"/>
  </r>
  <r>
    <x v="0"/>
    <x v="13"/>
    <x v="13"/>
    <x v="9"/>
    <x v="9"/>
    <n v="47439.77"/>
    <n v="155144.35999999999"/>
    <n v="133942.6"/>
    <n v="254021.84"/>
    <n v="810548.9"/>
    <n v="13210.29"/>
    <n v="12135.41"/>
    <n v="18653.830000000002"/>
    <n v="37277.480000000003"/>
    <n v="84246.71"/>
    <n v="0"/>
    <n v="8218.4"/>
    <n v="5435.97"/>
    <n v="10492.35"/>
    <n v="4452.22"/>
    <n v="1280558.31"/>
    <n v="2517969.21"/>
    <n v="3806950.64"/>
    <n v="26793698.670000002"/>
    <n v="131765.81"/>
    <n v="121234.61"/>
    <n v="164767.71"/>
    <n v="607940.22"/>
    <n v="0"/>
    <n v="113333.85"/>
    <n v="92195.33"/>
    <n v="713190.8"/>
    <n v="137101.81"/>
    <n v="209205.05"/>
    <n v="972920.38"/>
    <n v="6485934.7699999996"/>
    <n v="23471.16"/>
    <n v="13933.59"/>
    <n v="61952.1"/>
    <n v="316085.46000000002"/>
    <n v="0"/>
    <n v="4599.79"/>
    <n v="67343.41"/>
    <n v="29098.13"/>
    <n v="1460432.98"/>
    <n v="2631212.3199999998"/>
    <n v="3972973.84"/>
    <n v="7456968.2000000002"/>
    <n v="19239925.829999998"/>
    <n v="346322.54"/>
    <n v="310972.15000000002"/>
    <n v="439897.82"/>
    <n v="708644.32"/>
    <n v="1079495.5900000001"/>
    <n v="4"/>
    <n v="447293.61"/>
    <n v="320069.78999999998"/>
    <n v="870626"/>
    <n v="1174902.3799999999"/>
    <n v="0"/>
    <n v="0"/>
    <n v="0"/>
    <n v="0"/>
    <n v="0"/>
    <x v="0"/>
    <x v="0"/>
    <x v="0"/>
    <x v="0"/>
    <x v="0"/>
    <x v="0"/>
    <x v="0"/>
    <x v="0"/>
    <x v="0"/>
    <x v="0"/>
    <n v="0"/>
    <n v="0"/>
    <n v="0"/>
    <n v="0"/>
    <n v="0"/>
    <x v="0"/>
    <x v="0"/>
    <x v="0"/>
    <x v="0"/>
    <x v="0"/>
    <x v="0"/>
    <x v="0"/>
    <x v="0"/>
    <x v="0"/>
    <x v="0"/>
    <n v="125093.88"/>
    <n v="145139.73000000001"/>
    <n v="255372.52"/>
    <n v="489624.73"/>
    <n v="2762522.08"/>
    <n v="282.67"/>
    <n v="289.42"/>
    <n v="448.67"/>
    <n v="308.7"/>
    <n v="0"/>
    <x v="0"/>
    <n v="233.01"/>
    <n v="0"/>
    <x v="0"/>
    <x v="0"/>
    <x v="0"/>
    <x v="0"/>
    <x v="0"/>
    <x v="0"/>
    <x v="0"/>
    <x v="0"/>
    <x v="0"/>
    <x v="0"/>
    <x v="0"/>
    <x v="0"/>
    <x v="0"/>
    <x v="0"/>
    <x v="0"/>
    <x v="0"/>
    <x v="0"/>
    <x v="0"/>
    <x v="0"/>
    <x v="0"/>
    <x v="0"/>
    <x v="0"/>
    <x v="0"/>
    <x v="0"/>
    <x v="0"/>
    <x v="0"/>
    <x v="0"/>
    <x v="0"/>
    <x v="0"/>
    <n v="8354825.2999999998"/>
    <n v="81453201.840000004"/>
    <n v="-9046325.8800000008"/>
    <n v="90499527.719999999"/>
  </r>
  <r>
    <x v="0"/>
    <x v="13"/>
    <x v="13"/>
    <x v="10"/>
    <x v="10"/>
    <n v="49344.19"/>
    <n v="161148.15"/>
    <n v="134572.21"/>
    <n v="255060.42"/>
    <n v="798048.78"/>
    <n v="11461.09"/>
    <n v="10374.040000000001"/>
    <n v="15488.66"/>
    <n v="28738.22"/>
    <n v="53145.38"/>
    <n v="0"/>
    <n v="6686.94"/>
    <n v="891.84"/>
    <n v="10069.280000000001"/>
    <n v="4875.29"/>
    <n v="1264653.48"/>
    <n v="2528256.94"/>
    <n v="3778146.18"/>
    <n v="26516450.300000001"/>
    <n v="128278.76"/>
    <n v="119032.65"/>
    <n v="161303.07"/>
    <n v="552851.56999999995"/>
    <n v="0"/>
    <n v="104891.86"/>
    <n v="110487.51"/>
    <n v="691289.21"/>
    <n v="136958.35999999999"/>
    <n v="211824.05"/>
    <n v="951083.13"/>
    <n v="6324423.7300000004"/>
    <n v="22976.07"/>
    <n v="14700.08"/>
    <n v="59142.92"/>
    <n v="351898.35"/>
    <n v="0"/>
    <n v="4266.16"/>
    <n v="46182.33"/>
    <n v="49494.29"/>
    <n v="1409829.12"/>
    <n v="2664278.96"/>
    <n v="3928490.27"/>
    <n v="7206031.1699999999"/>
    <n v="18767935.359999999"/>
    <n v="352658.6"/>
    <n v="331079.77"/>
    <n v="451220.8"/>
    <n v="710806.55"/>
    <n v="1111956.79"/>
    <n v="4"/>
    <n v="320029.59000000003"/>
    <n v="465010.1"/>
    <n v="698387.32"/>
    <n v="1337782.53"/>
    <n v="0"/>
    <n v="0"/>
    <n v="0"/>
    <n v="0"/>
    <n v="0"/>
    <x v="0"/>
    <x v="0"/>
    <x v="0"/>
    <x v="0"/>
    <x v="0"/>
    <x v="0"/>
    <x v="0"/>
    <x v="0"/>
    <x v="0"/>
    <x v="0"/>
    <n v="0"/>
    <n v="0"/>
    <n v="0"/>
    <n v="0"/>
    <n v="0"/>
    <x v="0"/>
    <x v="0"/>
    <x v="0"/>
    <x v="0"/>
    <x v="0"/>
    <x v="0"/>
    <x v="0"/>
    <x v="0"/>
    <x v="0"/>
    <x v="0"/>
    <n v="73343.22"/>
    <n v="154033.84"/>
    <n v="274164.2"/>
    <n v="516821.77"/>
    <n v="2921047.36"/>
    <n v="550.47"/>
    <n v="560.16999999999996"/>
    <n v="878.63"/>
    <n v="1037.53"/>
    <n v="2710.04"/>
    <x v="0"/>
    <n v="408.72"/>
    <n v="94.53"/>
    <x v="0"/>
    <x v="0"/>
    <x v="0"/>
    <x v="0"/>
    <x v="0"/>
    <x v="0"/>
    <x v="0"/>
    <x v="0"/>
    <x v="0"/>
    <x v="0"/>
    <x v="0"/>
    <x v="0"/>
    <x v="0"/>
    <x v="0"/>
    <x v="0"/>
    <x v="0"/>
    <x v="0"/>
    <x v="0"/>
    <x v="0"/>
    <x v="0"/>
    <x v="0"/>
    <x v="0"/>
    <x v="0"/>
    <x v="0"/>
    <x v="0"/>
    <x v="0"/>
    <x v="0"/>
    <x v="0"/>
    <x v="0"/>
    <n v="8343701.71"/>
    <n v="80301019.150000006"/>
    <n v="-9068627.75"/>
    <n v="89369646.900000006"/>
  </r>
  <r>
    <x v="0"/>
    <x v="13"/>
    <x v="13"/>
    <x v="11"/>
    <x v="11"/>
    <n v="118752.28"/>
    <n v="87811.94"/>
    <n v="134405.81"/>
    <n v="252709.37"/>
    <n v="755762.38"/>
    <n v="11600.33"/>
    <n v="10518.22"/>
    <n v="15065"/>
    <n v="29024.38"/>
    <n v="47963.56"/>
    <n v="0"/>
    <n v="7378.38"/>
    <n v="1791.74"/>
    <n v="9642.61"/>
    <n v="5301.96"/>
    <n v="1282868.3899999999"/>
    <n v="2503954.13"/>
    <n v="3746133.25"/>
    <n v="26191357.07"/>
    <n v="123525.64"/>
    <n v="115387.24"/>
    <n v="151032.64000000001"/>
    <n v="520743.2"/>
    <n v="275.52"/>
    <n v="101403.53"/>
    <n v="110833.12"/>
    <n v="663500.32999999996"/>
    <n v="129165.12"/>
    <n v="214687.87"/>
    <n v="936038.08"/>
    <n v="6281839.9900000002"/>
    <n v="23186.37"/>
    <n v="14632.91"/>
    <n v="61548.58"/>
    <n v="265241.65999999997"/>
    <n v="0"/>
    <n v="5253.35"/>
    <n v="41731.9"/>
    <n v="50346.21"/>
    <n v="1416981.96"/>
    <n v="2607159.29"/>
    <n v="3853512.2"/>
    <n v="7111740.96"/>
    <n v="18473253.010000002"/>
    <n v="352035.74"/>
    <n v="330625.33"/>
    <n v="445944.35"/>
    <n v="703430.96"/>
    <n v="997249.55"/>
    <n v="4"/>
    <n v="280973.31"/>
    <n v="510141.02"/>
    <n v="696534.49"/>
    <n v="1346172.34"/>
    <n v="0"/>
    <n v="0"/>
    <n v="0"/>
    <n v="0"/>
    <n v="0"/>
    <x v="0"/>
    <x v="0"/>
    <x v="0"/>
    <x v="0"/>
    <x v="0"/>
    <x v="0"/>
    <x v="0"/>
    <x v="0"/>
    <x v="0"/>
    <x v="0"/>
    <n v="0"/>
    <n v="0"/>
    <n v="0"/>
    <n v="0"/>
    <n v="0"/>
    <x v="0"/>
    <x v="0"/>
    <x v="0"/>
    <x v="0"/>
    <x v="0"/>
    <x v="0"/>
    <x v="0"/>
    <x v="0"/>
    <x v="0"/>
    <x v="0"/>
    <n v="75454.16"/>
    <n v="172087.87"/>
    <n v="288377.58"/>
    <n v="566634.07999999996"/>
    <n v="3111009.78"/>
    <n v="509.43"/>
    <n v="523.55999999999995"/>
    <n v="810.35"/>
    <n v="744.47"/>
    <n v="1378.96"/>
    <x v="0"/>
    <n v="362.69"/>
    <n v="45.28"/>
    <x v="0"/>
    <x v="0"/>
    <x v="0"/>
    <x v="0"/>
    <x v="0"/>
    <x v="0"/>
    <x v="0"/>
    <x v="0"/>
    <x v="0"/>
    <x v="0"/>
    <x v="0"/>
    <x v="0"/>
    <x v="0"/>
    <x v="0"/>
    <x v="0"/>
    <x v="0"/>
    <x v="0"/>
    <x v="0"/>
    <x v="0"/>
    <x v="0"/>
    <x v="0"/>
    <x v="0"/>
    <x v="0"/>
    <x v="0"/>
    <x v="0"/>
    <x v="0"/>
    <x v="0"/>
    <x v="0"/>
    <x v="0"/>
    <n v="8054414.21"/>
    <n v="78562088.870000005"/>
    <n v="-9804021.9100000001"/>
    <n v="88366110.780000001"/>
  </r>
  <r>
    <x v="0"/>
    <x v="14"/>
    <x v="14"/>
    <x v="0"/>
    <x v="0"/>
    <n v="0"/>
    <n v="0"/>
    <n v="0"/>
    <n v="0"/>
    <n v="0"/>
    <n v="0"/>
    <n v="0"/>
    <n v="0"/>
    <n v="0"/>
    <n v="0"/>
    <n v="0"/>
    <n v="0"/>
    <n v="0"/>
    <n v="0"/>
    <n v="0"/>
    <n v="2851299.84"/>
    <n v="5203347.51"/>
    <n v="7920755.2800000003"/>
    <n v="61635789.219999999"/>
    <n v="372018.08"/>
    <n v="484580.06"/>
    <n v="663638.48"/>
    <n v="2728966.04"/>
    <n v="209479.67999999999"/>
    <n v="398646.32"/>
    <n v="407388.68"/>
    <n v="975320.46"/>
    <n v="224040.05"/>
    <n v="384476.46"/>
    <n v="1804938.24"/>
    <n v="5830104.8899999997"/>
    <n v="14797.68"/>
    <n v="9056.35"/>
    <n v="41536.300000000003"/>
    <n v="54904.58"/>
    <n v="5310.38"/>
    <n v="6163.45"/>
    <n v="22835.119999999999"/>
    <n v="37085.18"/>
    <n v="1448425.77"/>
    <n v="2459504.2200000002"/>
    <n v="3816601.48"/>
    <n v="6954357.6500000004"/>
    <n v="17579057.899999999"/>
    <n v="195116.4"/>
    <n v="224909.83"/>
    <n v="309193.93"/>
    <n v="483149.12"/>
    <n v="506560.32"/>
    <n v="61810.720000000001"/>
    <n v="187560.12"/>
    <n v="190916.46"/>
    <n v="314885.68"/>
    <n v="316318.37"/>
    <n v="0"/>
    <n v="0"/>
    <n v="0"/>
    <n v="0"/>
    <n v="0"/>
    <x v="0"/>
    <x v="0"/>
    <x v="0"/>
    <x v="0"/>
    <x v="0"/>
    <x v="0"/>
    <x v="0"/>
    <x v="0"/>
    <x v="0"/>
    <x v="0"/>
    <n v="0"/>
    <n v="0"/>
    <n v="0"/>
    <n v="0"/>
    <n v="0"/>
    <x v="0"/>
    <x v="0"/>
    <x v="0"/>
    <x v="0"/>
    <x v="0"/>
    <x v="0"/>
    <x v="0"/>
    <x v="0"/>
    <x v="0"/>
    <x v="0"/>
    <n v="24967.5"/>
    <n v="54536.32"/>
    <n v="86480.75"/>
    <n v="181223.6"/>
    <n v="1466595.97"/>
    <n v="0"/>
    <n v="0"/>
    <n v="0"/>
    <n v="0"/>
    <n v="0"/>
    <x v="0"/>
    <n v="0"/>
    <n v="0"/>
    <x v="0"/>
    <x v="0"/>
    <x v="0"/>
    <x v="0"/>
    <x v="0"/>
    <x v="0"/>
    <x v="0"/>
    <x v="0"/>
    <x v="0"/>
    <x v="0"/>
    <x v="0"/>
    <x v="0"/>
    <x v="0"/>
    <x v="0"/>
    <x v="0"/>
    <x v="0"/>
    <x v="0"/>
    <x v="0"/>
    <x v="0"/>
    <x v="0"/>
    <x v="0"/>
    <x v="0"/>
    <x v="0"/>
    <x v="0"/>
    <x v="0"/>
    <x v="0"/>
    <x v="0"/>
    <x v="0"/>
    <x v="0"/>
    <n v="9222147.7899999991"/>
    <n v="119713234.29000001"/>
    <n v="-9435416.1500000004"/>
    <n v="129148650.44"/>
  </r>
  <r>
    <x v="0"/>
    <x v="14"/>
    <x v="14"/>
    <x v="1"/>
    <x v="1"/>
    <n v="0"/>
    <n v="0"/>
    <n v="0"/>
    <n v="0"/>
    <n v="0"/>
    <n v="0"/>
    <n v="0"/>
    <n v="0"/>
    <n v="0"/>
    <n v="0"/>
    <n v="0"/>
    <n v="0"/>
    <n v="0"/>
    <n v="0"/>
    <n v="0"/>
    <n v="2853128.84"/>
    <n v="5147752.2"/>
    <n v="7839782.5999999996"/>
    <n v="60756828.939999998"/>
    <n v="405115.74"/>
    <n v="477109.68"/>
    <n v="664452.84"/>
    <n v="2897907.06"/>
    <n v="144168.57"/>
    <n v="458637.51"/>
    <n v="440545.75"/>
    <n v="1068843.8799999999"/>
    <n v="224791.92"/>
    <n v="382836.5"/>
    <n v="1802091.86"/>
    <n v="5753700.3499999996"/>
    <n v="16150.54"/>
    <n v="10627.34"/>
    <n v="41106.589999999997"/>
    <n v="53968.81"/>
    <n v="0"/>
    <n v="10714.71"/>
    <n v="25005.05"/>
    <n v="34996.99"/>
    <n v="1438662.24"/>
    <n v="2458610.4900000002"/>
    <n v="3824625.06"/>
    <n v="6943232.2400000002"/>
    <n v="17745220.949999999"/>
    <n v="223725.75"/>
    <n v="233716.42"/>
    <n v="329619.8"/>
    <n v="505800.83"/>
    <n v="577272.07999999996"/>
    <n v="56962.53"/>
    <n v="199813.74"/>
    <n v="204662.66"/>
    <n v="323611.23"/>
    <n v="337826.96"/>
    <n v="0"/>
    <n v="0"/>
    <n v="0"/>
    <n v="0"/>
    <n v="0"/>
    <x v="0"/>
    <x v="0"/>
    <x v="0"/>
    <x v="0"/>
    <x v="0"/>
    <x v="0"/>
    <x v="0"/>
    <x v="0"/>
    <x v="0"/>
    <x v="0"/>
    <n v="0"/>
    <n v="0"/>
    <n v="0"/>
    <n v="0"/>
    <n v="0"/>
    <x v="0"/>
    <x v="0"/>
    <x v="0"/>
    <x v="0"/>
    <x v="0"/>
    <x v="0"/>
    <x v="0"/>
    <x v="0"/>
    <x v="0"/>
    <x v="0"/>
    <n v="42426.5"/>
    <n v="87400.639999999999"/>
    <n v="142114.99"/>
    <n v="297285.2"/>
    <n v="2175254.9300000002"/>
    <n v="0"/>
    <n v="0"/>
    <n v="0"/>
    <n v="0"/>
    <n v="0"/>
    <x v="0"/>
    <n v="0"/>
    <n v="0"/>
    <x v="0"/>
    <x v="0"/>
    <x v="0"/>
    <x v="0"/>
    <x v="0"/>
    <x v="0"/>
    <x v="0"/>
    <x v="0"/>
    <x v="0"/>
    <x v="0"/>
    <x v="0"/>
    <x v="0"/>
    <x v="0"/>
    <x v="0"/>
    <x v="0"/>
    <x v="0"/>
    <x v="0"/>
    <x v="0"/>
    <x v="0"/>
    <x v="0"/>
    <x v="0"/>
    <x v="0"/>
    <x v="0"/>
    <x v="0"/>
    <x v="0"/>
    <x v="0"/>
    <x v="0"/>
    <x v="0"/>
    <x v="0"/>
    <n v="9742363.0600000005"/>
    <n v="119834304.19"/>
    <n v="-9823805.3200000003"/>
    <n v="129658109.51000001"/>
  </r>
  <r>
    <x v="0"/>
    <x v="14"/>
    <x v="14"/>
    <x v="2"/>
    <x v="2"/>
    <n v="0"/>
    <n v="0"/>
    <n v="0"/>
    <n v="0"/>
    <n v="0"/>
    <n v="0"/>
    <n v="0"/>
    <n v="0"/>
    <n v="0"/>
    <n v="0"/>
    <n v="0"/>
    <n v="0"/>
    <n v="0"/>
    <n v="0"/>
    <n v="0"/>
    <n v="2648482.4300000002"/>
    <n v="5242321.7300000004"/>
    <n v="7764399.0999999996"/>
    <n v="60376090.659999996"/>
    <n v="374794.34"/>
    <n v="515505.89"/>
    <n v="686633.84"/>
    <n v="2790824.98"/>
    <n v="266242.33"/>
    <n v="474418.75"/>
    <n v="463877.09"/>
    <n v="1160569.8400000001"/>
    <n v="205620.22"/>
    <n v="397536.82"/>
    <n v="1791302.25"/>
    <n v="5652887.4100000001"/>
    <n v="18249.3"/>
    <n v="12220.91"/>
    <n v="42407.5"/>
    <n v="45877.2"/>
    <n v="0"/>
    <n v="10024.16"/>
    <n v="25394.46"/>
    <n v="34768.949999999997"/>
    <n v="1284942.72"/>
    <n v="2602507.04"/>
    <n v="3828788.06"/>
    <n v="7097324.2800000003"/>
    <n v="17847199.649999999"/>
    <n v="216299.26"/>
    <n v="272697.82"/>
    <n v="356191.64"/>
    <n v="545877.31000000006"/>
    <n v="592234.37"/>
    <n v="68935.210000000006"/>
    <n v="225838.88"/>
    <n v="213891.19"/>
    <n v="341739.14"/>
    <n v="364258.66"/>
    <n v="0"/>
    <n v="0"/>
    <n v="0"/>
    <n v="0"/>
    <n v="0"/>
    <x v="0"/>
    <x v="0"/>
    <x v="0"/>
    <x v="0"/>
    <x v="0"/>
    <x v="0"/>
    <x v="0"/>
    <x v="0"/>
    <x v="0"/>
    <x v="0"/>
    <n v="0"/>
    <n v="0"/>
    <n v="0"/>
    <n v="0"/>
    <n v="0"/>
    <x v="0"/>
    <x v="0"/>
    <x v="0"/>
    <x v="0"/>
    <x v="0"/>
    <x v="0"/>
    <x v="0"/>
    <x v="0"/>
    <x v="0"/>
    <x v="0"/>
    <n v="53880.78"/>
    <n v="119336.51"/>
    <n v="182884.17"/>
    <n v="396289.29"/>
    <n v="2718882.69"/>
    <n v="55.71"/>
    <n v="114.26"/>
    <n v="176.87"/>
    <n v="376.44"/>
    <n v="770.42"/>
    <x v="10"/>
    <n v="0"/>
    <n v="0"/>
    <x v="0"/>
    <x v="0"/>
    <x v="0"/>
    <x v="0"/>
    <x v="0"/>
    <x v="0"/>
    <x v="0"/>
    <x v="0"/>
    <x v="0"/>
    <x v="0"/>
    <x v="0"/>
    <x v="0"/>
    <x v="0"/>
    <x v="0"/>
    <x v="0"/>
    <x v="0"/>
    <x v="0"/>
    <x v="0"/>
    <x v="0"/>
    <x v="0"/>
    <x v="0"/>
    <x v="0"/>
    <x v="0"/>
    <x v="0"/>
    <x v="0"/>
    <x v="0"/>
    <x v="0"/>
    <x v="0"/>
    <x v="0"/>
    <n v="10121323.02"/>
    <n v="120681172.90000001"/>
    <n v="-9659528.5199999996"/>
    <n v="130340701.42"/>
  </r>
  <r>
    <x v="0"/>
    <x v="14"/>
    <x v="14"/>
    <x v="3"/>
    <x v="3"/>
    <n v="0"/>
    <n v="0"/>
    <n v="0"/>
    <n v="0"/>
    <n v="0"/>
    <n v="0"/>
    <n v="0"/>
    <n v="0"/>
    <n v="0"/>
    <n v="0"/>
    <n v="0"/>
    <n v="0"/>
    <n v="0"/>
    <n v="0"/>
    <n v="0"/>
    <n v="2807440.93"/>
    <n v="5082231.41"/>
    <n v="7693990.8899999997"/>
    <n v="59566602.609999999"/>
    <n v="409251.48"/>
    <n v="509443.3"/>
    <n v="707477.44"/>
    <n v="2993337.43"/>
    <n v="231413.36"/>
    <n v="534280.51"/>
    <n v="528936.11"/>
    <n v="1252908"/>
    <n v="230242.09"/>
    <n v="388108.06"/>
    <n v="1808442.07"/>
    <n v="5620082.6500000004"/>
    <n v="17980.810000000001"/>
    <n v="11385.45"/>
    <n v="39347.980000000003"/>
    <n v="60204.38"/>
    <n v="10367.98"/>
    <n v="8335.85"/>
    <n v="32078.12"/>
    <n v="36035.51"/>
    <n v="1488342.91"/>
    <n v="2517199.4300000002"/>
    <n v="3857953.6"/>
    <n v="7234360.1900000004"/>
    <n v="17771116.129999999"/>
    <n v="256343.51"/>
    <n v="285227"/>
    <n v="395174.34"/>
    <n v="588380.6"/>
    <n v="667020.30000000005"/>
    <n v="67884.13"/>
    <n v="256256.07"/>
    <n v="225933.03"/>
    <n v="350098.62"/>
    <n v="406767.76"/>
    <n v="0"/>
    <n v="0"/>
    <n v="0"/>
    <n v="0"/>
    <n v="0"/>
    <x v="0"/>
    <x v="0"/>
    <x v="0"/>
    <x v="0"/>
    <x v="0"/>
    <x v="0"/>
    <x v="0"/>
    <x v="0"/>
    <x v="0"/>
    <x v="0"/>
    <n v="0"/>
    <n v="0"/>
    <n v="0"/>
    <n v="0"/>
    <n v="0"/>
    <x v="0"/>
    <x v="0"/>
    <x v="0"/>
    <x v="0"/>
    <x v="0"/>
    <x v="0"/>
    <x v="0"/>
    <x v="0"/>
    <x v="0"/>
    <x v="0"/>
    <n v="74969.279999999999"/>
    <n v="157904.35999999999"/>
    <n v="245202.82"/>
    <n v="529077.55000000005"/>
    <n v="3474489.49"/>
    <n v="0"/>
    <n v="0"/>
    <n v="0"/>
    <n v="0"/>
    <n v="0"/>
    <x v="0"/>
    <n v="0"/>
    <n v="0"/>
    <x v="0"/>
    <x v="0"/>
    <x v="0"/>
    <x v="0"/>
    <x v="0"/>
    <x v="0"/>
    <x v="0"/>
    <x v="0"/>
    <x v="0"/>
    <x v="0"/>
    <x v="0"/>
    <x v="0"/>
    <x v="0"/>
    <x v="0"/>
    <x v="0"/>
    <x v="0"/>
    <x v="0"/>
    <x v="0"/>
    <x v="0"/>
    <x v="0"/>
    <x v="0"/>
    <x v="0"/>
    <x v="0"/>
    <x v="0"/>
    <x v="0"/>
    <x v="0"/>
    <x v="0"/>
    <x v="0"/>
    <x v="0"/>
    <n v="10881869.07"/>
    <n v="121099474.5"/>
    <n v="-10357534.800000001"/>
    <n v="131457009.3"/>
  </r>
  <r>
    <x v="0"/>
    <x v="14"/>
    <x v="14"/>
    <x v="4"/>
    <x v="4"/>
    <n v="0"/>
    <n v="0"/>
    <n v="0"/>
    <n v="0"/>
    <n v="0"/>
    <n v="0"/>
    <n v="0"/>
    <n v="0"/>
    <n v="0"/>
    <n v="0"/>
    <n v="0"/>
    <n v="0"/>
    <n v="0"/>
    <n v="0"/>
    <n v="0"/>
    <n v="2728258.12"/>
    <n v="5072395.17"/>
    <n v="7653724.5099999998"/>
    <n v="59303304.710000001"/>
    <n v="406171.39"/>
    <n v="505612.72"/>
    <n v="705348.67"/>
    <n v="2889405.4"/>
    <n v="198339.14"/>
    <n v="584711.12"/>
    <n v="547888.30000000005"/>
    <n v="1350911.2"/>
    <n v="222851.37"/>
    <n v="388477.35"/>
    <n v="1809171.58"/>
    <n v="5613469.3200000003"/>
    <n v="19380.2"/>
    <n v="12344.51"/>
    <n v="40725.879999999997"/>
    <n v="73801.039999999994"/>
    <n v="0"/>
    <n v="10141.030000000001"/>
    <n v="33018.39"/>
    <n v="36606.67"/>
    <n v="1408888.55"/>
    <n v="2526405.9300000002"/>
    <n v="3819258.1"/>
    <n v="7313976.54"/>
    <n v="17569261.960000001"/>
    <n v="263610.71000000002"/>
    <n v="284861.46999999997"/>
    <n v="396630.86"/>
    <n v="587036.81000000006"/>
    <n v="657835.88"/>
    <n v="87323.21"/>
    <n v="253814.12"/>
    <n v="253606.72"/>
    <n v="369133.14"/>
    <n v="443473.41"/>
    <n v="0"/>
    <n v="0"/>
    <n v="0"/>
    <n v="0"/>
    <n v="0"/>
    <x v="0"/>
    <x v="0"/>
    <x v="0"/>
    <x v="0"/>
    <x v="0"/>
    <x v="0"/>
    <x v="0"/>
    <x v="0"/>
    <x v="0"/>
    <x v="0"/>
    <n v="0"/>
    <n v="0"/>
    <n v="0"/>
    <n v="0"/>
    <n v="0"/>
    <x v="0"/>
    <x v="0"/>
    <x v="0"/>
    <x v="0"/>
    <x v="0"/>
    <x v="0"/>
    <x v="0"/>
    <x v="0"/>
    <x v="0"/>
    <x v="0"/>
    <n v="89067.45"/>
    <n v="187953.98"/>
    <n v="290517.88"/>
    <n v="630499.24"/>
    <n v="4038825.34"/>
    <n v="0"/>
    <n v="0"/>
    <n v="0"/>
    <n v="0"/>
    <n v="0"/>
    <x v="0"/>
    <n v="0"/>
    <n v="0"/>
    <x v="0"/>
    <x v="0"/>
    <x v="0"/>
    <x v="0"/>
    <x v="0"/>
    <x v="0"/>
    <x v="0"/>
    <x v="0"/>
    <x v="0"/>
    <x v="0"/>
    <x v="0"/>
    <x v="0"/>
    <x v="0"/>
    <x v="0"/>
    <x v="0"/>
    <x v="0"/>
    <x v="0"/>
    <x v="0"/>
    <x v="0"/>
    <x v="0"/>
    <x v="0"/>
    <x v="0"/>
    <x v="0"/>
    <x v="0"/>
    <x v="0"/>
    <x v="0"/>
    <x v="0"/>
    <x v="0"/>
    <x v="0"/>
    <n v="11011731.99"/>
    <n v="120832073.61"/>
    <n v="-10884422.66"/>
    <n v="131716496.27"/>
  </r>
  <r>
    <x v="0"/>
    <x v="14"/>
    <x v="14"/>
    <x v="5"/>
    <x v="5"/>
    <n v="0"/>
    <n v="0"/>
    <n v="0"/>
    <n v="0"/>
    <n v="0"/>
    <n v="0"/>
    <n v="0"/>
    <n v="0"/>
    <n v="0"/>
    <n v="0"/>
    <n v="0"/>
    <n v="0"/>
    <n v="0"/>
    <n v="0"/>
    <n v="0"/>
    <n v="2736998.3999999999"/>
    <n v="5224120.4800000004"/>
    <n v="7815922.6200000001"/>
    <n v="59269644.590000004"/>
    <n v="348413.45"/>
    <n v="404376.44"/>
    <n v="532296.62"/>
    <n v="2045863.83"/>
    <n v="128039.42"/>
    <n v="517020.23"/>
    <n v="643506.75"/>
    <n v="1464789.01"/>
    <n v="214323.68"/>
    <n v="399849.51"/>
    <n v="1803625.82"/>
    <n v="5708936.6699999999"/>
    <n v="21162.560000000001"/>
    <n v="14394.33"/>
    <n v="48123.040000000001"/>
    <n v="87242.39"/>
    <n v="1383.64"/>
    <n v="9704.94"/>
    <n v="31963.19"/>
    <n v="23111.06"/>
    <n v="1379101.06"/>
    <n v="2641113.16"/>
    <n v="3900964.62"/>
    <n v="7230051.29"/>
    <n v="17537007.550000001"/>
    <n v="228967.38"/>
    <n v="246487.61"/>
    <n v="322061.83"/>
    <n v="444008.97"/>
    <n v="487341.92"/>
    <n v="51899.58"/>
    <n v="264713.32"/>
    <n v="275157.78999999998"/>
    <n v="381825.87"/>
    <n v="474033.35"/>
    <n v="0"/>
    <n v="0"/>
    <n v="0"/>
    <n v="0"/>
    <n v="0"/>
    <x v="0"/>
    <x v="0"/>
    <x v="0"/>
    <x v="0"/>
    <x v="0"/>
    <x v="0"/>
    <x v="0"/>
    <x v="0"/>
    <x v="0"/>
    <x v="0"/>
    <n v="0"/>
    <n v="0"/>
    <n v="0"/>
    <n v="0"/>
    <n v="0"/>
    <x v="0"/>
    <x v="0"/>
    <x v="0"/>
    <x v="0"/>
    <x v="0"/>
    <x v="0"/>
    <x v="0"/>
    <x v="0"/>
    <x v="0"/>
    <x v="0"/>
    <n v="100270.12"/>
    <n v="206514.24"/>
    <n v="328164.84999999998"/>
    <n v="690148.22"/>
    <n v="4405508.0199999996"/>
    <n v="0"/>
    <n v="0"/>
    <n v="0"/>
    <n v="0"/>
    <n v="0"/>
    <x v="0"/>
    <n v="0"/>
    <n v="0"/>
    <x v="0"/>
    <x v="0"/>
    <x v="0"/>
    <x v="0"/>
    <x v="0"/>
    <x v="0"/>
    <x v="0"/>
    <x v="0"/>
    <x v="0"/>
    <x v="0"/>
    <x v="0"/>
    <x v="0"/>
    <x v="0"/>
    <x v="0"/>
    <x v="0"/>
    <x v="0"/>
    <x v="0"/>
    <x v="0"/>
    <x v="0"/>
    <x v="0"/>
    <x v="0"/>
    <x v="0"/>
    <x v="0"/>
    <x v="0"/>
    <x v="0"/>
    <x v="0"/>
    <x v="0"/>
    <x v="0"/>
    <x v="0"/>
    <n v="9497888.5199999996"/>
    <n v="120455921.73999999"/>
    <n v="-10672085.58"/>
    <n v="131128007.31999999"/>
  </r>
  <r>
    <x v="0"/>
    <x v="14"/>
    <x v="14"/>
    <x v="6"/>
    <x v="6"/>
    <n v="0"/>
    <n v="0"/>
    <n v="0"/>
    <n v="0"/>
    <n v="0"/>
    <n v="0"/>
    <n v="0"/>
    <n v="0"/>
    <n v="0"/>
    <n v="0"/>
    <n v="0"/>
    <n v="0"/>
    <n v="0"/>
    <n v="0"/>
    <n v="0"/>
    <n v="2854386.9"/>
    <n v="5100171.45"/>
    <n v="7700101.7999999998"/>
    <n v="58435750.909999996"/>
    <n v="448913.26"/>
    <n v="373874.45"/>
    <n v="503930.71"/>
    <n v="1883016.07"/>
    <n v="0"/>
    <n v="454060.84"/>
    <n v="616983.81000000006"/>
    <n v="1523375.77"/>
    <n v="226406.93"/>
    <n v="393757.3"/>
    <n v="1827035.94"/>
    <n v="5756328.3399999999"/>
    <n v="21320.13"/>
    <n v="12333.69"/>
    <n v="44685.53"/>
    <n v="85571.1"/>
    <n v="0"/>
    <n v="7682.22"/>
    <n v="32478.28"/>
    <n v="24444.11"/>
    <n v="1540873.72"/>
    <n v="2536991.58"/>
    <n v="3854315.86"/>
    <n v="7268389.7400000002"/>
    <n v="17049796.09"/>
    <n v="291470.83"/>
    <n v="231867.24"/>
    <n v="307789.15000000002"/>
    <n v="435874.24"/>
    <n v="449045.01"/>
    <n v="6526.48"/>
    <n v="265341.28999999998"/>
    <n v="268130.06"/>
    <n v="351589.59"/>
    <n v="469998.37"/>
    <n v="0"/>
    <n v="0"/>
    <n v="0"/>
    <n v="0"/>
    <n v="0"/>
    <x v="0"/>
    <x v="0"/>
    <x v="0"/>
    <x v="0"/>
    <x v="0"/>
    <x v="0"/>
    <x v="0"/>
    <x v="0"/>
    <x v="0"/>
    <x v="0"/>
    <n v="0"/>
    <n v="0"/>
    <n v="0"/>
    <n v="0"/>
    <n v="0"/>
    <x v="0"/>
    <x v="0"/>
    <x v="0"/>
    <x v="0"/>
    <x v="0"/>
    <x v="0"/>
    <x v="0"/>
    <x v="0"/>
    <x v="0"/>
    <x v="0"/>
    <n v="110952.78"/>
    <n v="220840.95999999999"/>
    <n v="349099.01"/>
    <n v="743035.97"/>
    <n v="4591962.18"/>
    <n v="372.75"/>
    <n v="382.62"/>
    <n v="592.78"/>
    <n v="1263.47"/>
    <n v="1845.18"/>
    <x v="0"/>
    <n v="114.18"/>
    <n v="0"/>
    <x v="0"/>
    <x v="0"/>
    <x v="0"/>
    <x v="0"/>
    <x v="0"/>
    <x v="0"/>
    <x v="0"/>
    <x v="0"/>
    <x v="0"/>
    <x v="0"/>
    <x v="0"/>
    <x v="0"/>
    <x v="0"/>
    <x v="0"/>
    <x v="0"/>
    <x v="0"/>
    <x v="0"/>
    <x v="0"/>
    <x v="0"/>
    <x v="0"/>
    <x v="0"/>
    <x v="0"/>
    <x v="0"/>
    <x v="0"/>
    <x v="0"/>
    <x v="0"/>
    <x v="0"/>
    <x v="0"/>
    <x v="0"/>
    <n v="9114873.2100000009"/>
    <n v="119025998.27"/>
    <n v="-10703645.560000001"/>
    <n v="129729643.83"/>
  </r>
  <r>
    <x v="0"/>
    <x v="14"/>
    <x v="14"/>
    <x v="7"/>
    <x v="7"/>
    <n v="0"/>
    <n v="0"/>
    <n v="0"/>
    <n v="0"/>
    <n v="0"/>
    <n v="0"/>
    <n v="0"/>
    <n v="0"/>
    <n v="0"/>
    <n v="0"/>
    <n v="0"/>
    <n v="0"/>
    <n v="0"/>
    <n v="0"/>
    <n v="0"/>
    <n v="2787866.91"/>
    <n v="5054512.24"/>
    <n v="7502617.2599999998"/>
    <n v="57528849.859999999"/>
    <n v="417595.33"/>
    <n v="351304.31"/>
    <n v="468903.24"/>
    <n v="1691467.88"/>
    <n v="8951.94"/>
    <n v="416742.41"/>
    <n v="625413.61"/>
    <n v="1600287.85"/>
    <n v="225009.34"/>
    <n v="403766.36"/>
    <n v="1861478.67"/>
    <n v="6174651.9100000001"/>
    <n v="18096.48"/>
    <n v="9549.5400000000009"/>
    <n v="38067.800000000003"/>
    <n v="79006.53"/>
    <n v="966.68"/>
    <n v="5566.33"/>
    <n v="32553.66"/>
    <n v="12179.88"/>
    <n v="1447982.32"/>
    <n v="2511563.6"/>
    <n v="3701173.82"/>
    <n v="7279046.6900000004"/>
    <n v="16993168.43"/>
    <n v="272034.3"/>
    <n v="223153.92000000001"/>
    <n v="284061.12"/>
    <n v="416394.64"/>
    <n v="411270.57"/>
    <n v="0"/>
    <n v="259889.96"/>
    <n v="281963.52000000002"/>
    <n v="376930.87"/>
    <n v="507130.49"/>
    <n v="0"/>
    <n v="0"/>
    <n v="0"/>
    <n v="0"/>
    <n v="0"/>
    <x v="0"/>
    <x v="0"/>
    <x v="0"/>
    <x v="0"/>
    <x v="0"/>
    <x v="0"/>
    <x v="0"/>
    <x v="0"/>
    <x v="0"/>
    <x v="0"/>
    <n v="0"/>
    <n v="0"/>
    <n v="0"/>
    <n v="0"/>
    <n v="0"/>
    <x v="0"/>
    <x v="0"/>
    <x v="0"/>
    <x v="0"/>
    <x v="0"/>
    <x v="0"/>
    <x v="0"/>
    <x v="0"/>
    <x v="0"/>
    <x v="0"/>
    <n v="114720.03"/>
    <n v="230894.5"/>
    <n v="356931.05"/>
    <n v="777581.71"/>
    <n v="4653483.46"/>
    <n v="490.03"/>
    <n v="510.95"/>
    <n v="785.57"/>
    <n v="1526.64"/>
    <n v="1659.73"/>
    <x v="0"/>
    <n v="191.4"/>
    <n v="0"/>
    <x v="0"/>
    <x v="0"/>
    <x v="0"/>
    <x v="0"/>
    <x v="0"/>
    <x v="0"/>
    <x v="0"/>
    <x v="0"/>
    <x v="0"/>
    <x v="0"/>
    <x v="0"/>
    <x v="0"/>
    <x v="0"/>
    <x v="0"/>
    <x v="0"/>
    <x v="0"/>
    <x v="0"/>
    <x v="0"/>
    <x v="0"/>
    <x v="0"/>
    <x v="0"/>
    <x v="0"/>
    <x v="0"/>
    <x v="0"/>
    <x v="0"/>
    <x v="0"/>
    <x v="0"/>
    <x v="0"/>
    <x v="0"/>
    <n v="8814647.1799999997"/>
    <n v="117706516.89"/>
    <n v="-10775609.26"/>
    <n v="128482126.15000001"/>
  </r>
  <r>
    <x v="0"/>
    <x v="14"/>
    <x v="14"/>
    <x v="8"/>
    <x v="8"/>
    <n v="0"/>
    <n v="0"/>
    <n v="0"/>
    <n v="0"/>
    <n v="0"/>
    <n v="0"/>
    <n v="0"/>
    <n v="0"/>
    <n v="0"/>
    <n v="0"/>
    <n v="0"/>
    <n v="0"/>
    <n v="0"/>
    <n v="0"/>
    <n v="0"/>
    <n v="2815104.23"/>
    <n v="5123712.1900000004"/>
    <n v="7624667.9800000004"/>
    <n v="56601564.32"/>
    <n v="386594.93"/>
    <n v="342936.91"/>
    <n v="445454.36"/>
    <n v="1507885.2"/>
    <n v="2073.9699999999998"/>
    <n v="359666.5"/>
    <n v="570230.79"/>
    <n v="1752269.48"/>
    <n v="222753.54"/>
    <n v="425091.66"/>
    <n v="1891553.8"/>
    <n v="6396458.3700000001"/>
    <n v="13358.74"/>
    <n v="7604.6"/>
    <n v="27701.360000000001"/>
    <n v="50797.93"/>
    <n v="0"/>
    <n v="3484.44"/>
    <n v="30971.23"/>
    <n v="12568.08"/>
    <n v="1414069.44"/>
    <n v="2604719.5299999998"/>
    <n v="3860154.58"/>
    <n v="7076748.1299999999"/>
    <n v="17011937.649999999"/>
    <n v="239956.71"/>
    <n v="206775.58"/>
    <n v="248834.02"/>
    <n v="337608.06"/>
    <n v="339670.1"/>
    <n v="0"/>
    <n v="219050.93"/>
    <n v="291670.24"/>
    <n v="386593.78"/>
    <n v="547223.9"/>
    <n v="0"/>
    <n v="0"/>
    <n v="0"/>
    <n v="0"/>
    <n v="0"/>
    <x v="0"/>
    <x v="0"/>
    <x v="0"/>
    <x v="0"/>
    <x v="0"/>
    <x v="0"/>
    <x v="0"/>
    <x v="0"/>
    <x v="0"/>
    <x v="0"/>
    <n v="0"/>
    <n v="0"/>
    <n v="0"/>
    <n v="0"/>
    <n v="0"/>
    <x v="0"/>
    <x v="0"/>
    <x v="0"/>
    <x v="0"/>
    <x v="0"/>
    <x v="0"/>
    <x v="0"/>
    <x v="0"/>
    <x v="0"/>
    <x v="0"/>
    <n v="116081.11"/>
    <n v="242358.91"/>
    <n v="382420.91"/>
    <n v="792595.66"/>
    <n v="4673334.25"/>
    <n v="1019.49"/>
    <n v="1046.23"/>
    <n v="1625.04"/>
    <n v="3143.4"/>
    <n v="7645.98"/>
    <x v="0"/>
    <n v="488.28"/>
    <n v="0"/>
    <x v="0"/>
    <x v="0"/>
    <x v="0"/>
    <x v="0"/>
    <x v="0"/>
    <x v="0"/>
    <x v="0"/>
    <x v="0"/>
    <x v="0"/>
    <x v="0"/>
    <x v="0"/>
    <x v="0"/>
    <x v="0"/>
    <x v="0"/>
    <x v="0"/>
    <x v="0"/>
    <x v="0"/>
    <x v="0"/>
    <x v="0"/>
    <x v="0"/>
    <x v="0"/>
    <x v="0"/>
    <x v="0"/>
    <x v="0"/>
    <x v="0"/>
    <x v="0"/>
    <x v="0"/>
    <x v="0"/>
    <x v="0"/>
    <n v="8345950.2599999998"/>
    <n v="116847573.01000001"/>
    <n v="-10858173.27"/>
    <n v="127705746.28"/>
  </r>
  <r>
    <x v="0"/>
    <x v="14"/>
    <x v="14"/>
    <x v="9"/>
    <x v="9"/>
    <n v="0"/>
    <n v="0"/>
    <n v="0"/>
    <n v="0"/>
    <n v="0"/>
    <n v="0"/>
    <n v="0"/>
    <n v="0"/>
    <n v="0"/>
    <n v="0"/>
    <n v="0"/>
    <n v="0"/>
    <n v="0"/>
    <n v="0"/>
    <n v="0"/>
    <n v="2892287.9"/>
    <n v="4958498.49"/>
    <n v="7608462.6100000003"/>
    <n v="56159717.399999999"/>
    <n v="375134.04"/>
    <n v="303505.5"/>
    <n v="412755.22"/>
    <n v="1365314.21"/>
    <n v="36299.49"/>
    <n v="348727.95"/>
    <n v="491698.06"/>
    <n v="1901891.22"/>
    <n v="234804.89"/>
    <n v="402142.05"/>
    <n v="1891386.1"/>
    <n v="6466384.6799999997"/>
    <n v="15715.26"/>
    <n v="7670.84"/>
    <n v="29602.32"/>
    <n v="51136.61"/>
    <n v="11443.83"/>
    <n v="4778.21"/>
    <n v="31370.79"/>
    <n v="14501.11"/>
    <n v="1541458.93"/>
    <n v="2447716.54"/>
    <n v="3863096.66"/>
    <n v="7080270.5899999999"/>
    <n v="17092443.350000001"/>
    <n v="240316.43"/>
    <n v="184493.03"/>
    <n v="227692.79999999999"/>
    <n v="326350.84000000003"/>
    <n v="318327.3"/>
    <n v="10659.62"/>
    <n v="207297.04"/>
    <n v="287433.69"/>
    <n v="406354.22"/>
    <n v="581313.78"/>
    <n v="0"/>
    <n v="0"/>
    <n v="0"/>
    <n v="0"/>
    <n v="0"/>
    <x v="0"/>
    <x v="0"/>
    <x v="0"/>
    <x v="0"/>
    <x v="0"/>
    <x v="0"/>
    <x v="0"/>
    <x v="0"/>
    <x v="0"/>
    <x v="0"/>
    <n v="0"/>
    <n v="0"/>
    <n v="0"/>
    <n v="0"/>
    <n v="0"/>
    <x v="0"/>
    <x v="0"/>
    <x v="0"/>
    <x v="0"/>
    <x v="0"/>
    <x v="0"/>
    <x v="0"/>
    <x v="0"/>
    <x v="0"/>
    <x v="0"/>
    <n v="124172.29"/>
    <n v="246641.4"/>
    <n v="402100.35"/>
    <n v="834312.9"/>
    <n v="4867398.37"/>
    <n v="2075.39"/>
    <n v="1818.74"/>
    <n v="3070.5"/>
    <n v="6036.5"/>
    <n v="21725.65"/>
    <x v="0"/>
    <n v="964.11"/>
    <n v="251.12"/>
    <x v="0"/>
    <x v="0"/>
    <x v="0"/>
    <x v="0"/>
    <x v="0"/>
    <x v="0"/>
    <x v="0"/>
    <x v="0"/>
    <x v="0"/>
    <x v="0"/>
    <x v="0"/>
    <x v="0"/>
    <x v="0"/>
    <x v="0"/>
    <x v="0"/>
    <x v="0"/>
    <x v="0"/>
    <x v="0"/>
    <x v="0"/>
    <x v="0"/>
    <x v="0"/>
    <x v="0"/>
    <x v="0"/>
    <x v="0"/>
    <x v="0"/>
    <x v="0"/>
    <x v="0"/>
    <x v="0"/>
    <x v="0"/>
    <n v="8227725.4199999999"/>
    <n v="116408607.48"/>
    <n v="-11017604.130000001"/>
    <n v="127426211.61"/>
  </r>
  <r>
    <x v="0"/>
    <x v="14"/>
    <x v="14"/>
    <x v="10"/>
    <x v="10"/>
    <n v="0"/>
    <n v="0"/>
    <n v="0"/>
    <n v="0"/>
    <n v="0"/>
    <n v="0"/>
    <n v="0"/>
    <n v="0"/>
    <n v="0"/>
    <n v="0"/>
    <n v="0"/>
    <n v="0"/>
    <n v="0"/>
    <n v="0"/>
    <n v="0"/>
    <n v="2907313.76"/>
    <n v="4815108.59"/>
    <n v="7663982.3200000003"/>
    <n v="55914296.75"/>
    <n v="374121.47"/>
    <n v="301661.81"/>
    <n v="418319.76"/>
    <n v="1304569.5"/>
    <n v="0"/>
    <n v="375733.04"/>
    <n v="482303.31"/>
    <n v="1990395.77"/>
    <n v="239034.34"/>
    <n v="395108.93"/>
    <n v="1907117.63"/>
    <n v="6589794.7699999996"/>
    <n v="11653.27"/>
    <n v="5187.1099999999997"/>
    <n v="16466.05"/>
    <n v="38978.9"/>
    <n v="0"/>
    <n v="15565.9"/>
    <n v="32789.230000000003"/>
    <n v="16698.400000000001"/>
    <n v="1536445.02"/>
    <n v="2340239.8199999998"/>
    <n v="3938554.03"/>
    <n v="6945122.0899999999"/>
    <n v="17282810.190000001"/>
    <n v="250264.26"/>
    <n v="180850.91"/>
    <n v="247887.9"/>
    <n v="335306.31"/>
    <n v="340869.59"/>
    <n v="0"/>
    <n v="225456.84"/>
    <n v="281823.34000000003"/>
    <n v="421011.85"/>
    <n v="610573.29"/>
    <n v="0"/>
    <n v="0"/>
    <n v="0"/>
    <n v="0"/>
    <n v="0"/>
    <x v="0"/>
    <x v="0"/>
    <x v="0"/>
    <x v="0"/>
    <x v="0"/>
    <x v="0"/>
    <x v="0"/>
    <x v="0"/>
    <x v="0"/>
    <x v="0"/>
    <n v="0"/>
    <n v="0"/>
    <n v="0"/>
    <n v="0"/>
    <n v="0"/>
    <x v="0"/>
    <x v="0"/>
    <x v="0"/>
    <x v="0"/>
    <x v="0"/>
    <x v="0"/>
    <x v="0"/>
    <x v="0"/>
    <x v="0"/>
    <x v="0"/>
    <n v="139189.5"/>
    <n v="263576.71999999997"/>
    <n v="446625.07"/>
    <n v="898824.91"/>
    <n v="5349589.22"/>
    <n v="2494.0100000000002"/>
    <n v="2038.69"/>
    <n v="3987.89"/>
    <n v="7096.01"/>
    <n v="25484.82"/>
    <x v="0"/>
    <n v="1911.78"/>
    <n v="396.88"/>
    <x v="0"/>
    <x v="0"/>
    <x v="0"/>
    <x v="0"/>
    <x v="0"/>
    <x v="0"/>
    <x v="0"/>
    <x v="0"/>
    <x v="0"/>
    <x v="0"/>
    <x v="0"/>
    <x v="0"/>
    <x v="0"/>
    <x v="0"/>
    <x v="0"/>
    <x v="0"/>
    <x v="0"/>
    <x v="0"/>
    <x v="0"/>
    <x v="0"/>
    <x v="0"/>
    <x v="0"/>
    <x v="0"/>
    <x v="0"/>
    <x v="0"/>
    <x v="0"/>
    <x v="0"/>
    <x v="0"/>
    <x v="0"/>
    <n v="8321897.8899999997"/>
    <n v="116865253.2"/>
    <n v="-11129302.25"/>
    <n v="127994555.45"/>
  </r>
  <r>
    <x v="0"/>
    <x v="14"/>
    <x v="14"/>
    <x v="11"/>
    <x v="11"/>
    <n v="0"/>
    <n v="0"/>
    <n v="0"/>
    <n v="0"/>
    <n v="0"/>
    <n v="0"/>
    <n v="0"/>
    <n v="0"/>
    <n v="0"/>
    <n v="0"/>
    <n v="0"/>
    <n v="0"/>
    <n v="0"/>
    <n v="0"/>
    <n v="0"/>
    <n v="2814407.7"/>
    <n v="5059527.75"/>
    <n v="7290256.4800000004"/>
    <n v="55422264.950000003"/>
    <n v="358739.63"/>
    <n v="307915.61"/>
    <n v="387225.12"/>
    <n v="1287158.1000000001"/>
    <n v="26417.15"/>
    <n v="359466.26"/>
    <n v="438827.13"/>
    <n v="2070997.1"/>
    <n v="234279.46"/>
    <n v="432615.3"/>
    <n v="1891762.87"/>
    <n v="6616600.1500000004"/>
    <n v="11973.48"/>
    <n v="5929.59"/>
    <n v="20731.96"/>
    <n v="46192.39"/>
    <n v="0"/>
    <n v="15404.86"/>
    <n v="33777.1"/>
    <n v="18929.91"/>
    <n v="1482912"/>
    <n v="2588097.5099999998"/>
    <n v="3675243.82"/>
    <n v="7030998.5300000003"/>
    <n v="17297638.859999999"/>
    <n v="241367.15"/>
    <n v="189784.4"/>
    <n v="230784.56"/>
    <n v="326595.98"/>
    <n v="361817.57"/>
    <n v="799.43"/>
    <n v="218829.03"/>
    <n v="264979.39"/>
    <n v="442235.21"/>
    <n v="655319.62"/>
    <n v="0"/>
    <n v="0"/>
    <n v="0"/>
    <n v="0"/>
    <n v="0"/>
    <x v="0"/>
    <x v="0"/>
    <x v="0"/>
    <x v="0"/>
    <x v="0"/>
    <x v="0"/>
    <x v="0"/>
    <x v="0"/>
    <x v="0"/>
    <x v="0"/>
    <n v="0"/>
    <n v="0"/>
    <n v="0"/>
    <n v="0"/>
    <n v="0"/>
    <x v="0"/>
    <x v="0"/>
    <x v="0"/>
    <x v="0"/>
    <x v="0"/>
    <x v="0"/>
    <x v="0"/>
    <x v="0"/>
    <x v="0"/>
    <x v="0"/>
    <n v="162040.84"/>
    <n v="334946.76"/>
    <n v="513659.08"/>
    <n v="1076035.8999999999"/>
    <n v="6295915.8499999996"/>
    <n v="3023.74"/>
    <n v="2742.25"/>
    <n v="4045.03"/>
    <n v="7869.03"/>
    <n v="27885.200000000001"/>
    <x v="0"/>
    <n v="2180.3200000000002"/>
    <n v="768.79"/>
    <x v="0"/>
    <x v="0"/>
    <x v="0"/>
    <x v="0"/>
    <x v="0"/>
    <x v="0"/>
    <x v="0"/>
    <x v="0"/>
    <x v="0"/>
    <x v="0"/>
    <x v="0"/>
    <x v="0"/>
    <x v="0"/>
    <x v="0"/>
    <x v="0"/>
    <x v="0"/>
    <x v="0"/>
    <x v="0"/>
    <x v="0"/>
    <x v="0"/>
    <x v="0"/>
    <x v="0"/>
    <x v="0"/>
    <x v="0"/>
    <x v="0"/>
    <x v="0"/>
    <x v="0"/>
    <x v="0"/>
    <x v="0"/>
    <n v="8373060.7199999997"/>
    <n v="117681609.40000001"/>
    <n v="-11006528.35"/>
    <n v="128688137.75"/>
  </r>
  <r>
    <x v="0"/>
    <x v="15"/>
    <x v="15"/>
    <x v="0"/>
    <x v="0"/>
    <n v="410474.19"/>
    <n v="564333.54"/>
    <n v="967892"/>
    <n v="1360843.63"/>
    <n v="3530694.56"/>
    <n v="44497.81"/>
    <n v="35856.22"/>
    <n v="37482.74"/>
    <n v="44132.38"/>
    <n v="70966.710000000006"/>
    <n v="0"/>
    <n v="46480.02"/>
    <n v="56342.79"/>
    <n v="78889.460000000006"/>
    <n v="48686.2"/>
    <n v="5824052.5899999999"/>
    <n v="7538485.7000000002"/>
    <n v="10608181.130000001"/>
    <n v="81914528.549999997"/>
    <n v="457473.04"/>
    <n v="543354.31999999995"/>
    <n v="621039.01"/>
    <n v="2256510.15"/>
    <n v="197816.27"/>
    <n v="311756.46999999997"/>
    <n v="416843.47"/>
    <n v="1876919.69"/>
    <n v="528084.03"/>
    <n v="961469.09"/>
    <n v="4425211.16"/>
    <n v="18636548.93"/>
    <n v="49304.2"/>
    <n v="30321.7"/>
    <n v="133951.38"/>
    <n v="314599.40000000002"/>
    <n v="0"/>
    <n v="17422.41"/>
    <n v="61560.99"/>
    <n v="29160.58"/>
    <n v="3424121.1"/>
    <n v="6594167.71"/>
    <n v="9297728.1400000006"/>
    <n v="16233167.380000001"/>
    <n v="53257903.25"/>
    <n v="522782.06"/>
    <n v="772963.8"/>
    <n v="1043413.82"/>
    <n v="1597761.19"/>
    <n v="2279451.96"/>
    <n v="299053.78999999998"/>
    <n v="496041.11"/>
    <n v="451506.23"/>
    <n v="471972.74"/>
    <n v="67425.259999999995"/>
    <n v="0"/>
    <n v="6802.83"/>
    <n v="11486.08"/>
    <n v="23923.53"/>
    <n v="117787.56"/>
    <x v="0"/>
    <x v="0"/>
    <x v="0"/>
    <x v="0"/>
    <x v="0"/>
    <x v="0"/>
    <x v="0"/>
    <x v="0"/>
    <x v="0"/>
    <x v="0"/>
    <n v="0"/>
    <n v="0"/>
    <n v="0"/>
    <n v="0"/>
    <n v="0"/>
    <x v="0"/>
    <x v="0"/>
    <x v="0"/>
    <x v="0"/>
    <x v="0"/>
    <x v="0"/>
    <x v="0"/>
    <x v="0"/>
    <x v="0"/>
    <x v="0"/>
    <n v="1156.01"/>
    <n v="2807.5"/>
    <n v="4306.63"/>
    <n v="9028.32"/>
    <n v="80627"/>
    <n v="0"/>
    <n v="0"/>
    <n v="0"/>
    <n v="0"/>
    <n v="0"/>
    <x v="0"/>
    <n v="0"/>
    <n v="0"/>
    <x v="0"/>
    <x v="0"/>
    <x v="0"/>
    <x v="0"/>
    <x v="0"/>
    <x v="0"/>
    <x v="0"/>
    <x v="0"/>
    <x v="0"/>
    <x v="0"/>
    <x v="0"/>
    <x v="0"/>
    <x v="0"/>
    <x v="0"/>
    <x v="0"/>
    <x v="0"/>
    <x v="0"/>
    <x v="0"/>
    <x v="0"/>
    <x v="0"/>
    <x v="0"/>
    <x v="0"/>
    <x v="0"/>
    <x v="0"/>
    <x v="0"/>
    <x v="0"/>
    <x v="0"/>
    <x v="0"/>
    <x v="0"/>
    <n v="15783739.369999999"/>
    <n v="229996110.97"/>
    <n v="-12123440.539999999"/>
    <n v="242119551.50999999"/>
  </r>
  <r>
    <x v="0"/>
    <x v="15"/>
    <x v="15"/>
    <x v="1"/>
    <x v="1"/>
    <n v="309611.71000000002"/>
    <n v="573032.31999999995"/>
    <n v="1051843.69"/>
    <n v="1322612.5"/>
    <n v="3434475.5"/>
    <n v="49869.25"/>
    <n v="35674.120000000003"/>
    <n v="46176.68"/>
    <n v="46297.73"/>
    <n v="80717.070000000007"/>
    <n v="0"/>
    <n v="47097.86"/>
    <n v="62351.040000000001"/>
    <n v="81168.179999999993"/>
    <n v="60460.160000000003"/>
    <n v="5883110.2000000002"/>
    <n v="7156074.7300000004"/>
    <n v="10553714.619999999"/>
    <n v="80139993.480000004"/>
    <n v="470107.81"/>
    <n v="656192.55000000005"/>
    <n v="773180.23"/>
    <n v="2985702.93"/>
    <n v="228348.47"/>
    <n v="331088.40999999997"/>
    <n v="445605.31"/>
    <n v="1917029.61"/>
    <n v="551894.94999999995"/>
    <n v="947476.11"/>
    <n v="4444062.08"/>
    <n v="18599350.149999999"/>
    <n v="49128.32"/>
    <n v="29887.07"/>
    <n v="133129.23000000001"/>
    <n v="292030.26"/>
    <n v="0"/>
    <n v="17404.72"/>
    <n v="66631"/>
    <n v="30241.93"/>
    <n v="3468140.56"/>
    <n v="6471185.8399999999"/>
    <n v="9148447.9000000004"/>
    <n v="15871186.949999999"/>
    <n v="51400357.5"/>
    <n v="553870.18999999994"/>
    <n v="797132.38"/>
    <n v="1118971.77"/>
    <n v="1707180.57"/>
    <n v="2464571.4"/>
    <n v="342420.83"/>
    <n v="515840.39"/>
    <n v="505746.14"/>
    <n v="535251.6"/>
    <n v="117325.77"/>
    <n v="3086.46"/>
    <n v="22273.67"/>
    <n v="25047.49"/>
    <n v="52810.73"/>
    <n v="406781.65"/>
    <x v="0"/>
    <x v="0"/>
    <x v="0"/>
    <x v="0"/>
    <x v="0"/>
    <x v="0"/>
    <x v="0"/>
    <x v="0"/>
    <x v="0"/>
    <x v="0"/>
    <n v="0"/>
    <n v="0"/>
    <n v="0"/>
    <n v="0"/>
    <n v="0"/>
    <x v="0"/>
    <x v="0"/>
    <x v="0"/>
    <x v="0"/>
    <x v="0"/>
    <x v="0"/>
    <x v="0"/>
    <x v="0"/>
    <x v="0"/>
    <x v="0"/>
    <n v="1422.53"/>
    <n v="2781.69"/>
    <n v="4357.84"/>
    <n v="9173.32"/>
    <n v="79034.070000000007"/>
    <n v="0"/>
    <n v="0"/>
    <n v="0"/>
    <n v="0"/>
    <n v="0"/>
    <x v="0"/>
    <n v="0"/>
    <n v="0"/>
    <x v="0"/>
    <x v="0"/>
    <x v="0"/>
    <x v="0"/>
    <x v="0"/>
    <x v="0"/>
    <x v="0"/>
    <x v="0"/>
    <x v="0"/>
    <x v="0"/>
    <x v="0"/>
    <x v="0"/>
    <x v="0"/>
    <x v="0"/>
    <x v="0"/>
    <x v="0"/>
    <x v="0"/>
    <x v="0"/>
    <x v="0"/>
    <x v="0"/>
    <x v="0"/>
    <x v="0"/>
    <x v="0"/>
    <x v="0"/>
    <x v="0"/>
    <x v="0"/>
    <x v="0"/>
    <x v="0"/>
    <x v="0"/>
    <n v="17593830.98"/>
    <n v="226723927"/>
    <n v="-12803244.220000001"/>
    <n v="239527171.22"/>
  </r>
  <r>
    <x v="0"/>
    <x v="15"/>
    <x v="15"/>
    <x v="2"/>
    <x v="2"/>
    <n v="303722.48"/>
    <n v="579758.52"/>
    <n v="1014207.87"/>
    <n v="1299771.45"/>
    <n v="3481563.03"/>
    <n v="65799.41"/>
    <n v="52614.1"/>
    <n v="70658.960000000006"/>
    <n v="73120.800000000003"/>
    <n v="199503.59"/>
    <n v="498.13"/>
    <n v="56202.15"/>
    <n v="62000.6"/>
    <n v="97592.960000000006"/>
    <n v="65862.039999999994"/>
    <n v="5335614.8600000003"/>
    <n v="7219083.7400000002"/>
    <n v="10771690.25"/>
    <n v="80386390.489999995"/>
    <n v="394639.08"/>
    <n v="778925.27"/>
    <n v="597856.73"/>
    <n v="2163029.0499999998"/>
    <n v="201856.33"/>
    <n v="416701.47"/>
    <n v="447965.27"/>
    <n v="1988902.28"/>
    <n v="534051.79"/>
    <n v="966136.83"/>
    <n v="4433790.5599999996"/>
    <n v="18418986.100000001"/>
    <n v="49401.599999999999"/>
    <n v="32103.85"/>
    <n v="131828.12"/>
    <n v="301432.96999999997"/>
    <n v="0"/>
    <n v="16034.01"/>
    <n v="75191.41"/>
    <n v="32272.35"/>
    <n v="3343054.24"/>
    <n v="6564143.8899999997"/>
    <n v="9096329.1999999993"/>
    <n v="16008241.109999999"/>
    <n v="49843721.450000003"/>
    <n v="506079.09"/>
    <n v="798185.92"/>
    <n v="1011993.33"/>
    <n v="1527568.86"/>
    <n v="2073757.59"/>
    <n v="338690.4"/>
    <n v="572082.04"/>
    <n v="545388.6"/>
    <n v="632738.52"/>
    <n v="155305.25"/>
    <n v="3716.37"/>
    <n v="22403.02"/>
    <n v="25118.89"/>
    <n v="53181.25"/>
    <n v="402494.01"/>
    <x v="0"/>
    <x v="0"/>
    <x v="0"/>
    <x v="0"/>
    <x v="0"/>
    <x v="0"/>
    <x v="0"/>
    <x v="0"/>
    <x v="0"/>
    <x v="0"/>
    <n v="0"/>
    <n v="0"/>
    <n v="0"/>
    <n v="0"/>
    <n v="0"/>
    <x v="0"/>
    <x v="0"/>
    <x v="0"/>
    <x v="0"/>
    <x v="0"/>
    <x v="0"/>
    <x v="0"/>
    <x v="0"/>
    <x v="0"/>
    <x v="0"/>
    <n v="1384.97"/>
    <n v="2832.61"/>
    <n v="4389.32"/>
    <n v="9399.2999999999993"/>
    <n v="77340.72"/>
    <n v="0"/>
    <n v="0"/>
    <n v="0"/>
    <n v="0"/>
    <n v="0"/>
    <x v="0"/>
    <n v="0"/>
    <n v="0"/>
    <x v="0"/>
    <x v="0"/>
    <x v="0"/>
    <x v="0"/>
    <x v="0"/>
    <x v="0"/>
    <x v="0"/>
    <x v="0"/>
    <x v="0"/>
    <x v="0"/>
    <x v="0"/>
    <x v="0"/>
    <x v="0"/>
    <x v="0"/>
    <x v="0"/>
    <x v="0"/>
    <x v="0"/>
    <x v="0"/>
    <x v="0"/>
    <x v="0"/>
    <x v="0"/>
    <x v="0"/>
    <x v="0"/>
    <x v="0"/>
    <x v="0"/>
    <x v="0"/>
    <x v="0"/>
    <x v="0"/>
    <x v="0"/>
    <n v="16533782.130000001"/>
    <n v="224133511.75"/>
    <n v="-12602788.699999999"/>
    <n v="236736300.44999999"/>
  </r>
  <r>
    <x v="0"/>
    <x v="15"/>
    <x v="15"/>
    <x v="3"/>
    <x v="3"/>
    <n v="321532.78000000003"/>
    <n v="714061.42"/>
    <n v="877760.46"/>
    <n v="1320287.42"/>
    <n v="3532781.2"/>
    <n v="61041.93"/>
    <n v="56154.15"/>
    <n v="68608.67"/>
    <n v="82990.36"/>
    <n v="170700.54"/>
    <n v="0"/>
    <n v="61449.74"/>
    <n v="62447.92"/>
    <n v="100908.69"/>
    <n v="80996.070000000007"/>
    <n v="5167798.71"/>
    <n v="7380445.1500000004"/>
    <n v="10667818.92"/>
    <n v="79698833.099999994"/>
    <n v="394391.65"/>
    <n v="713763.71"/>
    <n v="595592.92000000004"/>
    <n v="2178580.2599999998"/>
    <n v="211270.3"/>
    <n v="484684.65"/>
    <n v="462629.49"/>
    <n v="2041590.2"/>
    <n v="539682.82999999996"/>
    <n v="965726.22"/>
    <n v="4437724.13"/>
    <n v="18199623.09"/>
    <n v="55426.29"/>
    <n v="34989.83"/>
    <n v="143536.37"/>
    <n v="379718.39"/>
    <n v="0"/>
    <n v="17587.16"/>
    <n v="76075.009999999995"/>
    <n v="39994.769999999997"/>
    <n v="3309525.43"/>
    <n v="6413844.5800000001"/>
    <n v="8857487.0399999991"/>
    <n v="15663617.75"/>
    <n v="48158821.579999998"/>
    <n v="541169.76"/>
    <n v="805060.84"/>
    <n v="1043603.96"/>
    <n v="1585524.37"/>
    <n v="2156749.54"/>
    <n v="347688.58"/>
    <n v="642929.5"/>
    <n v="574726.13"/>
    <n v="670338.24"/>
    <n v="244757.79"/>
    <n v="18557.3"/>
    <n v="10788.98"/>
    <n v="30662.45"/>
    <n v="65272.160000000003"/>
    <n v="527916.28"/>
    <x v="0"/>
    <x v="0"/>
    <x v="0"/>
    <x v="0"/>
    <x v="0"/>
    <x v="0"/>
    <x v="0"/>
    <x v="0"/>
    <x v="0"/>
    <x v="0"/>
    <n v="0"/>
    <n v="0"/>
    <n v="0"/>
    <n v="0"/>
    <n v="0"/>
    <x v="0"/>
    <x v="0"/>
    <x v="0"/>
    <x v="0"/>
    <x v="0"/>
    <x v="0"/>
    <x v="0"/>
    <x v="0"/>
    <x v="0"/>
    <x v="0"/>
    <n v="1396.72"/>
    <n v="2909.91"/>
    <n v="4376.9799999999996"/>
    <n v="9500.0300000000007"/>
    <n v="75778.31"/>
    <n v="0"/>
    <n v="0"/>
    <n v="0"/>
    <n v="0"/>
    <n v="0"/>
    <x v="0"/>
    <n v="0"/>
    <n v="0"/>
    <x v="0"/>
    <x v="0"/>
    <x v="0"/>
    <x v="0"/>
    <x v="0"/>
    <x v="0"/>
    <x v="0"/>
    <x v="0"/>
    <x v="0"/>
    <x v="0"/>
    <x v="0"/>
    <x v="0"/>
    <x v="0"/>
    <x v="0"/>
    <x v="0"/>
    <x v="0"/>
    <x v="0"/>
    <x v="0"/>
    <x v="0"/>
    <x v="0"/>
    <x v="0"/>
    <x v="0"/>
    <x v="0"/>
    <x v="0"/>
    <x v="0"/>
    <x v="0"/>
    <x v="0"/>
    <x v="0"/>
    <x v="0"/>
    <n v="17187677.780000001"/>
    <n v="221188672.13999999"/>
    <n v="-12973536.57"/>
    <n v="234162208.71000001"/>
  </r>
  <r>
    <x v="0"/>
    <x v="15"/>
    <x v="15"/>
    <x v="4"/>
    <x v="4"/>
    <n v="329242.2"/>
    <n v="841030.36"/>
    <n v="916020.91"/>
    <n v="1509223.98"/>
    <n v="3840047"/>
    <n v="60582.66"/>
    <n v="56320.639999999999"/>
    <n v="66977.960000000006"/>
    <n v="93296.19"/>
    <n v="188746.82"/>
    <n v="0"/>
    <n v="59589.53"/>
    <n v="58978.82"/>
    <n v="109175.72"/>
    <n v="90264.21"/>
    <n v="5138921.9400000004"/>
    <n v="7247354.2999999998"/>
    <n v="10652845.18"/>
    <n v="78990742.379999995"/>
    <n v="430220.93"/>
    <n v="637394.61"/>
    <n v="695699.28"/>
    <n v="2725409.14"/>
    <n v="248634.42"/>
    <n v="391413.26"/>
    <n v="775382.68"/>
    <n v="2111325.31"/>
    <n v="542975.52"/>
    <n v="959880.44"/>
    <n v="4440449.03"/>
    <n v="17934402.850000001"/>
    <n v="56721.67"/>
    <n v="36629.65"/>
    <n v="145826.29999999999"/>
    <n v="424676.56"/>
    <n v="0"/>
    <n v="17475.32"/>
    <n v="78371.61"/>
    <n v="45468.26"/>
    <n v="3235872.11"/>
    <n v="6222294.4299999997"/>
    <n v="8718173.3599999994"/>
    <n v="15309751.66"/>
    <n v="46296695.640000001"/>
    <n v="566258.98"/>
    <n v="889272.18"/>
    <n v="1140862.8"/>
    <n v="1782841.12"/>
    <n v="2444717.91"/>
    <n v="406881.11"/>
    <n v="656730.6"/>
    <n v="635471.42000000004"/>
    <n v="740484.75"/>
    <n v="329641.12"/>
    <n v="5037.88"/>
    <n v="34932.94"/>
    <n v="50398.94"/>
    <n v="106164.34"/>
    <n v="938105.77"/>
    <x v="0"/>
    <x v="0"/>
    <x v="0"/>
    <x v="0"/>
    <x v="0"/>
    <x v="0"/>
    <x v="0"/>
    <x v="0"/>
    <x v="0"/>
    <x v="0"/>
    <n v="0"/>
    <n v="0"/>
    <n v="0"/>
    <n v="0"/>
    <n v="0"/>
    <x v="0"/>
    <x v="0"/>
    <x v="0"/>
    <x v="0"/>
    <x v="0"/>
    <x v="0"/>
    <x v="0"/>
    <x v="0"/>
    <x v="0"/>
    <x v="0"/>
    <n v="1435.89"/>
    <n v="2921.95"/>
    <n v="4485.84"/>
    <n v="9665.6200000000008"/>
    <n v="74055.929999999993"/>
    <n v="0"/>
    <n v="0"/>
    <n v="0"/>
    <n v="0"/>
    <n v="0"/>
    <x v="0"/>
    <n v="0"/>
    <n v="0"/>
    <x v="0"/>
    <x v="0"/>
    <x v="0"/>
    <x v="0"/>
    <x v="0"/>
    <x v="0"/>
    <x v="0"/>
    <x v="0"/>
    <x v="0"/>
    <x v="0"/>
    <x v="0"/>
    <x v="0"/>
    <x v="0"/>
    <x v="0"/>
    <x v="0"/>
    <x v="0"/>
    <x v="0"/>
    <x v="0"/>
    <x v="0"/>
    <x v="0"/>
    <x v="0"/>
    <x v="0"/>
    <x v="0"/>
    <x v="0"/>
    <x v="0"/>
    <x v="0"/>
    <x v="0"/>
    <x v="0"/>
    <x v="0"/>
    <n v="19197743.539999999"/>
    <n v="220268382.75999999"/>
    <n v="-13282489.17"/>
    <n v="233550871.93000001"/>
  </r>
  <r>
    <x v="0"/>
    <x v="15"/>
    <x v="15"/>
    <x v="5"/>
    <x v="5"/>
    <n v="439786.35"/>
    <n v="655291.18000000005"/>
    <n v="882335.06"/>
    <n v="1519301.18"/>
    <n v="3784182.3"/>
    <n v="64468.81"/>
    <n v="58364.22"/>
    <n v="69135.58"/>
    <n v="104130.73"/>
    <n v="217447.72"/>
    <n v="0"/>
    <n v="58276.12"/>
    <n v="62011.93"/>
    <n v="118866.33"/>
    <n v="95835.17"/>
    <n v="5228251.75"/>
    <n v="7345883.3499999996"/>
    <n v="10766228.890000001"/>
    <n v="80205209.819999993"/>
    <n v="401333.46"/>
    <n v="604076.5"/>
    <n v="669297.48"/>
    <n v="2625638.96"/>
    <n v="234849.12"/>
    <n v="414270.73"/>
    <n v="809729.32"/>
    <n v="2156007.81"/>
    <n v="551700.1"/>
    <n v="962001.04"/>
    <n v="4443178.7699999996"/>
    <n v="17892742.859999999"/>
    <n v="52675.59"/>
    <n v="34203.06"/>
    <n v="129559.21"/>
    <n v="318581.53999999998"/>
    <n v="0"/>
    <n v="16068.02"/>
    <n v="82756.639999999999"/>
    <n v="39013.07"/>
    <n v="3175017.7"/>
    <n v="6216062.6699999999"/>
    <n v="8692062.7200000007"/>
    <n v="15304911.4"/>
    <n v="45766438.789999999"/>
    <n v="536290.74"/>
    <n v="849785.87"/>
    <n v="1090649.8500000001"/>
    <n v="1666148.34"/>
    <n v="2153907.06"/>
    <n v="385162.32"/>
    <n v="708629.82"/>
    <n v="699406.53"/>
    <n v="836424.64"/>
    <n v="393999.34"/>
    <n v="9726.65"/>
    <n v="47686.54"/>
    <n v="69659.13"/>
    <n v="145607.04000000001"/>
    <n v="1276922.6299999999"/>
    <x v="0"/>
    <x v="0"/>
    <x v="0"/>
    <x v="0"/>
    <x v="0"/>
    <x v="0"/>
    <x v="0"/>
    <x v="0"/>
    <x v="0"/>
    <x v="0"/>
    <n v="0"/>
    <n v="0"/>
    <n v="0"/>
    <n v="0"/>
    <n v="0"/>
    <x v="0"/>
    <x v="0"/>
    <x v="0"/>
    <x v="0"/>
    <x v="0"/>
    <x v="0"/>
    <x v="0"/>
    <x v="0"/>
    <x v="0"/>
    <x v="0"/>
    <n v="1474.02"/>
    <n v="2915.3"/>
    <n v="4594.09"/>
    <n v="9747.49"/>
    <n v="72398.44"/>
    <n v="0"/>
    <n v="0"/>
    <n v="0"/>
    <n v="0"/>
    <n v="0"/>
    <x v="0"/>
    <n v="0"/>
    <n v="0"/>
    <x v="0"/>
    <x v="0"/>
    <x v="0"/>
    <x v="0"/>
    <x v="0"/>
    <x v="0"/>
    <x v="0"/>
    <x v="0"/>
    <x v="0"/>
    <x v="0"/>
    <x v="0"/>
    <x v="0"/>
    <x v="0"/>
    <x v="0"/>
    <x v="0"/>
    <x v="0"/>
    <x v="0"/>
    <x v="0"/>
    <x v="0"/>
    <x v="0"/>
    <x v="0"/>
    <x v="0"/>
    <x v="0"/>
    <x v="0"/>
    <x v="0"/>
    <x v="0"/>
    <x v="0"/>
    <x v="0"/>
    <x v="0"/>
    <n v="18757001.629999999"/>
    <n v="220853607.94999999"/>
    <n v="-13374710.939999999"/>
    <n v="234228318.88999999"/>
  </r>
  <r>
    <x v="0"/>
    <x v="15"/>
    <x v="15"/>
    <x v="6"/>
    <x v="6"/>
    <n v="505594.45"/>
    <n v="515249.97"/>
    <n v="948602.04"/>
    <n v="1433674.53"/>
    <n v="3831337.62"/>
    <n v="61234.75"/>
    <n v="50964.11"/>
    <n v="60733.919999999998"/>
    <n v="87515.33"/>
    <n v="273317.43"/>
    <n v="0"/>
    <n v="50192.69"/>
    <n v="58601.22"/>
    <n v="102626.88"/>
    <n v="121575.71"/>
    <n v="5454204.04"/>
    <n v="7656252.25"/>
    <n v="11220950.189999999"/>
    <n v="80696083.730000004"/>
    <n v="466413.14"/>
    <n v="487797.8"/>
    <n v="518918.12"/>
    <n v="1968720.67"/>
    <n v="0"/>
    <n v="445911.21"/>
    <n v="914824.72"/>
    <n v="2307491.86"/>
    <n v="551630.01"/>
    <n v="960433.24"/>
    <n v="4455155.63"/>
    <n v="17762321.77"/>
    <n v="62369.95"/>
    <n v="41521.120000000003"/>
    <n v="158010.35999999999"/>
    <n v="388917.18"/>
    <n v="0"/>
    <n v="17887.03"/>
    <n v="80530.820000000007"/>
    <n v="47764.86"/>
    <n v="3508013.01"/>
    <n v="6530698.2300000004"/>
    <n v="9187864.2599999998"/>
    <n v="16133477.16"/>
    <n v="40116849.159999996"/>
    <n v="1100881.9199999999"/>
    <n v="979219.51"/>
    <n v="1251853.99"/>
    <n v="1878600.4"/>
    <n v="2096115.26"/>
    <n v="0"/>
    <n v="1069416.1000000001"/>
    <n v="1248078.83"/>
    <n v="1313765.54"/>
    <n v="545373.15"/>
    <n v="29770.92"/>
    <n v="35646.120000000003"/>
    <n v="70197.850000000006"/>
    <n v="146883.16"/>
    <n v="1257377.29"/>
    <x v="0"/>
    <x v="0"/>
    <x v="0"/>
    <x v="0"/>
    <x v="0"/>
    <x v="0"/>
    <x v="0"/>
    <x v="0"/>
    <x v="0"/>
    <x v="0"/>
    <n v="0"/>
    <n v="0"/>
    <n v="0"/>
    <n v="0"/>
    <n v="0"/>
    <x v="0"/>
    <x v="0"/>
    <x v="0"/>
    <x v="0"/>
    <x v="0"/>
    <x v="0"/>
    <x v="0"/>
    <x v="0"/>
    <x v="0"/>
    <x v="0"/>
    <n v="1447.93"/>
    <n v="2929.05"/>
    <n v="4651.34"/>
    <n v="9886.8799999999992"/>
    <n v="70740.12"/>
    <n v="0"/>
    <n v="0"/>
    <n v="0"/>
    <n v="0"/>
    <n v="0"/>
    <x v="0"/>
    <n v="0"/>
    <n v="0"/>
    <x v="0"/>
    <x v="0"/>
    <x v="0"/>
    <x v="0"/>
    <x v="0"/>
    <x v="0"/>
    <x v="0"/>
    <x v="0"/>
    <x v="0"/>
    <x v="0"/>
    <x v="0"/>
    <x v="0"/>
    <x v="0"/>
    <x v="0"/>
    <x v="0"/>
    <x v="0"/>
    <x v="0"/>
    <x v="0"/>
    <x v="0"/>
    <x v="0"/>
    <x v="0"/>
    <x v="0"/>
    <x v="0"/>
    <x v="0"/>
    <x v="0"/>
    <x v="0"/>
    <x v="0"/>
    <x v="0"/>
    <x v="0"/>
    <n v="20257145.579999998"/>
    <n v="218783238.66999999"/>
    <n v="-14571828.859999999"/>
    <n v="233355067.53"/>
  </r>
  <r>
    <x v="0"/>
    <x v="15"/>
    <x v="15"/>
    <x v="7"/>
    <x v="7"/>
    <n v="402703.17"/>
    <n v="736217.97"/>
    <n v="909882.81"/>
    <n v="1609569.13"/>
    <n v="4323444.37"/>
    <n v="67210.11"/>
    <n v="54395.12"/>
    <n v="71365.88"/>
    <n v="94795.5"/>
    <n v="311139.34000000003"/>
    <n v="0"/>
    <n v="131467.44"/>
    <n v="55390.92"/>
    <n v="115980.6"/>
    <n v="128254.43"/>
    <n v="5442984.0899999999"/>
    <n v="7663890.9400000004"/>
    <n v="11370233.25"/>
    <n v="81088892.209999993"/>
    <n v="452859.99"/>
    <n v="465347.6"/>
    <n v="516228.4"/>
    <n v="1844447.55"/>
    <n v="0"/>
    <n v="427677.92"/>
    <n v="647182.21"/>
    <n v="2644234.14"/>
    <n v="551462.07999999996"/>
    <n v="963699.41"/>
    <n v="4436426.5999999996"/>
    <n v="17632028.32"/>
    <n v="72811.520000000004"/>
    <n v="43489.49"/>
    <n v="178849.17"/>
    <n v="450791.37"/>
    <n v="0"/>
    <n v="17835.03"/>
    <n v="89427.38"/>
    <n v="49995.4"/>
    <n v="3430140.24"/>
    <n v="6535413.7800000003"/>
    <n v="9084681.3900000006"/>
    <n v="15937391.050000001"/>
    <n v="39086342.990000002"/>
    <n v="1079525.4099999999"/>
    <n v="954355.93"/>
    <n v="1185743.24"/>
    <n v="1753739.33"/>
    <n v="1844142.79"/>
    <n v="0"/>
    <n v="999184.58"/>
    <n v="1311755.96"/>
    <n v="1558498.62"/>
    <n v="623198.84"/>
    <n v="17915.62"/>
    <n v="50826.89"/>
    <n v="70807.16"/>
    <n v="149125.07"/>
    <n v="1221429.68"/>
    <x v="0"/>
    <x v="0"/>
    <x v="0"/>
    <x v="0"/>
    <x v="0"/>
    <x v="0"/>
    <x v="0"/>
    <x v="0"/>
    <x v="0"/>
    <x v="0"/>
    <n v="0"/>
    <n v="0"/>
    <n v="0"/>
    <n v="0"/>
    <n v="0"/>
    <x v="0"/>
    <x v="0"/>
    <x v="0"/>
    <x v="0"/>
    <x v="0"/>
    <x v="0"/>
    <x v="0"/>
    <x v="0"/>
    <x v="0"/>
    <x v="0"/>
    <n v="1510.77"/>
    <n v="3018.47"/>
    <n v="4687.4799999999996"/>
    <n v="10037.91"/>
    <n v="68996.160000000003"/>
    <n v="0"/>
    <n v="0"/>
    <n v="0"/>
    <n v="0"/>
    <n v="0"/>
    <x v="0"/>
    <n v="0"/>
    <n v="0"/>
    <x v="0"/>
    <x v="0"/>
    <x v="0"/>
    <x v="0"/>
    <x v="0"/>
    <x v="0"/>
    <x v="0"/>
    <x v="0"/>
    <x v="0"/>
    <x v="0"/>
    <x v="0"/>
    <x v="0"/>
    <x v="0"/>
    <x v="0"/>
    <x v="0"/>
    <x v="0"/>
    <x v="0"/>
    <x v="0"/>
    <x v="0"/>
    <x v="0"/>
    <x v="0"/>
    <x v="0"/>
    <x v="0"/>
    <x v="0"/>
    <x v="0"/>
    <x v="0"/>
    <x v="0"/>
    <x v="0"/>
    <x v="0"/>
    <n v="20241321.210000001"/>
    <n v="218111141.43000001"/>
    <n v="-14933938.789999999"/>
    <n v="233045080.22"/>
  </r>
  <r>
    <x v="0"/>
    <x v="15"/>
    <x v="15"/>
    <x v="8"/>
    <x v="8"/>
    <n v="307537.03999999998"/>
    <n v="731092.37"/>
    <n v="906825.56"/>
    <n v="1580708.69"/>
    <n v="4371906.1500000004"/>
    <n v="52203.45"/>
    <n v="46518.44"/>
    <n v="58279.23"/>
    <n v="89338.86"/>
    <n v="159840.54"/>
    <n v="0"/>
    <n v="152287.51999999999"/>
    <n v="54038.71"/>
    <n v="103285.97"/>
    <n v="154246.03"/>
    <n v="5413802.6399999997"/>
    <n v="7648904.9699999997"/>
    <n v="11629115.4"/>
    <n v="80856567.700000003"/>
    <n v="447950.02"/>
    <n v="342387.47"/>
    <n v="446584.08"/>
    <n v="1373078.86"/>
    <n v="0"/>
    <n v="378287.01"/>
    <n v="546376.51"/>
    <n v="2641896.63"/>
    <n v="533912.43999999994"/>
    <n v="970548.75"/>
    <n v="4406286.18"/>
    <n v="17590644.600000001"/>
    <n v="78271.78"/>
    <n v="48390.29"/>
    <n v="198807.81"/>
    <n v="486729.95"/>
    <n v="0"/>
    <n v="21635.360000000001"/>
    <n v="90794.45"/>
    <n v="55889.04"/>
    <n v="3310233.83"/>
    <n v="6509670.5300000003"/>
    <n v="9032371.0399999991"/>
    <n v="15497097.26"/>
    <n v="38130338.409999996"/>
    <n v="691719.38"/>
    <n v="653657.47"/>
    <n v="790446.59"/>
    <n v="1204717.3700000001"/>
    <n v="1306354.69"/>
    <n v="0"/>
    <n v="679707.99"/>
    <n v="840194.85"/>
    <n v="1039781.4"/>
    <n v="755181.37"/>
    <n v="17730.5"/>
    <n v="53691.64"/>
    <n v="75792.78"/>
    <n v="156944.43"/>
    <n v="1285529.45"/>
    <x v="0"/>
    <x v="0"/>
    <x v="0"/>
    <x v="0"/>
    <x v="0"/>
    <x v="0"/>
    <x v="0"/>
    <x v="0"/>
    <x v="0"/>
    <x v="0"/>
    <n v="0"/>
    <n v="0"/>
    <n v="0"/>
    <n v="0"/>
    <n v="0"/>
    <x v="0"/>
    <x v="0"/>
    <x v="0"/>
    <x v="0"/>
    <x v="0"/>
    <x v="0"/>
    <x v="0"/>
    <x v="0"/>
    <x v="0"/>
    <x v="0"/>
    <n v="1461.68"/>
    <n v="3132.41"/>
    <n v="4805.21"/>
    <n v="10079.44"/>
    <n v="67261.279999999999"/>
    <n v="0"/>
    <n v="0"/>
    <n v="0"/>
    <n v="0"/>
    <n v="0"/>
    <x v="0"/>
    <n v="0"/>
    <n v="0"/>
    <x v="0"/>
    <x v="0"/>
    <x v="0"/>
    <x v="0"/>
    <x v="0"/>
    <x v="0"/>
    <x v="0"/>
    <x v="0"/>
    <x v="0"/>
    <x v="0"/>
    <x v="0"/>
    <x v="0"/>
    <x v="0"/>
    <x v="0"/>
    <x v="0"/>
    <x v="0"/>
    <x v="0"/>
    <x v="0"/>
    <x v="0"/>
    <x v="0"/>
    <x v="0"/>
    <x v="0"/>
    <x v="0"/>
    <x v="0"/>
    <x v="0"/>
    <x v="0"/>
    <x v="0"/>
    <x v="0"/>
    <x v="0"/>
    <n v="15988879.119999999"/>
    <n v="211636474.81999999"/>
    <n v="-15456396.68"/>
    <n v="227092871.5"/>
  </r>
  <r>
    <x v="0"/>
    <x v="15"/>
    <x v="15"/>
    <x v="9"/>
    <x v="9"/>
    <n v="508378.31"/>
    <n v="587658.29"/>
    <n v="824557.83"/>
    <n v="1570165.86"/>
    <n v="4345800.34"/>
    <n v="59608.99"/>
    <n v="53744.18"/>
    <n v="73493.62"/>
    <n v="111008.84"/>
    <n v="187010.52"/>
    <n v="0"/>
    <n v="61488.2"/>
    <n v="56777.05"/>
    <n v="101499.74"/>
    <n v="172711.14"/>
    <n v="5347829.47"/>
    <n v="7789748.5800000001"/>
    <n v="11671832.51"/>
    <n v="81031537.430000007"/>
    <n v="427115.89"/>
    <n v="337473.11"/>
    <n v="444540.56"/>
    <n v="1353632.97"/>
    <n v="0"/>
    <n v="384073.96"/>
    <n v="536329.18000000005"/>
    <n v="2685551.58"/>
    <n v="503278.98"/>
    <n v="936348.26"/>
    <n v="4336376.57"/>
    <n v="17404587.629999999"/>
    <n v="88097.68"/>
    <n v="51439.39"/>
    <n v="212734.28"/>
    <n v="516564.97"/>
    <n v="0"/>
    <n v="23672.14"/>
    <n v="100817.4"/>
    <n v="62481.64"/>
    <n v="3356945.39"/>
    <n v="6281572.9000000004"/>
    <n v="8980840.5399999991"/>
    <n v="15212350.779999999"/>
    <n v="37095236.509999998"/>
    <n v="696604.16000000003"/>
    <n v="620640.6"/>
    <n v="786895.12"/>
    <n v="1213558.28"/>
    <n v="1331323.54"/>
    <n v="0"/>
    <n v="679067.78"/>
    <n v="860028.49"/>
    <n v="1142325.54"/>
    <n v="891019.49"/>
    <n v="34641.46"/>
    <n v="41148.589999999997"/>
    <n v="78829.919999999998"/>
    <n v="164095.21"/>
    <n v="1323243.1200000001"/>
    <x v="0"/>
    <x v="0"/>
    <x v="0"/>
    <x v="0"/>
    <x v="0"/>
    <x v="0"/>
    <x v="0"/>
    <x v="0"/>
    <x v="0"/>
    <x v="0"/>
    <n v="0"/>
    <n v="0"/>
    <n v="0"/>
    <n v="0"/>
    <n v="0"/>
    <x v="0"/>
    <x v="0"/>
    <x v="0"/>
    <x v="0"/>
    <x v="0"/>
    <x v="0"/>
    <x v="0"/>
    <x v="0"/>
    <x v="0"/>
    <x v="0"/>
    <n v="1715.67"/>
    <n v="3094.55"/>
    <n v="4848.6899999999996"/>
    <n v="10245.790000000001"/>
    <n v="65532.52"/>
    <n v="0"/>
    <n v="0"/>
    <n v="0"/>
    <n v="0"/>
    <n v="0"/>
    <x v="0"/>
    <n v="0"/>
    <n v="0"/>
    <x v="0"/>
    <x v="0"/>
    <x v="0"/>
    <x v="0"/>
    <x v="0"/>
    <x v="0"/>
    <x v="0"/>
    <x v="0"/>
    <x v="0"/>
    <x v="0"/>
    <x v="0"/>
    <x v="0"/>
    <x v="0"/>
    <x v="0"/>
    <x v="0"/>
    <x v="0"/>
    <x v="0"/>
    <x v="0"/>
    <x v="0"/>
    <x v="0"/>
    <x v="0"/>
    <x v="0"/>
    <x v="0"/>
    <x v="0"/>
    <x v="0"/>
    <x v="0"/>
    <x v="0"/>
    <x v="0"/>
    <x v="0"/>
    <n v="16323330.029999999"/>
    <n v="209999436.00999999"/>
    <n v="-15836335.720000001"/>
    <n v="225835771.72999999"/>
  </r>
  <r>
    <x v="0"/>
    <x v="15"/>
    <x v="15"/>
    <x v="10"/>
    <x v="10"/>
    <n v="283143.84000000003"/>
    <n v="670900.18000000005"/>
    <n v="1196498.1100000001"/>
    <n v="1663797.68"/>
    <n v="4115287.78"/>
    <n v="77903.19"/>
    <n v="70163.289999999994"/>
    <n v="97993.49"/>
    <n v="156744.32999999999"/>
    <n v="351229.17"/>
    <n v="0"/>
    <n v="61762.19"/>
    <n v="62283.1"/>
    <n v="106956.12"/>
    <n v="180892.03"/>
    <n v="5221728.82"/>
    <n v="7927038.4900000002"/>
    <n v="11665840.02"/>
    <n v="79869709.299999997"/>
    <n v="382463.49"/>
    <n v="400262.31"/>
    <n v="455922.3"/>
    <n v="1354974.97"/>
    <n v="0"/>
    <n v="376820.89"/>
    <n v="539136.65"/>
    <n v="2719096.53"/>
    <n v="510026.35"/>
    <n v="943185.86"/>
    <n v="4341784.83"/>
    <n v="17449422.300000001"/>
    <n v="74715.73"/>
    <n v="43319.44"/>
    <n v="172183.35"/>
    <n v="391796.21"/>
    <n v="0"/>
    <n v="21234.82"/>
    <n v="108465.04"/>
    <n v="61175.58"/>
    <n v="3288895.2"/>
    <n v="6245920.0599999996"/>
    <n v="8914040.4600000009"/>
    <n v="14951231.949999999"/>
    <n v="36683829.299999997"/>
    <n v="695215.12"/>
    <n v="589574.46"/>
    <n v="753497.65"/>
    <n v="1152921.17"/>
    <n v="1180631.5"/>
    <n v="0"/>
    <n v="672086.06"/>
    <n v="894393.98"/>
    <n v="1262150.6100000001"/>
    <n v="990348.84"/>
    <n v="20912.41"/>
    <n v="59523.65"/>
    <n v="86538.11"/>
    <n v="178299.82"/>
    <n v="1371042.85"/>
    <x v="0"/>
    <x v="0"/>
    <x v="0"/>
    <x v="0"/>
    <x v="0"/>
    <x v="0"/>
    <x v="0"/>
    <x v="0"/>
    <x v="0"/>
    <x v="0"/>
    <n v="0"/>
    <n v="0"/>
    <n v="0"/>
    <n v="0"/>
    <n v="0"/>
    <x v="0"/>
    <x v="0"/>
    <x v="0"/>
    <x v="0"/>
    <x v="0"/>
    <x v="0"/>
    <x v="0"/>
    <x v="0"/>
    <x v="0"/>
    <x v="0"/>
    <n v="1575.62"/>
    <n v="3111.86"/>
    <n v="4978.1400000000003"/>
    <n v="10338.86"/>
    <n v="63717.07"/>
    <n v="0"/>
    <n v="0"/>
    <n v="0"/>
    <n v="0"/>
    <n v="0"/>
    <x v="0"/>
    <n v="0"/>
    <n v="0"/>
    <x v="0"/>
    <x v="0"/>
    <x v="0"/>
    <x v="0"/>
    <x v="0"/>
    <x v="0"/>
    <x v="0"/>
    <x v="0"/>
    <x v="0"/>
    <x v="0"/>
    <x v="0"/>
    <x v="0"/>
    <x v="0"/>
    <x v="0"/>
    <x v="0"/>
    <x v="0"/>
    <x v="0"/>
    <x v="0"/>
    <x v="0"/>
    <x v="0"/>
    <x v="0"/>
    <x v="0"/>
    <x v="0"/>
    <x v="0"/>
    <x v="0"/>
    <x v="0"/>
    <x v="0"/>
    <x v="0"/>
    <x v="0"/>
    <n v="16458313.609999999"/>
    <n v="208096932.97999999"/>
    <n v="-16103699.550000001"/>
    <n v="224200632.53"/>
  </r>
  <r>
    <x v="0"/>
    <x v="15"/>
    <x v="15"/>
    <x v="11"/>
    <x v="11"/>
    <n v="348072.6"/>
    <n v="610528.81999999995"/>
    <n v="1214722.4099999999"/>
    <n v="1739604.93"/>
    <n v="4398342.66"/>
    <n v="63864.71"/>
    <n v="63814.53"/>
    <n v="83084.33"/>
    <n v="122590.9"/>
    <n v="283704.96000000002"/>
    <n v="0"/>
    <n v="64770.81"/>
    <n v="60813.21"/>
    <n v="93213.86"/>
    <n v="206177.19"/>
    <n v="4958153.0199999996"/>
    <n v="7516387.25"/>
    <n v="10830004.16"/>
    <n v="75634592.969999999"/>
    <n v="353739.6"/>
    <n v="381337.56"/>
    <n v="414880.22"/>
    <n v="1190738.6299999999"/>
    <n v="0"/>
    <n v="354572.49"/>
    <n v="534529.34"/>
    <n v="2780826.46"/>
    <n v="497705.56"/>
    <n v="973187.11"/>
    <n v="4318155.5"/>
    <n v="17143350.260000002"/>
    <n v="69815.55"/>
    <n v="40759.160000000003"/>
    <n v="170864.62"/>
    <n v="415837.06"/>
    <n v="0"/>
    <n v="20147.810000000001"/>
    <n v="107614.96"/>
    <n v="65010.239999999998"/>
    <n v="3003541.08"/>
    <n v="6067142.3399999999"/>
    <n v="8178608.8099999996"/>
    <n v="13706347.550000001"/>
    <n v="33744852.390000001"/>
    <n v="630591.65"/>
    <n v="570747.41"/>
    <n v="706325"/>
    <n v="1071577.6299999999"/>
    <n v="1026998.98"/>
    <n v="0"/>
    <n v="647658.05000000005"/>
    <n v="890214.63"/>
    <n v="1270936.95"/>
    <n v="1186827.8799999999"/>
    <n v="22229.58"/>
    <n v="72917.08"/>
    <n v="105075.94"/>
    <n v="220504.15"/>
    <n v="1734677.68"/>
    <x v="0"/>
    <x v="0"/>
    <x v="0"/>
    <x v="0"/>
    <x v="0"/>
    <x v="0"/>
    <x v="0"/>
    <x v="0"/>
    <x v="0"/>
    <x v="0"/>
    <n v="0"/>
    <n v="0"/>
    <n v="0"/>
    <n v="0"/>
    <n v="0"/>
    <x v="0"/>
    <x v="0"/>
    <x v="0"/>
    <x v="0"/>
    <x v="0"/>
    <x v="0"/>
    <x v="0"/>
    <x v="0"/>
    <x v="0"/>
    <x v="0"/>
    <n v="1766.87"/>
    <n v="3286.28"/>
    <n v="4942.28"/>
    <n v="10509.68"/>
    <n v="61888.76"/>
    <n v="0"/>
    <n v="0"/>
    <n v="0"/>
    <n v="0"/>
    <n v="0"/>
    <x v="0"/>
    <n v="0"/>
    <n v="0"/>
    <x v="0"/>
    <x v="0"/>
    <x v="0"/>
    <x v="0"/>
    <x v="0"/>
    <x v="0"/>
    <x v="0"/>
    <x v="0"/>
    <x v="0"/>
    <x v="0"/>
    <x v="0"/>
    <x v="0"/>
    <x v="0"/>
    <x v="0"/>
    <x v="0"/>
    <x v="0"/>
    <x v="0"/>
    <x v="0"/>
    <x v="0"/>
    <x v="0"/>
    <x v="0"/>
    <x v="0"/>
    <x v="0"/>
    <x v="0"/>
    <x v="0"/>
    <x v="0"/>
    <x v="0"/>
    <x v="0"/>
    <x v="0"/>
    <n v="15944586.380000001"/>
    <n v="197042006.71000001"/>
    <n v="-16023677.390000001"/>
    <n v="213065684.09999999"/>
  </r>
  <r>
    <x v="0"/>
    <x v="16"/>
    <x v="16"/>
    <x v="0"/>
    <x v="0"/>
    <n v="0"/>
    <n v="0"/>
    <n v="0"/>
    <n v="0"/>
    <n v="0"/>
    <n v="0"/>
    <n v="0"/>
    <n v="0"/>
    <n v="0"/>
    <n v="0"/>
    <n v="0"/>
    <n v="0"/>
    <n v="0"/>
    <n v="0"/>
    <n v="0"/>
    <n v="2524589.2200000002"/>
    <n v="4598018.8099999996"/>
    <n v="6930360.2800000003"/>
    <n v="39585067.159999996"/>
    <n v="251988.17"/>
    <n v="339903.3"/>
    <n v="483758.38"/>
    <n v="1609564.24"/>
    <n v="101988.77"/>
    <n v="244813.85"/>
    <n v="236861.66"/>
    <n v="360192.76"/>
    <n v="32739.13"/>
    <n v="52485.04"/>
    <n v="231233.67"/>
    <n v="587901.61"/>
    <n v="5227.17"/>
    <n v="3566.13"/>
    <n v="16134.53"/>
    <n v="22386.35"/>
    <n v="0"/>
    <n v="1714.21"/>
    <n v="12096.11"/>
    <n v="2204.48"/>
    <n v="3026606.38"/>
    <n v="5280396.6100000003"/>
    <n v="8346186.4800000004"/>
    <n v="16274399.1"/>
    <n v="46730114.210000001"/>
    <n v="369879.58"/>
    <n v="446995.97"/>
    <n v="675935.42"/>
    <n v="1182380.3400000001"/>
    <n v="2037015.13"/>
    <n v="115354.42"/>
    <n v="422332.9"/>
    <n v="302017.76"/>
    <n v="357265.75"/>
    <n v="208954.32"/>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9810531.6999999993"/>
    <n v="134529686.58000001"/>
    <n v="-9480942.8200000003"/>
    <n v="144010629.40000001"/>
  </r>
  <r>
    <x v="0"/>
    <x v="16"/>
    <x v="16"/>
    <x v="1"/>
    <x v="1"/>
    <n v="0"/>
    <n v="0"/>
    <n v="0"/>
    <n v="0"/>
    <n v="0"/>
    <n v="0"/>
    <n v="0"/>
    <n v="0"/>
    <n v="0"/>
    <n v="0"/>
    <n v="0"/>
    <n v="0"/>
    <n v="0"/>
    <n v="0"/>
    <n v="0"/>
    <n v="2432501.84"/>
    <n v="4516491.5599999996"/>
    <n v="6734896.3899999997"/>
    <n v="38822215.390000001"/>
    <n v="260735.61"/>
    <n v="344727.79"/>
    <n v="483648.22"/>
    <n v="1523770.86"/>
    <n v="213643.45"/>
    <n v="255689.57"/>
    <n v="255264.32"/>
    <n v="404196.66"/>
    <n v="31315.78"/>
    <n v="54415.64"/>
    <n v="236139.43"/>
    <n v="675050.96"/>
    <n v="3660.67"/>
    <n v="2487.3000000000002"/>
    <n v="11694.88"/>
    <n v="18682.990000000002"/>
    <n v="8514.3700000000008"/>
    <n v="2273.9699999999998"/>
    <n v="10143"/>
    <n v="2406.88"/>
    <n v="3025146.57"/>
    <n v="5266982.59"/>
    <n v="8414199.7400000002"/>
    <n v="16525861.130000001"/>
    <n v="47599658.200000003"/>
    <n v="386496.98"/>
    <n v="439256.82"/>
    <n v="676695.52"/>
    <n v="1174949.83"/>
    <n v="1951435.47"/>
    <n v="324203.06"/>
    <n v="475630.35"/>
    <n v="336065.14"/>
    <n v="387606.69"/>
    <n v="236494.17"/>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0190374.57"/>
    <n v="134353086.97999999"/>
    <n v="-10172162.810000001"/>
    <n v="144525249.78999999"/>
  </r>
  <r>
    <x v="0"/>
    <x v="16"/>
    <x v="16"/>
    <x v="2"/>
    <x v="2"/>
    <n v="0"/>
    <n v="0"/>
    <n v="0"/>
    <n v="0"/>
    <n v="0"/>
    <n v="0"/>
    <n v="0"/>
    <n v="0"/>
    <n v="0"/>
    <n v="0"/>
    <n v="0"/>
    <n v="0"/>
    <n v="0"/>
    <n v="0"/>
    <n v="0"/>
    <n v="2297166.0499999998"/>
    <n v="4570397.34"/>
    <n v="6635869.1900000004"/>
    <n v="38255803.520000003"/>
    <n v="242391.51"/>
    <n v="352914.81"/>
    <n v="474306.61"/>
    <n v="1501430.97"/>
    <n v="111597.52"/>
    <n v="328803.98"/>
    <n v="251150.55"/>
    <n v="433445.21"/>
    <n v="27386.66"/>
    <n v="52415.27"/>
    <n v="220411.68"/>
    <n v="605850.98"/>
    <n v="3691.45"/>
    <n v="2511.7399999999998"/>
    <n v="11807.06"/>
    <n v="17315.95"/>
    <n v="0"/>
    <n v="10247.26"/>
    <n v="10832.28"/>
    <n v="3458.32"/>
    <n v="2901534.39"/>
    <n v="5666789.0899999999"/>
    <n v="8492543.5199999996"/>
    <n v="16932290.969999999"/>
    <n v="48191816.310000002"/>
    <n v="365090.11"/>
    <n v="492192.62"/>
    <n v="690088.26"/>
    <n v="1227014.1200000001"/>
    <n v="2028591.67"/>
    <n v="108087.11"/>
    <n v="557279.56999999995"/>
    <n v="331627.78999999998"/>
    <n v="365068.16"/>
    <n v="206527.63"/>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0127472.26"/>
    <n v="134857344.65000001"/>
    <n v="-10120402.58"/>
    <n v="144977747.22999999"/>
  </r>
  <r>
    <x v="0"/>
    <x v="16"/>
    <x v="16"/>
    <x v="3"/>
    <x v="3"/>
    <n v="0"/>
    <n v="0"/>
    <n v="0"/>
    <n v="0"/>
    <n v="0"/>
    <n v="0"/>
    <n v="0"/>
    <n v="0"/>
    <n v="0"/>
    <n v="0"/>
    <n v="0"/>
    <n v="0"/>
    <n v="0"/>
    <n v="0"/>
    <n v="0"/>
    <n v="2379087.87"/>
    <n v="4443452.3099999996"/>
    <n v="6541053.8499999996"/>
    <n v="37857029.07"/>
    <n v="253966.47"/>
    <n v="340485.19"/>
    <n v="462343.33"/>
    <n v="1451125.48"/>
    <n v="105634.06"/>
    <n v="336446.73"/>
    <n v="259493.97"/>
    <n v="493491.1"/>
    <n v="29497.23"/>
    <n v="46461.39"/>
    <n v="205511.04000000001"/>
    <n v="568886.19999999995"/>
    <n v="3730"/>
    <n v="2524.7199999999998"/>
    <n v="11899.91"/>
    <n v="15953.24"/>
    <n v="0"/>
    <n v="9732.7000000000007"/>
    <n v="9825.57"/>
    <n v="4491.3599999999997"/>
    <n v="3191603.34"/>
    <n v="5587422.25"/>
    <n v="8568896.4700000007"/>
    <n v="17361161.82"/>
    <n v="48259171.299999997"/>
    <n v="428899.47"/>
    <n v="514977.55"/>
    <n v="742379.98"/>
    <n v="1319645.26"/>
    <n v="2141381.27"/>
    <n v="112345.69"/>
    <n v="559568.1"/>
    <n v="399754.16"/>
    <n v="397144.68"/>
    <n v="249681.84"/>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0626921.83"/>
    <n v="135219917.97999999"/>
    <n v="-10446237.99"/>
    <n v="145666155.97"/>
  </r>
  <r>
    <x v="0"/>
    <x v="16"/>
    <x v="16"/>
    <x v="4"/>
    <x v="4"/>
    <n v="0"/>
    <n v="0"/>
    <n v="0"/>
    <n v="0"/>
    <n v="0"/>
    <n v="0"/>
    <n v="0"/>
    <n v="0"/>
    <n v="0"/>
    <n v="0"/>
    <n v="0"/>
    <n v="0"/>
    <n v="0"/>
    <n v="0"/>
    <n v="0"/>
    <n v="2270479.79"/>
    <n v="4350050.0999999996"/>
    <n v="6343921.6299999999"/>
    <n v="37381884.859999999"/>
    <n v="286978.43"/>
    <n v="385922.73"/>
    <n v="519328.41"/>
    <n v="1687210.31"/>
    <n v="128128.86"/>
    <n v="271776.62"/>
    <n v="350687.1"/>
    <n v="564759.77"/>
    <n v="26178.99"/>
    <n v="45148.36"/>
    <n v="202326.98"/>
    <n v="547604.06000000006"/>
    <n v="3742.16"/>
    <n v="2548.71"/>
    <n v="11999.5"/>
    <n v="14574.8"/>
    <n v="0"/>
    <n v="1242.7"/>
    <n v="18516.400000000001"/>
    <n v="5533.23"/>
    <n v="3085037.47"/>
    <n v="5635375.8600000003"/>
    <n v="8556850.5299999993"/>
    <n v="17670638.789999999"/>
    <n v="48408437.329999998"/>
    <n v="467507.48"/>
    <n v="556766.30000000005"/>
    <n v="802423.71"/>
    <n v="1472809.06"/>
    <n v="2525806.09"/>
    <n v="148230.07999999999"/>
    <n v="417564.86"/>
    <n v="590577.78"/>
    <n v="434344.81"/>
    <n v="295641.74"/>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1964621.640000001"/>
    <n v="135429531.78"/>
    <n v="-11059024.609999999"/>
    <n v="146488556.38999999"/>
  </r>
  <r>
    <x v="0"/>
    <x v="16"/>
    <x v="16"/>
    <x v="5"/>
    <x v="5"/>
    <n v="0"/>
    <n v="0"/>
    <n v="0"/>
    <n v="0"/>
    <n v="0"/>
    <n v="0"/>
    <n v="0"/>
    <n v="0"/>
    <n v="0"/>
    <n v="0"/>
    <n v="0"/>
    <n v="0"/>
    <n v="0"/>
    <n v="0"/>
    <n v="0"/>
    <n v="2323199.71"/>
    <n v="4383844.92"/>
    <n v="6415338.4900000002"/>
    <n v="37812962.560000002"/>
    <n v="227198.02"/>
    <n v="284211.64"/>
    <n v="368218.72"/>
    <n v="1109758.8999999999"/>
    <n v="71597.240000000005"/>
    <n v="265688.57"/>
    <n v="248996.66"/>
    <n v="341216.22"/>
    <n v="26682.32"/>
    <n v="46253.72"/>
    <n v="197523.03"/>
    <n v="529221.36"/>
    <n v="1413.24"/>
    <n v="957.55"/>
    <n v="4555.3999999999996"/>
    <n v="9670.77"/>
    <n v="0"/>
    <n v="459.36"/>
    <n v="1536.98"/>
    <n v="8"/>
    <n v="3123314.71"/>
    <n v="5938175.9199999999"/>
    <n v="9042647.5199999996"/>
    <n v="17833805.48"/>
    <n v="50099278.609999999"/>
    <n v="414861.85"/>
    <n v="485678.48"/>
    <n v="685243.42"/>
    <n v="1190520.8899999999"/>
    <n v="1963058.46"/>
    <n v="77538.94"/>
    <n v="437163.11"/>
    <n v="429958.94"/>
    <n v="324853.95"/>
    <n v="76203.27"/>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9020568.5800000001"/>
    <n v="136614988.50999999"/>
    <n v="-10177828.42"/>
    <n v="146792816.93000001"/>
  </r>
  <r>
    <x v="0"/>
    <x v="16"/>
    <x v="16"/>
    <x v="6"/>
    <x v="6"/>
    <n v="0"/>
    <n v="0"/>
    <n v="0"/>
    <n v="0"/>
    <n v="0"/>
    <n v="0"/>
    <n v="0"/>
    <n v="0"/>
    <n v="0"/>
    <n v="0"/>
    <n v="0"/>
    <n v="0"/>
    <n v="0"/>
    <n v="0"/>
    <n v="0"/>
    <n v="2272780.27"/>
    <n v="4279414.2699999996"/>
    <n v="6324951.9699999997"/>
    <n v="37638625.200000003"/>
    <n v="227822.76"/>
    <n v="281605.84000000003"/>
    <n v="363312.87"/>
    <n v="1069702.46"/>
    <n v="119109.83"/>
    <n v="292355.69"/>
    <n v="270209.45"/>
    <n v="405727.15"/>
    <n v="27810.62"/>
    <n v="44390.96"/>
    <n v="189205.94"/>
    <n v="509025.13"/>
    <n v="1421.31"/>
    <n v="970.58"/>
    <n v="4595.96"/>
    <n v="9140.6"/>
    <n v="0"/>
    <n v="468.51"/>
    <n v="1996.34"/>
    <n v="8"/>
    <n v="3381352.83"/>
    <n v="5868030.4900000002"/>
    <n v="9119206.0800000001"/>
    <n v="18311736.670000002"/>
    <n v="49996341.710000001"/>
    <n v="454949.8"/>
    <n v="505809.56"/>
    <n v="745291.76"/>
    <n v="1333882.19"/>
    <n v="2106249.73"/>
    <n v="147267.24"/>
    <n v="525622.41"/>
    <n v="426947.98"/>
    <n v="416768.58"/>
    <n v="112241.54"/>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9823478.1400000006"/>
    <n v="136818529.5"/>
    <n v="-10967820.779999999"/>
    <n v="147786350.28"/>
  </r>
  <r>
    <x v="0"/>
    <x v="16"/>
    <x v="16"/>
    <x v="7"/>
    <x v="7"/>
    <n v="0"/>
    <n v="0"/>
    <n v="0"/>
    <n v="0"/>
    <n v="0"/>
    <n v="0"/>
    <n v="0"/>
    <n v="0"/>
    <n v="0"/>
    <n v="0"/>
    <n v="0"/>
    <n v="0"/>
    <n v="0"/>
    <n v="0"/>
    <n v="0"/>
    <n v="2187078.2999999998"/>
    <n v="4237362.8499999996"/>
    <n v="6111080.8300000001"/>
    <n v="37474260.840000004"/>
    <n v="238377.8"/>
    <n v="289154.99"/>
    <n v="364926.93"/>
    <n v="1085870.8500000001"/>
    <n v="129460.05"/>
    <n v="282851.93"/>
    <n v="287375.89"/>
    <n v="470651.45"/>
    <n v="24561.9"/>
    <n v="40966.82"/>
    <n v="181787.96"/>
    <n v="489590.61"/>
    <n v="1434.39"/>
    <n v="979.51"/>
    <n v="4638.2299999999996"/>
    <n v="8608.43"/>
    <n v="0"/>
    <n v="467.89"/>
    <n v="2464.85"/>
    <n v="8"/>
    <n v="3241974.74"/>
    <n v="5987695.46"/>
    <n v="8841058.9299999997"/>
    <n v="18765211.18"/>
    <n v="50692846.719999999"/>
    <n v="484249.86"/>
    <n v="544810.9"/>
    <n v="759716.4"/>
    <n v="1470243.69"/>
    <n v="2228756.69"/>
    <n v="186941.07"/>
    <n v="505963.09"/>
    <n v="498660.24"/>
    <n v="480054.83"/>
    <n v="142951.06"/>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0469619.02"/>
    <n v="137283613.86000001"/>
    <n v="-11461482.300000001"/>
    <n v="148745096.16"/>
  </r>
  <r>
    <x v="0"/>
    <x v="16"/>
    <x v="16"/>
    <x v="8"/>
    <x v="8"/>
    <n v="0"/>
    <n v="0"/>
    <n v="0"/>
    <n v="0"/>
    <n v="0"/>
    <n v="0"/>
    <n v="0"/>
    <n v="0"/>
    <n v="0"/>
    <n v="0"/>
    <n v="0"/>
    <n v="0"/>
    <n v="0"/>
    <n v="0"/>
    <n v="0"/>
    <n v="2116499.0099999998"/>
    <n v="4252819.59"/>
    <n v="6199446.7800000003"/>
    <n v="36850579.530000001"/>
    <n v="327617.82"/>
    <n v="296484.17"/>
    <n v="376887.61"/>
    <n v="1116603.07"/>
    <n v="13681.15"/>
    <n v="277603.89"/>
    <n v="288994.46000000002"/>
    <n v="441115.88"/>
    <n v="24039.46"/>
    <n v="43720.63"/>
    <n v="186371.81"/>
    <n v="511689.59"/>
    <n v="1447.16"/>
    <n v="988.23"/>
    <n v="4676.97"/>
    <n v="8071.36"/>
    <n v="0"/>
    <n v="476.84"/>
    <n v="2932.74"/>
    <n v="8"/>
    <n v="3157816.42"/>
    <n v="6228806.9100000001"/>
    <n v="9500638.7599999998"/>
    <n v="18189477.609999999"/>
    <n v="50747839.219999999"/>
    <n v="637665.96"/>
    <n v="605701.86"/>
    <n v="870642.71"/>
    <n v="1504645.04"/>
    <n v="2473958.09"/>
    <n v="14164.08"/>
    <n v="496094.26"/>
    <n v="514613.41"/>
    <n v="494431.02"/>
    <n v="119101.58"/>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0888607.359999999"/>
    <n v="137415622.24000001"/>
    <n v="-11482730.439999999"/>
    <n v="148898352.68000001"/>
  </r>
  <r>
    <x v="0"/>
    <x v="16"/>
    <x v="16"/>
    <x v="9"/>
    <x v="9"/>
    <n v="0"/>
    <n v="0"/>
    <n v="0"/>
    <n v="0"/>
    <n v="0"/>
    <n v="0"/>
    <n v="0"/>
    <n v="0"/>
    <n v="0"/>
    <n v="0"/>
    <n v="0"/>
    <n v="0"/>
    <n v="0"/>
    <n v="0"/>
    <n v="0"/>
    <n v="2193755.0099999998"/>
    <n v="4060353.53"/>
    <n v="6160199.5499999998"/>
    <n v="36299129.689999998"/>
    <n v="332222.65999999997"/>
    <n v="281472.40000000002"/>
    <n v="377617.3"/>
    <n v="1028152.74"/>
    <n v="0"/>
    <n v="298890.96000000002"/>
    <n v="302305.78999999998"/>
    <n v="515469.14"/>
    <n v="21241.78"/>
    <n v="37971.46"/>
    <n v="169589.4"/>
    <n v="448899.62"/>
    <n v="4555.38"/>
    <n v="3096.1"/>
    <n v="14610.96"/>
    <n v="24245.66"/>
    <n v="0"/>
    <n v="960.02"/>
    <n v="2066.69"/>
    <n v="8"/>
    <n v="3391598.09"/>
    <n v="5885161.9199999999"/>
    <n v="9721258.3599999994"/>
    <n v="18475341.670000002"/>
    <n v="51324259.539999999"/>
    <n v="691595.99"/>
    <n v="593803.74"/>
    <n v="909892.9"/>
    <n v="1543208.84"/>
    <n v="2461163.38"/>
    <n v="0"/>
    <n v="534058.87"/>
    <n v="557663.49"/>
    <n v="570714.04"/>
    <n v="155967.6"/>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1203742.65"/>
    <n v="137307690.31"/>
    <n v="-12084811.960000001"/>
    <n v="149392502.27000001"/>
  </r>
  <r>
    <x v="0"/>
    <x v="16"/>
    <x v="16"/>
    <x v="10"/>
    <x v="10"/>
    <n v="0"/>
    <n v="0"/>
    <n v="0"/>
    <n v="0"/>
    <n v="0"/>
    <n v="0"/>
    <n v="0"/>
    <n v="0"/>
    <n v="0"/>
    <n v="0"/>
    <n v="0"/>
    <n v="0"/>
    <n v="0"/>
    <n v="0"/>
    <n v="0"/>
    <n v="2158823.29"/>
    <n v="3892747.48"/>
    <n v="6157099.3099999996"/>
    <n v="35667849.460000001"/>
    <n v="338299.75"/>
    <n v="274167.89"/>
    <n v="398085.14"/>
    <n v="1040186.61"/>
    <n v="0"/>
    <n v="307056.58"/>
    <n v="320242.43"/>
    <n v="589577.41"/>
    <n v="22183.86"/>
    <n v="36209.089999999997"/>
    <n v="169683.16"/>
    <n v="430199.46"/>
    <n v="4603.68"/>
    <n v="3116.95"/>
    <n v="14728.01"/>
    <n v="22557.09"/>
    <n v="0"/>
    <n v="772.98"/>
    <n v="2543.27"/>
    <n v="8"/>
    <n v="3445507.38"/>
    <n v="5531279.3799999999"/>
    <n v="10202824.199999999"/>
    <n v="18116920.329999998"/>
    <n v="51437091.259999998"/>
    <n v="735890.64"/>
    <n v="575479"/>
    <n v="1013062.07"/>
    <n v="1561881.22"/>
    <n v="2555376.4700000002"/>
    <n v="0"/>
    <n v="577014.73"/>
    <n v="605816.30000000005"/>
    <n v="661712.17000000004"/>
    <n v="195993.54"/>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1798171.93"/>
    <n v="136499735.97"/>
    <n v="-12566853.619999999"/>
    <n v="149066589.59"/>
  </r>
  <r>
    <x v="0"/>
    <x v="16"/>
    <x v="16"/>
    <x v="11"/>
    <x v="11"/>
    <n v="0"/>
    <n v="0"/>
    <n v="0"/>
    <n v="0"/>
    <n v="0"/>
    <n v="0"/>
    <n v="0"/>
    <n v="0"/>
    <n v="0"/>
    <n v="0"/>
    <n v="0"/>
    <n v="0"/>
    <n v="0"/>
    <n v="0"/>
    <n v="0"/>
    <n v="2120113.1"/>
    <n v="4094158.6"/>
    <n v="5794321.0300000003"/>
    <n v="35222996.380000003"/>
    <n v="279454.61"/>
    <n v="244952.34"/>
    <n v="314655.42"/>
    <n v="822948.24"/>
    <n v="0"/>
    <n v="243445.02"/>
    <n v="282007.59999999998"/>
    <n v="367835.48"/>
    <n v="19956.48"/>
    <n v="37884.959999999999"/>
    <n v="164323.68"/>
    <n v="411795.96"/>
    <n v="4637.88"/>
    <n v="3178.76"/>
    <n v="14824.94"/>
    <n v="20852.919999999998"/>
    <n v="0"/>
    <n v="591.08000000000004"/>
    <n v="2724.02"/>
    <n v="8"/>
    <n v="3448448.55"/>
    <n v="6467129.0099999998"/>
    <n v="9436539.75"/>
    <n v="18552014.280000001"/>
    <n v="51057276"/>
    <n v="683946.29"/>
    <n v="609163.1"/>
    <n v="840948.35"/>
    <n v="1471659.19"/>
    <n v="2159003.2000000002"/>
    <n v="0"/>
    <n v="518279.49"/>
    <n v="588612.88"/>
    <n v="602115.89"/>
    <n v="94427.78"/>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0170272.48"/>
    <n v="134825110.99000001"/>
    <n v="-12172119.27"/>
    <n v="146997230.25999999"/>
  </r>
  <r>
    <x v="0"/>
    <x v="17"/>
    <x v="17"/>
    <x v="0"/>
    <x v="0"/>
    <n v="614130.91"/>
    <n v="28569.54"/>
    <n v="43718.25"/>
    <n v="86462.81"/>
    <n v="542993.06999999995"/>
    <n v="5017.01"/>
    <n v="5120.62"/>
    <n v="7879.9"/>
    <n v="16503.53"/>
    <n v="14547.51"/>
    <n v="0"/>
    <n v="4915.5"/>
    <n v="2185.48"/>
    <n v="5979.58"/>
    <n v="24360.26"/>
    <n v="6238251.7999999998"/>
    <n v="11738744.98"/>
    <n v="16824274.219999999"/>
    <n v="112290511.06999999"/>
    <n v="575919.16"/>
    <n v="840364.69"/>
    <n v="1156150.29"/>
    <n v="4307123.8600000003"/>
    <n v="350731.62"/>
    <n v="594161.35"/>
    <n v="590591.97"/>
    <n v="2770181.42"/>
    <n v="456408.42"/>
    <n v="715076.77"/>
    <n v="3165441.44"/>
    <n v="16930480.149999999"/>
    <n v="71140.14"/>
    <n v="43378.8"/>
    <n v="152317.65"/>
    <n v="424504.98"/>
    <n v="0"/>
    <n v="23116.639999999999"/>
    <n v="117567.52"/>
    <n v="136732.26999999999"/>
    <n v="2635246.7200000002"/>
    <n v="4363943.54"/>
    <n v="6331417.0499999998"/>
    <n v="11016765.27"/>
    <n v="27220346.34"/>
    <n v="654837.31000000006"/>
    <n v="852850.81"/>
    <n v="1063766.04"/>
    <n v="1572767.2"/>
    <n v="1812641.4"/>
    <n v="299851.94"/>
    <n v="755682.68"/>
    <n v="839461.01"/>
    <n v="1194497.07"/>
    <n v="2430980.2799999998"/>
    <n v="0"/>
    <n v="0"/>
    <n v="0"/>
    <n v="0"/>
    <n v="0"/>
    <x v="0"/>
    <x v="0"/>
    <x v="0"/>
    <x v="0"/>
    <x v="0"/>
    <x v="0"/>
    <x v="0"/>
    <x v="0"/>
    <x v="0"/>
    <x v="0"/>
    <n v="2730.37"/>
    <n v="7860.9"/>
    <n v="11929.67"/>
    <n v="25641.06"/>
    <n v="134357.29999999999"/>
    <x v="0"/>
    <x v="0"/>
    <x v="0"/>
    <x v="0"/>
    <x v="0"/>
    <x v="0"/>
    <x v="0"/>
    <x v="0"/>
    <x v="0"/>
    <x v="0"/>
    <n v="206971.96"/>
    <n v="426709.97"/>
    <n v="667377.97"/>
    <n v="1389412.22"/>
    <n v="10772076.859999999"/>
    <n v="1995.72"/>
    <n v="3577.92"/>
    <n v="5522.01"/>
    <n v="11361.34"/>
    <n v="121209.12"/>
    <x v="11"/>
    <n v="327.64"/>
    <n v="0"/>
    <x v="0"/>
    <x v="0"/>
    <x v="0"/>
    <x v="0"/>
    <x v="0"/>
    <x v="0"/>
    <x v="0"/>
    <x v="0"/>
    <x v="0"/>
    <x v="0"/>
    <x v="0"/>
    <x v="0"/>
    <x v="0"/>
    <x v="0"/>
    <x v="0"/>
    <x v="0"/>
    <x v="0"/>
    <x v="0"/>
    <x v="0"/>
    <x v="0"/>
    <x v="0"/>
    <x v="0"/>
    <x v="0"/>
    <x v="0"/>
    <x v="0"/>
    <x v="0"/>
    <x v="0"/>
    <x v="0"/>
    <x v="0"/>
    <n v="23863289.370000001"/>
    <n v="240568665.62"/>
    <n v="-18182474.379999999"/>
    <n v="258751140"/>
  </r>
  <r>
    <x v="0"/>
    <x v="17"/>
    <x v="17"/>
    <x v="1"/>
    <x v="1"/>
    <n v="14641.3"/>
    <n v="28938.95"/>
    <n v="44387.25"/>
    <n v="86088.2"/>
    <n v="517839.05"/>
    <n v="5068.55"/>
    <n v="5173.2299999999996"/>
    <n v="7960.85"/>
    <n v="16673.07"/>
    <n v="11697.18"/>
    <n v="0"/>
    <n v="4966"/>
    <n v="4630.67"/>
    <n v="4505.53"/>
    <n v="25834.31"/>
    <n v="6567343.4100000001"/>
    <n v="11749173.33"/>
    <n v="16715172.16"/>
    <n v="109441594.84"/>
    <n v="621700.47"/>
    <n v="911785.35"/>
    <n v="1240744.04"/>
    <n v="4382342.82"/>
    <n v="356998.79"/>
    <n v="622557.43000000005"/>
    <n v="650949.54"/>
    <n v="2904421.12"/>
    <n v="452872.97"/>
    <n v="721441.43"/>
    <n v="3165537.33"/>
    <n v="17081353.07"/>
    <n v="72291.100000000006"/>
    <n v="45425.85"/>
    <n v="156614.48000000001"/>
    <n v="438374.77"/>
    <n v="0"/>
    <n v="25172.48"/>
    <n v="118053.49"/>
    <n v="138684.18"/>
    <n v="2403595.35"/>
    <n v="4262613.18"/>
    <n v="6011679.8200000003"/>
    <n v="10335126.17"/>
    <n v="25528349.02"/>
    <n v="688292.63"/>
    <n v="907777.59"/>
    <n v="1158329.48"/>
    <n v="1662749.95"/>
    <n v="2033340.84"/>
    <n v="307513.87"/>
    <n v="773807.38"/>
    <n v="892890.77"/>
    <n v="1224035.26"/>
    <n v="2597495.6"/>
    <n v="0"/>
    <n v="0"/>
    <n v="0"/>
    <n v="0"/>
    <n v="0"/>
    <x v="0"/>
    <x v="0"/>
    <x v="0"/>
    <x v="0"/>
    <x v="0"/>
    <x v="0"/>
    <x v="0"/>
    <x v="0"/>
    <x v="0"/>
    <x v="0"/>
    <n v="4349.28"/>
    <n v="8899.99"/>
    <n v="13634.94"/>
    <n v="28443.49"/>
    <n v="156906.45000000001"/>
    <x v="0"/>
    <x v="0"/>
    <x v="0"/>
    <x v="0"/>
    <x v="0"/>
    <x v="0"/>
    <x v="0"/>
    <x v="0"/>
    <x v="0"/>
    <x v="0"/>
    <n v="254877.23"/>
    <n v="533789.39"/>
    <n v="827770.76"/>
    <n v="1677562.62"/>
    <n v="12939580.189999999"/>
    <n v="1938.7"/>
    <n v="3606.52"/>
    <n v="5570.86"/>
    <n v="11786.2"/>
    <n v="127096.81"/>
    <x v="12"/>
    <n v="274.68"/>
    <n v="0"/>
    <x v="0"/>
    <x v="0"/>
    <x v="0"/>
    <x v="0"/>
    <x v="0"/>
    <x v="0"/>
    <x v="0"/>
    <x v="0"/>
    <x v="0"/>
    <x v="0"/>
    <x v="0"/>
    <x v="0"/>
    <x v="0"/>
    <x v="0"/>
    <x v="0"/>
    <x v="0"/>
    <x v="0"/>
    <x v="0"/>
    <x v="0"/>
    <x v="0"/>
    <x v="0"/>
    <x v="0"/>
    <x v="0"/>
    <x v="0"/>
    <x v="0"/>
    <x v="0"/>
    <x v="0"/>
    <x v="0"/>
    <x v="0"/>
    <n v="25170249.68"/>
    <n v="237648790.86000001"/>
    <n v="-19095019.989999998"/>
    <n v="256743810.84999999"/>
  </r>
  <r>
    <x v="0"/>
    <x v="17"/>
    <x v="17"/>
    <x v="2"/>
    <x v="2"/>
    <n v="14805.73"/>
    <n v="84016.94"/>
    <n v="141353.94"/>
    <n v="295942.88"/>
    <n v="2641533.4900000002"/>
    <n v="5140.96"/>
    <n v="5259"/>
    <n v="8070.67"/>
    <n v="16819.5"/>
    <n v="8761.44"/>
    <n v="0"/>
    <n v="5017.01"/>
    <n v="7100.98"/>
    <n v="3017.68"/>
    <n v="27322.15"/>
    <n v="6378339.9500000002"/>
    <n v="11664422.380000001"/>
    <n v="16108732.1"/>
    <n v="104821696.04000001"/>
    <n v="417383.57"/>
    <n v="1096634.3500000001"/>
    <n v="1498179.98"/>
    <n v="6058270.96"/>
    <n v="736067.43"/>
    <n v="573187.09"/>
    <n v="600856.91"/>
    <n v="2952024.03"/>
    <n v="431550.44"/>
    <n v="708528.63"/>
    <n v="3154958.46"/>
    <n v="17385023.920000002"/>
    <n v="80801.16"/>
    <n v="50053.9"/>
    <n v="180810.02"/>
    <n v="630810.01"/>
    <n v="0"/>
    <n v="27264.53"/>
    <n v="121773.87"/>
    <n v="148542.63"/>
    <n v="2245089.94"/>
    <n v="4060414.95"/>
    <n v="5757360.9199999999"/>
    <n v="10176094.49"/>
    <n v="23924265.960000001"/>
    <n v="715506.81"/>
    <n v="907586.19"/>
    <n v="1185966.06"/>
    <n v="1692977.1"/>
    <n v="2047621.8"/>
    <n v="316755.93"/>
    <n v="844742.36"/>
    <n v="927276.6"/>
    <n v="1298902.8700000001"/>
    <n v="2760863.81"/>
    <n v="0"/>
    <n v="0"/>
    <n v="0"/>
    <n v="0"/>
    <n v="0"/>
    <x v="0"/>
    <x v="0"/>
    <x v="0"/>
    <x v="0"/>
    <x v="0"/>
    <x v="0"/>
    <x v="0"/>
    <x v="0"/>
    <x v="0"/>
    <x v="0"/>
    <n v="6707.51"/>
    <n v="12947.77"/>
    <n v="20474.689999999999"/>
    <n v="42900.43"/>
    <n v="198452.24"/>
    <x v="0"/>
    <x v="0"/>
    <x v="0"/>
    <x v="0"/>
    <x v="0"/>
    <x v="0"/>
    <x v="0"/>
    <x v="0"/>
    <x v="0"/>
    <x v="0"/>
    <n v="321013.86"/>
    <n v="637843.77"/>
    <n v="998563.22"/>
    <n v="2083753.36"/>
    <n v="15439868.27"/>
    <n v="11860.8"/>
    <n v="23249.3"/>
    <n v="36453.879999999997"/>
    <n v="77246.759999999995"/>
    <n v="572082.94999999995"/>
    <x v="13"/>
    <n v="602.87"/>
    <n v="109"/>
    <x v="0"/>
    <x v="0"/>
    <x v="0"/>
    <x v="0"/>
    <x v="0"/>
    <x v="0"/>
    <x v="0"/>
    <x v="0"/>
    <x v="0"/>
    <x v="0"/>
    <x v="0"/>
    <x v="0"/>
    <x v="0"/>
    <x v="0"/>
    <x v="0"/>
    <x v="0"/>
    <x v="0"/>
    <x v="0"/>
    <x v="0"/>
    <x v="0"/>
    <x v="0"/>
    <x v="0"/>
    <x v="0"/>
    <x v="0"/>
    <x v="0"/>
    <x v="0"/>
    <x v="0"/>
    <x v="0"/>
    <x v="0"/>
    <n v="28690136.52"/>
    <n v="239262394.21000001"/>
    <n v="-19184398.59"/>
    <n v="258446792.80000001"/>
  </r>
  <r>
    <x v="0"/>
    <x v="17"/>
    <x v="17"/>
    <x v="3"/>
    <x v="3"/>
    <n v="39764.81"/>
    <n v="93198.86"/>
    <n v="142663.49"/>
    <n v="292474.46999999997"/>
    <n v="2596422.31"/>
    <n v="5211.2299999999996"/>
    <n v="5307.21"/>
    <n v="8144.65"/>
    <n v="16973.68"/>
    <n v="5867.57"/>
    <n v="0"/>
    <n v="5068.55"/>
    <n v="7411.18"/>
    <n v="2185.48"/>
    <n v="46"/>
    <n v="6293578.7000000002"/>
    <n v="11659176.59"/>
    <n v="15899320.279999999"/>
    <n v="102155925.93000001"/>
    <n v="690645.21"/>
    <n v="1062643.08"/>
    <n v="1427968.81"/>
    <n v="4999682.3600000003"/>
    <n v="433155.55"/>
    <n v="739326.99"/>
    <n v="707651.23"/>
    <n v="3216124.2"/>
    <n v="436734.63"/>
    <n v="713595.33"/>
    <n v="3159261.81"/>
    <n v="17488687.140000001"/>
    <n v="76483.22"/>
    <n v="44983.11"/>
    <n v="158629.1"/>
    <n v="590342.56999999995"/>
    <n v="0"/>
    <n v="28047.99"/>
    <n v="124515.57"/>
    <n v="155890.85"/>
    <n v="2175907.98"/>
    <n v="3848464.76"/>
    <n v="5465533.6100000003"/>
    <n v="9733366.5299999993"/>
    <n v="22293968.609999999"/>
    <n v="724861.62"/>
    <n v="985622.06"/>
    <n v="1282642.07"/>
    <n v="1819719.04"/>
    <n v="2221868.34"/>
    <n v="369490.98"/>
    <n v="859031.49"/>
    <n v="917318.1"/>
    <n v="1360767.65"/>
    <n v="2934687.43"/>
    <n v="0"/>
    <n v="0"/>
    <n v="0"/>
    <n v="0"/>
    <n v="0"/>
    <x v="0"/>
    <x v="0"/>
    <x v="0"/>
    <x v="0"/>
    <x v="0"/>
    <x v="0"/>
    <x v="0"/>
    <x v="0"/>
    <x v="0"/>
    <x v="0"/>
    <n v="7239.9"/>
    <n v="13484.3"/>
    <n v="20662.400000000001"/>
    <n v="43233.03"/>
    <n v="191118.18"/>
    <x v="0"/>
    <x v="0"/>
    <x v="0"/>
    <x v="0"/>
    <x v="0"/>
    <x v="0"/>
    <x v="0"/>
    <x v="0"/>
    <x v="0"/>
    <x v="0"/>
    <n v="400379.84"/>
    <n v="771485"/>
    <n v="1189872.27"/>
    <n v="2474406.0299999998"/>
    <n v="18092101.399999999"/>
    <n v="3208.32"/>
    <n v="5805.39"/>
    <n v="8978.39"/>
    <n v="19077.91"/>
    <n v="135592.04999999999"/>
    <x v="14"/>
    <n v="887.46"/>
    <n v="254.6"/>
    <x v="0"/>
    <x v="0"/>
    <x v="0"/>
    <x v="0"/>
    <x v="0"/>
    <x v="0"/>
    <x v="0"/>
    <x v="0"/>
    <x v="0"/>
    <x v="0"/>
    <x v="0"/>
    <x v="0"/>
    <x v="0"/>
    <x v="0"/>
    <x v="0"/>
    <x v="0"/>
    <x v="0"/>
    <x v="0"/>
    <x v="0"/>
    <x v="0"/>
    <x v="0"/>
    <x v="0"/>
    <x v="0"/>
    <x v="0"/>
    <x v="0"/>
    <x v="0"/>
    <x v="0"/>
    <x v="0"/>
    <x v="0"/>
    <n v="28164568.350000001"/>
    <n v="236312959.18000001"/>
    <n v="-19543637.359999999"/>
    <n v="255856596.53999999"/>
  </r>
  <r>
    <x v="0"/>
    <x v="17"/>
    <x v="17"/>
    <x v="4"/>
    <x v="4"/>
    <n v="49800.82"/>
    <n v="98774.15"/>
    <n v="151203.64000000001"/>
    <n v="318092.75"/>
    <n v="2652748.13"/>
    <n v="5259"/>
    <n v="5355.86"/>
    <n v="8219.31"/>
    <n v="17129.27"/>
    <n v="2947.17"/>
    <n v="0"/>
    <n v="5140.96"/>
    <n v="7487.32"/>
    <n v="4630.67"/>
    <n v="46"/>
    <n v="6254432.9800000004"/>
    <n v="11192468.07"/>
    <n v="17211271.379999999"/>
    <n v="97563520.209999993"/>
    <n v="701144.85"/>
    <n v="1056541.56"/>
    <n v="1401149.93"/>
    <n v="5026753.6900000004"/>
    <n v="441884.21"/>
    <n v="766076.9"/>
    <n v="748839.67"/>
    <n v="3405660.93"/>
    <n v="420103.81"/>
    <n v="696997.39"/>
    <n v="3122824.28"/>
    <n v="17951215.07"/>
    <n v="89088.72"/>
    <n v="51315.51"/>
    <n v="191481.81"/>
    <n v="732754.77"/>
    <n v="0"/>
    <n v="31534.18"/>
    <n v="131919.66"/>
    <n v="164221.07999999999"/>
    <n v="2008107.92"/>
    <n v="3732078.56"/>
    <n v="5433281.0800000001"/>
    <n v="9645668.4299999997"/>
    <n v="21288102.890000001"/>
    <n v="682152.18"/>
    <n v="860426.4"/>
    <n v="1144566.44"/>
    <n v="1603590.42"/>
    <n v="1977182.51"/>
    <n v="321087.26"/>
    <n v="850490.34"/>
    <n v="971788.53"/>
    <n v="1446375.78"/>
    <n v="3087436.96"/>
    <n v="0"/>
    <n v="0"/>
    <n v="0"/>
    <n v="0"/>
    <n v="0"/>
    <x v="0"/>
    <x v="0"/>
    <x v="0"/>
    <x v="0"/>
    <x v="0"/>
    <x v="0"/>
    <x v="0"/>
    <x v="0"/>
    <x v="0"/>
    <x v="0"/>
    <n v="7971.58"/>
    <n v="15241.71"/>
    <n v="24003.49"/>
    <n v="50278.52"/>
    <n v="198005.93"/>
    <x v="0"/>
    <x v="0"/>
    <x v="0"/>
    <x v="0"/>
    <x v="0"/>
    <x v="0"/>
    <x v="0"/>
    <x v="0"/>
    <x v="0"/>
    <x v="0"/>
    <n v="425757.77"/>
    <n v="896086.93"/>
    <n v="1396373.03"/>
    <n v="2916643.17"/>
    <n v="20910121.82"/>
    <n v="3365.34"/>
    <n v="5930.68"/>
    <n v="9663.7900000000009"/>
    <n v="15389.27"/>
    <n v="120148.76"/>
    <x v="15"/>
    <n v="626.91"/>
    <n v="159.24"/>
    <x v="0"/>
    <x v="0"/>
    <x v="0"/>
    <x v="0"/>
    <x v="0"/>
    <x v="0"/>
    <x v="0"/>
    <x v="0"/>
    <x v="0"/>
    <x v="0"/>
    <x v="0"/>
    <x v="0"/>
    <x v="0"/>
    <x v="0"/>
    <x v="0"/>
    <x v="0"/>
    <x v="0"/>
    <x v="0"/>
    <x v="0"/>
    <x v="0"/>
    <x v="0"/>
    <x v="0"/>
    <x v="0"/>
    <x v="0"/>
    <x v="0"/>
    <x v="0"/>
    <x v="0"/>
    <x v="0"/>
    <x v="0"/>
    <n v="28099623.93"/>
    <n v="234743763.06999999"/>
    <n v="-19987036.370000001"/>
    <n v="254730799.44"/>
  </r>
  <r>
    <x v="0"/>
    <x v="17"/>
    <x v="17"/>
    <x v="5"/>
    <x v="5"/>
    <n v="52753.440000000002"/>
    <n v="98768.75"/>
    <n v="153528.74"/>
    <n v="315446.32"/>
    <n v="2603449.9700000002"/>
    <n v="5307.21"/>
    <n v="5404.95"/>
    <n v="8294.65"/>
    <n v="17286.29"/>
    <n v="0"/>
    <n v="0"/>
    <n v="5211.2299999999996"/>
    <n v="2547.23"/>
    <n v="0"/>
    <n v="47"/>
    <n v="6076546.5800000001"/>
    <n v="11266309.99"/>
    <n v="15629535.16"/>
    <n v="97131015.200000003"/>
    <n v="651888.94999999995"/>
    <n v="1000767.8"/>
    <n v="1317336.33"/>
    <n v="4226608.7"/>
    <n v="438365.58"/>
    <n v="745035.16"/>
    <n v="776236.75"/>
    <n v="3055496.4"/>
    <n v="423199.3"/>
    <n v="704223.16"/>
    <n v="3145033.17"/>
    <n v="18714496.059999999"/>
    <n v="80876.81"/>
    <n v="47110.91"/>
    <n v="173184.75"/>
    <n v="631502.41"/>
    <n v="0"/>
    <n v="29764.37"/>
    <n v="138622.72"/>
    <n v="171410.15"/>
    <n v="1979023.26"/>
    <n v="3738950.81"/>
    <n v="5344802.22"/>
    <n v="9427799.9399999995"/>
    <n v="20395881.84"/>
    <n v="622276.25"/>
    <n v="859722.2"/>
    <n v="1094913.48"/>
    <n v="1505818.04"/>
    <n v="1846544.29"/>
    <n v="319304.18"/>
    <n v="809245.69"/>
    <n v="990349.22"/>
    <n v="1440771.08"/>
    <n v="2865621.27"/>
    <n v="0"/>
    <n v="0"/>
    <n v="0"/>
    <n v="0"/>
    <n v="0"/>
    <x v="0"/>
    <x v="0"/>
    <x v="0"/>
    <x v="0"/>
    <x v="0"/>
    <x v="0"/>
    <x v="0"/>
    <x v="0"/>
    <x v="0"/>
    <x v="0"/>
    <n v="9334"/>
    <n v="20727.439999999999"/>
    <n v="32100.26"/>
    <n v="66928.3"/>
    <n v="234827.36"/>
    <x v="0"/>
    <x v="0"/>
    <x v="0"/>
    <x v="0"/>
    <x v="0"/>
    <x v="0"/>
    <x v="0"/>
    <x v="0"/>
    <x v="0"/>
    <x v="0"/>
    <n v="506144.19"/>
    <n v="1014189.26"/>
    <n v="1576593.74"/>
    <n v="3259384.48"/>
    <n v="23183188.600000001"/>
    <n v="2108.96"/>
    <n v="3783.21"/>
    <n v="5744.09"/>
    <n v="12604.23"/>
    <n v="107543.63"/>
    <x v="16"/>
    <n v="512.51"/>
    <n v="318.02"/>
    <x v="0"/>
    <x v="0"/>
    <x v="0"/>
    <x v="0"/>
    <x v="0"/>
    <x v="0"/>
    <x v="0"/>
    <x v="0"/>
    <x v="0"/>
    <x v="0"/>
    <x v="0"/>
    <x v="0"/>
    <x v="0"/>
    <x v="0"/>
    <x v="0"/>
    <x v="0"/>
    <x v="0"/>
    <x v="0"/>
    <x v="0"/>
    <x v="0"/>
    <x v="0"/>
    <x v="0"/>
    <x v="0"/>
    <x v="0"/>
    <x v="0"/>
    <x v="0"/>
    <x v="0"/>
    <x v="0"/>
    <x v="0"/>
    <n v="26017118.07"/>
    <n v="234008246.74000001"/>
    <n v="-19113052.870000001"/>
    <n v="253121299.61000001"/>
  </r>
  <r>
    <x v="0"/>
    <x v="17"/>
    <x v="17"/>
    <x v="6"/>
    <x v="6"/>
    <n v="48118.38"/>
    <n v="99416.42"/>
    <n v="152240.67000000001"/>
    <n v="320284.18"/>
    <n v="2524652.09"/>
    <n v="6528.43"/>
    <n v="6648.67"/>
    <n v="10203.299999999999"/>
    <n v="18289.79"/>
    <n v="19194.11"/>
    <n v="0"/>
    <n v="5757.1"/>
    <n v="1151.98"/>
    <n v="0"/>
    <n v="46"/>
    <n v="6423225.9400000004"/>
    <n v="11354795.1"/>
    <n v="15676167.529999999"/>
    <n v="96046731.329999998"/>
    <n v="837821.32"/>
    <n v="748877.53"/>
    <n v="964551.59"/>
    <n v="2849206.73"/>
    <n v="3116.49"/>
    <n v="737538.41"/>
    <n v="833318.2"/>
    <n v="3225137.46"/>
    <n v="403707.11"/>
    <n v="714677.62"/>
    <n v="3121583.61"/>
    <n v="19104093.489999998"/>
    <n v="79535.199999999997"/>
    <n v="46722.28"/>
    <n v="168292.15"/>
    <n v="630327.17000000004"/>
    <n v="0"/>
    <n v="24013.32"/>
    <n v="144526.09"/>
    <n v="179581.94"/>
    <n v="2069009.29"/>
    <n v="3777356.02"/>
    <n v="5356269.2699999996"/>
    <n v="9554439.6199999992"/>
    <n v="20394098.239999998"/>
    <n v="810809.45"/>
    <n v="745223.62"/>
    <n v="895024.89"/>
    <n v="1239728.02"/>
    <n v="1300621.29"/>
    <n v="0"/>
    <n v="777494.88"/>
    <n v="1032459.46"/>
    <n v="1501947.43"/>
    <n v="3043004.03"/>
    <n v="0"/>
    <n v="0"/>
    <n v="0"/>
    <n v="0"/>
    <n v="0"/>
    <x v="0"/>
    <x v="0"/>
    <x v="0"/>
    <x v="0"/>
    <x v="0"/>
    <x v="0"/>
    <x v="0"/>
    <x v="0"/>
    <x v="0"/>
    <x v="0"/>
    <n v="10176.17"/>
    <n v="22011.81"/>
    <n v="31709.32"/>
    <n v="70450.899999999994"/>
    <n v="217162.5"/>
    <x v="0"/>
    <x v="0"/>
    <x v="0"/>
    <x v="0"/>
    <x v="0"/>
    <x v="0"/>
    <x v="0"/>
    <x v="0"/>
    <x v="0"/>
    <x v="0"/>
    <n v="567407.13"/>
    <n v="1137876.99"/>
    <n v="1723477.83"/>
    <n v="3603005.98"/>
    <n v="24968919.210000001"/>
    <n v="1817.49"/>
    <n v="1863.97"/>
    <n v="2875.17"/>
    <n v="6167.24"/>
    <n v="50527.49"/>
    <x v="0"/>
    <n v="977.9"/>
    <n v="457.18"/>
    <x v="7"/>
    <x v="0"/>
    <x v="0"/>
    <x v="0"/>
    <x v="0"/>
    <x v="0"/>
    <x v="0"/>
    <x v="0"/>
    <x v="0"/>
    <x v="0"/>
    <x v="0"/>
    <x v="0"/>
    <x v="0"/>
    <x v="0"/>
    <x v="0"/>
    <x v="0"/>
    <x v="0"/>
    <x v="0"/>
    <x v="0"/>
    <x v="0"/>
    <x v="0"/>
    <x v="0"/>
    <x v="0"/>
    <x v="0"/>
    <x v="0"/>
    <x v="0"/>
    <x v="0"/>
    <x v="0"/>
    <x v="0"/>
    <n v="22951396.66"/>
    <n v="232009701.06"/>
    <n v="-20434759.350000001"/>
    <n v="252444460.41"/>
  </r>
  <r>
    <x v="0"/>
    <x v="17"/>
    <x v="17"/>
    <x v="7"/>
    <x v="7"/>
    <n v="52590.720000000001"/>
    <n v="101584.15"/>
    <n v="155564.26"/>
    <n v="326333.27"/>
    <n v="2488943.37"/>
    <n v="5404.95"/>
    <n v="5504.5"/>
    <n v="8447.42"/>
    <n v="11629.02"/>
    <n v="0"/>
    <n v="0"/>
    <n v="5307.21"/>
    <n v="3410.37"/>
    <n v="0"/>
    <n v="46"/>
    <n v="6315686.2699999996"/>
    <n v="11038502.550000001"/>
    <n v="15541189.460000001"/>
    <n v="93239154.299999997"/>
    <n v="884169.89"/>
    <n v="770498.81"/>
    <n v="996114.1"/>
    <n v="3199506.59"/>
    <n v="0"/>
    <n v="774417.19"/>
    <n v="839779.06"/>
    <n v="3411756.84"/>
    <n v="418058.17"/>
    <n v="701064.23"/>
    <n v="3113754.6"/>
    <n v="19714535.18"/>
    <n v="81561.759999999995"/>
    <n v="49885.03"/>
    <n v="172166.9"/>
    <n v="790146.25"/>
    <n v="0"/>
    <n v="24986.71"/>
    <n v="144832.62"/>
    <n v="187868.65"/>
    <n v="2115651.5499999998"/>
    <n v="3623546.24"/>
    <n v="5206740.04"/>
    <n v="9366051.5899999999"/>
    <n v="19959792.460000001"/>
    <n v="839667.09"/>
    <n v="698428.3"/>
    <n v="889739.81"/>
    <n v="1236404.1399999999"/>
    <n v="1350138.07"/>
    <n v="0"/>
    <n v="774293.65"/>
    <n v="1022940.68"/>
    <n v="1582502.46"/>
    <n v="3224749.42"/>
    <n v="0"/>
    <n v="0"/>
    <n v="0"/>
    <n v="0"/>
    <n v="0"/>
    <x v="0"/>
    <x v="0"/>
    <x v="0"/>
    <x v="0"/>
    <x v="0"/>
    <x v="0"/>
    <x v="0"/>
    <x v="0"/>
    <x v="0"/>
    <x v="0"/>
    <n v="12243.74"/>
    <n v="22708.32"/>
    <n v="35475.08"/>
    <n v="74294.97"/>
    <n v="249114.29"/>
    <x v="0"/>
    <x v="0"/>
    <x v="0"/>
    <x v="0"/>
    <x v="0"/>
    <x v="0"/>
    <x v="0"/>
    <x v="0"/>
    <x v="0"/>
    <x v="0"/>
    <n v="628618.31000000006"/>
    <n v="1221458.6399999999"/>
    <n v="1882755.03"/>
    <n v="3966947.84"/>
    <n v="26817779.620000001"/>
    <n v="1644.1"/>
    <n v="1709.79"/>
    <n v="2634.48"/>
    <n v="5641.35"/>
    <n v="47157.81"/>
    <x v="0"/>
    <n v="985.48"/>
    <n v="467.39"/>
    <x v="8"/>
    <x v="0"/>
    <x v="0"/>
    <x v="0"/>
    <x v="0"/>
    <x v="0"/>
    <x v="0"/>
    <x v="0"/>
    <x v="0"/>
    <x v="0"/>
    <x v="0"/>
    <x v="0"/>
    <x v="0"/>
    <x v="0"/>
    <x v="0"/>
    <x v="0"/>
    <x v="0"/>
    <x v="0"/>
    <x v="0"/>
    <x v="0"/>
    <x v="0"/>
    <x v="0"/>
    <x v="0"/>
    <x v="0"/>
    <x v="0"/>
    <x v="0"/>
    <x v="0"/>
    <x v="0"/>
    <x v="0"/>
    <n v="24046703.129999999"/>
    <n v="231652614.56999999"/>
    <n v="-20784226.809999999"/>
    <n v="252436841.38"/>
  </r>
  <r>
    <x v="0"/>
    <x v="17"/>
    <x v="17"/>
    <x v="8"/>
    <x v="8"/>
    <n v="53581.54"/>
    <n v="177526.79"/>
    <n v="158675.17000000001"/>
    <n v="321098.63"/>
    <n v="2439122.48"/>
    <n v="5454.5"/>
    <n v="5554.96"/>
    <n v="8524.85"/>
    <n v="8761.44"/>
    <n v="0"/>
    <n v="0"/>
    <n v="5355.86"/>
    <n v="6029.63"/>
    <n v="0"/>
    <n v="46"/>
    <n v="6153582.6799999997"/>
    <n v="11258584.57"/>
    <n v="15260961.720000001"/>
    <n v="90849812.859999999"/>
    <n v="870006.79"/>
    <n v="764254.27"/>
    <n v="956795.5"/>
    <n v="3391392.2"/>
    <n v="0"/>
    <n v="763274.45"/>
    <n v="836503.33"/>
    <n v="2684240.39"/>
    <n v="424654.82"/>
    <n v="719165.68"/>
    <n v="3145568.23"/>
    <n v="20503702.879999999"/>
    <n v="76352.149999999994"/>
    <n v="46651.57"/>
    <n v="168042.25"/>
    <n v="756430.17"/>
    <n v="0"/>
    <n v="22643.09"/>
    <n v="131520.20000000001"/>
    <n v="121828.62"/>
    <n v="1969040.48"/>
    <n v="3631938.65"/>
    <n v="5070106.26"/>
    <n v="9032752.2699999996"/>
    <n v="19401626.699999999"/>
    <n v="827668.34"/>
    <n v="724876.77"/>
    <n v="908393.45"/>
    <n v="1277503.68"/>
    <n v="1481288.44"/>
    <n v="0"/>
    <n v="788080.89"/>
    <n v="1011591.18"/>
    <n v="1608712.31"/>
    <n v="2684147.2000000002"/>
    <n v="0"/>
    <n v="0"/>
    <n v="0"/>
    <n v="0"/>
    <n v="0"/>
    <x v="0"/>
    <x v="0"/>
    <x v="0"/>
    <x v="0"/>
    <x v="0"/>
    <x v="0"/>
    <x v="0"/>
    <x v="0"/>
    <x v="0"/>
    <x v="0"/>
    <n v="11655.5"/>
    <n v="23353.73"/>
    <n v="35997.9"/>
    <n v="74004.69"/>
    <n v="237095.25"/>
    <x v="0"/>
    <x v="0"/>
    <x v="0"/>
    <x v="0"/>
    <x v="0"/>
    <x v="0"/>
    <x v="0"/>
    <x v="0"/>
    <x v="0"/>
    <x v="0"/>
    <n v="669463.1"/>
    <n v="1345503.12"/>
    <n v="2064091.17"/>
    <n v="4289253.53"/>
    <n v="28237536.809999999"/>
    <n v="7325.29"/>
    <n v="7512.93"/>
    <n v="11681.06"/>
    <n v="24605.02"/>
    <n v="113366.07"/>
    <x v="0"/>
    <n v="3634.6"/>
    <n v="463.38"/>
    <x v="9"/>
    <x v="0"/>
    <x v="0"/>
    <x v="0"/>
    <x v="0"/>
    <x v="0"/>
    <x v="0"/>
    <x v="0"/>
    <x v="0"/>
    <x v="0"/>
    <x v="0"/>
    <x v="0"/>
    <x v="0"/>
    <x v="0"/>
    <x v="0"/>
    <x v="0"/>
    <x v="0"/>
    <x v="0"/>
    <x v="0"/>
    <x v="0"/>
    <x v="0"/>
    <x v="0"/>
    <x v="0"/>
    <x v="0"/>
    <x v="0"/>
    <x v="0"/>
    <x v="0"/>
    <x v="0"/>
    <x v="0"/>
    <n v="23110830.850000001"/>
    <n v="231233041.06999999"/>
    <n v="-19437246.989999998"/>
    <n v="250670288.06"/>
  </r>
  <r>
    <x v="0"/>
    <x v="17"/>
    <x v="17"/>
    <x v="9"/>
    <x v="9"/>
    <n v="123484.98"/>
    <n v="98674.87"/>
    <n v="152694.19"/>
    <n v="313471.13"/>
    <n v="2274352.6800000002"/>
    <n v="10239.84"/>
    <n v="10438.790000000001"/>
    <n v="16102.12"/>
    <n v="21443.93"/>
    <n v="103739.65"/>
    <n v="0"/>
    <n v="7713.28"/>
    <n v="7924.71"/>
    <n v="545.73"/>
    <n v="46"/>
    <n v="6118915.9100000001"/>
    <n v="11086406.210000001"/>
    <n v="14935957.82"/>
    <n v="88680282.75"/>
    <n v="831844.37"/>
    <n v="715826.54"/>
    <n v="907840.11"/>
    <n v="2900318.2"/>
    <n v="9"/>
    <n v="751112.51"/>
    <n v="826548.62"/>
    <n v="2440508.5499999998"/>
    <n v="424138.11"/>
    <n v="728223.91"/>
    <n v="3119800.36"/>
    <n v="20720546.530000001"/>
    <n v="82928.679999999993"/>
    <n v="48410.59"/>
    <n v="180726.38"/>
    <n v="798587.29"/>
    <n v="0"/>
    <n v="22367.48"/>
    <n v="132478.46"/>
    <n v="129298.6"/>
    <n v="2023843.8"/>
    <n v="3434817.52"/>
    <n v="5031927.9400000004"/>
    <n v="8824188.3100000005"/>
    <n v="18874190.050000001"/>
    <n v="823799.6"/>
    <n v="664432.4"/>
    <n v="851501.77"/>
    <n v="1222712.9099999999"/>
    <n v="1399546.19"/>
    <n v="4"/>
    <n v="753719.12"/>
    <n v="991738.86"/>
    <n v="1604106.72"/>
    <n v="2423781.79"/>
    <n v="0"/>
    <n v="0"/>
    <n v="0"/>
    <n v="0"/>
    <n v="0"/>
    <x v="0"/>
    <x v="0"/>
    <x v="0"/>
    <x v="0"/>
    <x v="0"/>
    <x v="0"/>
    <x v="0"/>
    <x v="0"/>
    <x v="0"/>
    <x v="0"/>
    <n v="11707.72"/>
    <n v="22572.82"/>
    <n v="35478.629999999997"/>
    <n v="71497.98"/>
    <n v="229633.32"/>
    <x v="0"/>
    <x v="0"/>
    <x v="0"/>
    <x v="0"/>
    <x v="0"/>
    <x v="0"/>
    <x v="0"/>
    <x v="0"/>
    <x v="0"/>
    <x v="0"/>
    <n v="759745.11"/>
    <n v="1410630.56"/>
    <n v="2193866.2000000002"/>
    <n v="4570161.05"/>
    <n v="29408761.449999999"/>
    <n v="3780.41"/>
    <n v="3889.16"/>
    <n v="6065.51"/>
    <n v="12780.33"/>
    <n v="94489.24"/>
    <x v="0"/>
    <n v="2415.7800000000002"/>
    <n v="721.53"/>
    <x v="10"/>
    <x v="1"/>
    <x v="0"/>
    <x v="0"/>
    <x v="0"/>
    <x v="0"/>
    <x v="0"/>
    <x v="0"/>
    <x v="0"/>
    <x v="0"/>
    <x v="0"/>
    <x v="0"/>
    <x v="0"/>
    <x v="0"/>
    <x v="0"/>
    <x v="0"/>
    <x v="0"/>
    <x v="0"/>
    <x v="0"/>
    <x v="0"/>
    <x v="0"/>
    <x v="0"/>
    <x v="0"/>
    <x v="0"/>
    <x v="0"/>
    <x v="0"/>
    <x v="0"/>
    <x v="0"/>
    <x v="0"/>
    <n v="21806953.82"/>
    <n v="228563871.88999999"/>
    <n v="-18923053.84"/>
    <n v="247486925.72999999"/>
  </r>
  <r>
    <x v="0"/>
    <x v="17"/>
    <x v="17"/>
    <x v="10"/>
    <x v="10"/>
    <n v="50357.23"/>
    <n v="98780.65"/>
    <n v="154911.15"/>
    <n v="308735.86"/>
    <n v="2227246.5499999998"/>
    <n v="10338.040000000001"/>
    <n v="10496.29"/>
    <n v="16299.2"/>
    <n v="18645.7"/>
    <n v="101067.21"/>
    <n v="0"/>
    <n v="10141.02"/>
    <n v="7997.36"/>
    <n v="2866.37"/>
    <n v="46"/>
    <n v="6365323.4199999999"/>
    <n v="10771900.130000001"/>
    <n v="14677990.85"/>
    <n v="86902773.790000007"/>
    <n v="813044.7"/>
    <n v="702834.78"/>
    <n v="880130.14"/>
    <n v="2723659.79"/>
    <n v="38"/>
    <n v="742083.43"/>
    <n v="802288.01"/>
    <n v="2327364.2799999998"/>
    <n v="458564.08"/>
    <n v="718854.6"/>
    <n v="3157651.78"/>
    <n v="21364145.960000001"/>
    <n v="69441.55"/>
    <n v="39698.32"/>
    <n v="145369.82999999999"/>
    <n v="791589.68"/>
    <n v="0"/>
    <n v="20126.93"/>
    <n v="123760.51"/>
    <n v="130809.36"/>
    <n v="1968772.33"/>
    <n v="3396261.82"/>
    <n v="4916074.17"/>
    <n v="8620510.8599999994"/>
    <n v="18451755.960000001"/>
    <n v="793363.43"/>
    <n v="708321.43"/>
    <n v="844639.77"/>
    <n v="1246366.1200000001"/>
    <n v="1452027.12"/>
    <n v="23"/>
    <n v="750271.38"/>
    <n v="954302.77"/>
    <n v="1529421.65"/>
    <n v="2336223.71"/>
    <n v="0"/>
    <n v="0"/>
    <n v="0"/>
    <n v="0"/>
    <n v="0"/>
    <x v="0"/>
    <x v="0"/>
    <x v="0"/>
    <x v="0"/>
    <x v="0"/>
    <x v="0"/>
    <x v="0"/>
    <x v="0"/>
    <x v="0"/>
    <x v="0"/>
    <n v="12410.07"/>
    <n v="25241.39"/>
    <n v="38001.67"/>
    <n v="75921.08"/>
    <n v="242783.63"/>
    <x v="0"/>
    <x v="0"/>
    <x v="0"/>
    <x v="0"/>
    <x v="0"/>
    <x v="0"/>
    <x v="0"/>
    <x v="0"/>
    <x v="0"/>
    <x v="0"/>
    <n v="814997.28"/>
    <n v="1522242.9"/>
    <n v="2311801.5"/>
    <n v="4819856.6100000003"/>
    <n v="30439617.219999999"/>
    <n v="4671.55"/>
    <n v="4519.0600000000004"/>
    <n v="6966.39"/>
    <n v="14923.91"/>
    <n v="121016.12"/>
    <x v="0"/>
    <n v="3265.91"/>
    <n v="918.28"/>
    <x v="11"/>
    <x v="2"/>
    <x v="0"/>
    <x v="0"/>
    <x v="0"/>
    <x v="0"/>
    <x v="0"/>
    <x v="0"/>
    <x v="0"/>
    <x v="0"/>
    <x v="0"/>
    <x v="0"/>
    <x v="0"/>
    <x v="0"/>
    <x v="0"/>
    <x v="0"/>
    <x v="0"/>
    <x v="0"/>
    <x v="0"/>
    <x v="0"/>
    <x v="0"/>
    <x v="0"/>
    <x v="0"/>
    <x v="0"/>
    <x v="0"/>
    <x v="0"/>
    <x v="0"/>
    <x v="0"/>
    <x v="0"/>
    <n v="21262004.73"/>
    <n v="227525639.72"/>
    <n v="-18649849.550000001"/>
    <n v="246175489.27000001"/>
  </r>
  <r>
    <x v="0"/>
    <x v="17"/>
    <x v="17"/>
    <x v="11"/>
    <x v="11"/>
    <n v="49759.32"/>
    <n v="102082.88"/>
    <n v="243992.92"/>
    <n v="315572.88"/>
    <n v="2168877.0499999998"/>
    <n v="10437.61"/>
    <n v="10722.98"/>
    <n v="16334.9"/>
    <n v="15896.03"/>
    <n v="98332.97"/>
    <n v="0"/>
    <n v="10239.84"/>
    <n v="10378.99"/>
    <n v="2183.4499999999998"/>
    <n v="43"/>
    <n v="6063538.1200000001"/>
    <n v="10819640.16"/>
    <n v="14567351.42"/>
    <n v="84952096.75"/>
    <n v="727265.31"/>
    <n v="623501.47"/>
    <n v="779190.54"/>
    <n v="2623757.6800000002"/>
    <n v="0"/>
    <n v="672293.82"/>
    <n v="792129.47"/>
    <n v="2418714.62"/>
    <n v="422474.8"/>
    <n v="740562.95"/>
    <n v="3179678.02"/>
    <n v="22068143.800000001"/>
    <n v="60365.16"/>
    <n v="34890.699999999997"/>
    <n v="130463.21"/>
    <n v="591326.18000000005"/>
    <n v="0"/>
    <n v="19189.599999999999"/>
    <n v="123562.81"/>
    <n v="139408.19"/>
    <n v="1832697.6"/>
    <n v="3463980.07"/>
    <n v="4823107.16"/>
    <n v="8629261.0899999999"/>
    <n v="18517144.960000001"/>
    <n v="741642.09"/>
    <n v="653240.37"/>
    <n v="786390.98"/>
    <n v="1163500.99"/>
    <n v="1402298.08"/>
    <n v="0"/>
    <n v="709289"/>
    <n v="937213.07"/>
    <n v="1531046.82"/>
    <n v="2285498.29"/>
    <n v="0"/>
    <n v="0"/>
    <n v="0"/>
    <n v="0"/>
    <n v="0"/>
    <x v="0"/>
    <x v="0"/>
    <x v="0"/>
    <x v="0"/>
    <x v="0"/>
    <x v="0"/>
    <x v="0"/>
    <x v="0"/>
    <x v="0"/>
    <x v="0"/>
    <n v="12424.6"/>
    <n v="25772.91"/>
    <n v="38068.629999999997"/>
    <n v="75327.56"/>
    <n v="230444.87"/>
    <x v="0"/>
    <x v="0"/>
    <x v="0"/>
    <x v="0"/>
    <x v="0"/>
    <x v="0"/>
    <x v="0"/>
    <x v="0"/>
    <x v="0"/>
    <x v="0"/>
    <n v="814999.45"/>
    <n v="1620893.98"/>
    <n v="2418136.2799999998"/>
    <n v="5082553.1399999997"/>
    <n v="31593229.420000002"/>
    <n v="16078.35"/>
    <n v="16468.54"/>
    <n v="24927.45"/>
    <n v="49751.53"/>
    <n v="331077.84999999998"/>
    <x v="0"/>
    <n v="8045.44"/>
    <n v="1677.87"/>
    <x v="12"/>
    <x v="3"/>
    <x v="0"/>
    <x v="0"/>
    <x v="0"/>
    <x v="0"/>
    <x v="0"/>
    <x v="0"/>
    <x v="0"/>
    <x v="0"/>
    <x v="0"/>
    <x v="0"/>
    <x v="0"/>
    <x v="0"/>
    <x v="0"/>
    <x v="0"/>
    <x v="0"/>
    <x v="0"/>
    <x v="0"/>
    <x v="0"/>
    <x v="0"/>
    <x v="0"/>
    <x v="0"/>
    <x v="0"/>
    <x v="0"/>
    <x v="0"/>
    <x v="0"/>
    <x v="0"/>
    <x v="0"/>
    <n v="20569556.649999999"/>
    <n v="226912203.06"/>
    <n v="-18529166.379999999"/>
    <n v="245441369.44"/>
  </r>
  <r>
    <x v="0"/>
    <x v="18"/>
    <x v="18"/>
    <x v="0"/>
    <x v="0"/>
    <n v="81195.98"/>
    <n v="151362.13"/>
    <n v="247708.87"/>
    <n v="511559.06"/>
    <n v="6700241.1100000003"/>
    <n v="65532.03"/>
    <n v="66959.48"/>
    <n v="110020.83"/>
    <n v="222170.62"/>
    <n v="1147617.28"/>
    <n v="0"/>
    <n v="63909.58"/>
    <n v="45559.38"/>
    <n v="11260.39"/>
    <n v="0"/>
    <n v="6436342.2699999996"/>
    <n v="10647609.85"/>
    <n v="10815202.66"/>
    <n v="216973792.09999999"/>
    <n v="381270.54"/>
    <n v="389399.29"/>
    <n v="381754.13"/>
    <n v="6463228.4800000004"/>
    <n v="106047.05"/>
    <n v="325406.94"/>
    <n v="393719.66"/>
    <n v="2175397.84"/>
    <n v="238954.47"/>
    <n v="577083.28"/>
    <n v="2658253.09"/>
    <n v="58396696.899999999"/>
    <n v="34257.440000000002"/>
    <n v="24282.41"/>
    <n v="111580.51"/>
    <n v="2530733.3199999998"/>
    <n v="260612.47"/>
    <n v="14430.47"/>
    <n v="49116.93"/>
    <n v="31160.04"/>
    <n v="121815.74"/>
    <n v="145761.01"/>
    <n v="243405.9"/>
    <n v="526791.49"/>
    <n v="1571215.81"/>
    <n v="16628.849999999999"/>
    <n v="18703.75"/>
    <n v="27935.16"/>
    <n v="53019.94"/>
    <n v="91575.64"/>
    <n v="4899.91"/>
    <n v="14497.07"/>
    <n v="15051.05"/>
    <n v="21438.04"/>
    <n v="17034.259999999998"/>
    <n v="0"/>
    <n v="0"/>
    <n v="0"/>
    <n v="0"/>
    <n v="0"/>
    <x v="0"/>
    <x v="0"/>
    <x v="0"/>
    <x v="0"/>
    <x v="0"/>
    <x v="0"/>
    <x v="0"/>
    <x v="0"/>
    <x v="0"/>
    <x v="0"/>
    <n v="0"/>
    <n v="0"/>
    <n v="0"/>
    <n v="0"/>
    <n v="0"/>
    <x v="0"/>
    <x v="0"/>
    <x v="0"/>
    <x v="0"/>
    <x v="0"/>
    <x v="0"/>
    <x v="0"/>
    <x v="0"/>
    <x v="0"/>
    <x v="0"/>
    <n v="3728.33"/>
    <n v="9002.84"/>
    <n v="14456.03"/>
    <n v="30788.2"/>
    <n v="357499.91"/>
    <n v="0"/>
    <n v="0"/>
    <n v="0"/>
    <n v="0"/>
    <n v="0"/>
    <x v="0"/>
    <n v="0"/>
    <n v="0"/>
    <x v="0"/>
    <x v="0"/>
    <x v="0"/>
    <x v="0"/>
    <x v="0"/>
    <x v="0"/>
    <x v="0"/>
    <x v="0"/>
    <x v="0"/>
    <x v="0"/>
    <x v="0"/>
    <x v="0"/>
    <x v="0"/>
    <x v="0"/>
    <x v="0"/>
    <x v="0"/>
    <x v="0"/>
    <x v="0"/>
    <x v="0"/>
    <x v="0"/>
    <x v="0"/>
    <x v="0"/>
    <x v="0"/>
    <x v="0"/>
    <x v="0"/>
    <x v="0"/>
    <x v="0"/>
    <x v="0"/>
    <x v="0"/>
    <n v="15686210.779999999"/>
    <n v="319465927.19999999"/>
    <n v="-13680750.609999999"/>
    <n v="333146677.81"/>
  </r>
  <r>
    <x v="0"/>
    <x v="18"/>
    <x v="18"/>
    <x v="1"/>
    <x v="1"/>
    <n v="77856.490000000005"/>
    <n v="141798.88"/>
    <n v="232170.08"/>
    <n v="478627.32"/>
    <n v="7045676.6699999999"/>
    <n v="76641.5"/>
    <n v="85272.27"/>
    <n v="119868.27"/>
    <n v="255387.37"/>
    <n v="1392220.44"/>
    <n v="0"/>
    <n v="78301.63"/>
    <n v="57693.45"/>
    <n v="16963.87"/>
    <n v="0"/>
    <n v="6225684.9400000004"/>
    <n v="6650747.6299999999"/>
    <n v="16031088.609999999"/>
    <n v="217287992.43000001"/>
    <n v="357075.54"/>
    <n v="226091.9"/>
    <n v="485285.98"/>
    <n v="6177709.6600000001"/>
    <n v="190746.67"/>
    <n v="216790.26"/>
    <n v="375989.69"/>
    <n v="2259753.64"/>
    <n v="278562.59000000003"/>
    <n v="565382.21"/>
    <n v="2652329.1"/>
    <n v="58108829.060000002"/>
    <n v="34042.49"/>
    <n v="22934.74"/>
    <n v="107886.07"/>
    <n v="2415798.84"/>
    <n v="0"/>
    <n v="273374.65999999997"/>
    <n v="51947"/>
    <n v="32775.1"/>
    <n v="97447.46"/>
    <n v="116397.3"/>
    <n v="271637.48"/>
    <n v="536476.47"/>
    <n v="1787339.15"/>
    <n v="17976.43"/>
    <n v="15690.18"/>
    <n v="32730.14"/>
    <n v="60789.96"/>
    <n v="99868.4"/>
    <n v="10134.42"/>
    <n v="10429.41"/>
    <n v="15776.34"/>
    <n v="21883.279999999999"/>
    <n v="18852.150000000001"/>
    <n v="0"/>
    <n v="0"/>
    <n v="0"/>
    <n v="0"/>
    <n v="0"/>
    <x v="0"/>
    <x v="0"/>
    <x v="0"/>
    <x v="0"/>
    <x v="0"/>
    <x v="0"/>
    <x v="0"/>
    <x v="0"/>
    <x v="0"/>
    <x v="0"/>
    <n v="0"/>
    <n v="0"/>
    <n v="0"/>
    <n v="0"/>
    <n v="0"/>
    <x v="0"/>
    <x v="0"/>
    <x v="0"/>
    <x v="0"/>
    <x v="0"/>
    <x v="0"/>
    <x v="0"/>
    <x v="0"/>
    <x v="0"/>
    <x v="0"/>
    <n v="5508.69"/>
    <n v="13584.64"/>
    <n v="22744.93"/>
    <n v="48175.57"/>
    <n v="594724.72"/>
    <n v="118.11"/>
    <n v="241.25"/>
    <n v="374.81"/>
    <n v="798.62"/>
    <n v="16517.45"/>
    <x v="17"/>
    <n v="0"/>
    <n v="0"/>
    <x v="0"/>
    <x v="0"/>
    <x v="0"/>
    <x v="0"/>
    <x v="0"/>
    <x v="0"/>
    <x v="0"/>
    <x v="0"/>
    <x v="0"/>
    <x v="0"/>
    <x v="0"/>
    <x v="0"/>
    <x v="0"/>
    <x v="0"/>
    <x v="0"/>
    <x v="0"/>
    <x v="0"/>
    <x v="0"/>
    <x v="0"/>
    <x v="0"/>
    <x v="0"/>
    <x v="0"/>
    <x v="0"/>
    <x v="0"/>
    <x v="0"/>
    <x v="0"/>
    <x v="0"/>
    <x v="0"/>
    <x v="0"/>
    <n v="15632848.460000001"/>
    <n v="321105442.23000002"/>
    <n v="-13798188.65"/>
    <n v="334903630.88"/>
  </r>
  <r>
    <x v="0"/>
    <x v="18"/>
    <x v="18"/>
    <x v="2"/>
    <x v="2"/>
    <n v="73231.75"/>
    <n v="137768.41"/>
    <n v="213524.98"/>
    <n v="453018.82"/>
    <n v="7250408.5199999996"/>
    <n v="82902.03"/>
    <n v="91641.49"/>
    <n v="143049.64000000001"/>
    <n v="292971.24"/>
    <n v="1448140.09"/>
    <n v="0"/>
    <n v="88365.45"/>
    <n v="78271.47"/>
    <n v="31011.29"/>
    <n v="1824.39"/>
    <n v="6376812.9500000002"/>
    <n v="6974411.5"/>
    <n v="16447056.109999999"/>
    <n v="217961310.96000001"/>
    <n v="333962.46000000002"/>
    <n v="157476.21"/>
    <n v="406737.82"/>
    <n v="5524940.75"/>
    <n v="1864.89"/>
    <n v="383557.7"/>
    <n v="379799.97"/>
    <n v="2355580.5299999998"/>
    <n v="209108.6"/>
    <n v="573214.61"/>
    <n v="2727137.96"/>
    <n v="58259788.93"/>
    <n v="31804.7"/>
    <n v="21474.03"/>
    <n v="102939.25"/>
    <n v="2279001.25"/>
    <n v="0"/>
    <n v="270592.48"/>
    <n v="54712.3"/>
    <n v="34617.410000000003"/>
    <n v="57829.59"/>
    <n v="159859.45000000001"/>
    <n v="286251.64"/>
    <n v="568113.93000000005"/>
    <n v="2051066.37"/>
    <n v="12946.14"/>
    <n v="16269.29"/>
    <n v="26682.3"/>
    <n v="50789.67"/>
    <n v="92149.47"/>
    <n v="2994.58"/>
    <n v="15328.68"/>
    <n v="16309.37"/>
    <n v="23296.5"/>
    <n v="22243.360000000001"/>
    <n v="0"/>
    <n v="0"/>
    <n v="0"/>
    <n v="0"/>
    <n v="0"/>
    <x v="0"/>
    <x v="0"/>
    <x v="0"/>
    <x v="0"/>
    <x v="0"/>
    <x v="0"/>
    <x v="0"/>
    <x v="0"/>
    <x v="0"/>
    <x v="0"/>
    <n v="0"/>
    <n v="0"/>
    <n v="0"/>
    <n v="0"/>
    <n v="0"/>
    <x v="0"/>
    <x v="0"/>
    <x v="0"/>
    <x v="0"/>
    <x v="0"/>
    <x v="0"/>
    <x v="0"/>
    <x v="0"/>
    <x v="0"/>
    <x v="0"/>
    <n v="8185.55"/>
    <n v="18467.099999999999"/>
    <n v="32056.6"/>
    <n v="68114.05"/>
    <n v="866099.38"/>
    <n v="0"/>
    <n v="0"/>
    <n v="0"/>
    <n v="0"/>
    <n v="0"/>
    <x v="0"/>
    <n v="0"/>
    <n v="0"/>
    <x v="0"/>
    <x v="0"/>
    <x v="0"/>
    <x v="0"/>
    <x v="0"/>
    <x v="0"/>
    <x v="0"/>
    <x v="0"/>
    <x v="0"/>
    <x v="0"/>
    <x v="0"/>
    <x v="0"/>
    <x v="0"/>
    <x v="0"/>
    <x v="0"/>
    <x v="0"/>
    <x v="0"/>
    <x v="0"/>
    <x v="0"/>
    <x v="0"/>
    <x v="0"/>
    <x v="0"/>
    <x v="0"/>
    <x v="0"/>
    <x v="0"/>
    <x v="0"/>
    <x v="0"/>
    <x v="0"/>
    <x v="0"/>
    <n v="14876248.199999999"/>
    <n v="322850897.31"/>
    <n v="-13798188.65"/>
    <n v="336649085.95999998"/>
  </r>
  <r>
    <x v="0"/>
    <x v="18"/>
    <x v="18"/>
    <x v="3"/>
    <x v="3"/>
    <n v="79313.05"/>
    <n v="132306.75"/>
    <n v="206081.33"/>
    <n v="436617.38"/>
    <n v="6964642.9500000002"/>
    <n v="98182.85"/>
    <n v="106115.32"/>
    <n v="142437.63"/>
    <n v="319623.15999999997"/>
    <n v="1619448.08"/>
    <n v="0"/>
    <n v="83524.429999999993"/>
    <n v="101728.93"/>
    <n v="49373.32"/>
    <n v="3376.73"/>
    <n v="6668033.9000000004"/>
    <n v="7179433.4199999999"/>
    <n v="16616946.83"/>
    <n v="215264482.58000001"/>
    <n v="318325.59000000003"/>
    <n v="149879.28"/>
    <n v="396937.82"/>
    <n v="5589402.7800000003"/>
    <n v="7940.84"/>
    <n v="308937.82"/>
    <n v="434765.69"/>
    <n v="2444367.6800000002"/>
    <n v="229570.1"/>
    <n v="576824.13"/>
    <n v="2736805.24"/>
    <n v="58356958.25"/>
    <n v="36765.120000000003"/>
    <n v="24006.78"/>
    <n v="116036.34"/>
    <n v="2482331.77"/>
    <n v="0"/>
    <n v="10906.58"/>
    <n v="319232.99"/>
    <n v="36853.339999999997"/>
    <n v="122471.58"/>
    <n v="128313.43"/>
    <n v="289320.12"/>
    <n v="567923.39"/>
    <n v="2463185.7200000002"/>
    <n v="18252.13"/>
    <n v="14800.91"/>
    <n v="28736.31"/>
    <n v="57876.480000000003"/>
    <n v="172992.7"/>
    <n v="3274.55"/>
    <n v="18284.43"/>
    <n v="15632.63"/>
    <n v="22959.34"/>
    <n v="25099.98"/>
    <n v="0"/>
    <n v="0"/>
    <n v="0"/>
    <n v="0"/>
    <n v="0"/>
    <x v="0"/>
    <x v="0"/>
    <x v="0"/>
    <x v="0"/>
    <x v="0"/>
    <x v="0"/>
    <x v="0"/>
    <x v="0"/>
    <x v="0"/>
    <x v="0"/>
    <n v="0"/>
    <n v="0"/>
    <n v="0"/>
    <n v="0"/>
    <n v="0"/>
    <x v="0"/>
    <x v="0"/>
    <x v="0"/>
    <x v="0"/>
    <x v="0"/>
    <x v="0"/>
    <x v="0"/>
    <x v="0"/>
    <x v="0"/>
    <x v="0"/>
    <n v="12387.56"/>
    <n v="21889.19"/>
    <n v="41103.18"/>
    <n v="87278.31"/>
    <n v="1064384.22"/>
    <n v="0"/>
    <n v="0"/>
    <n v="0"/>
    <n v="0"/>
    <n v="0"/>
    <x v="0"/>
    <n v="0"/>
    <n v="0"/>
    <x v="0"/>
    <x v="0"/>
    <x v="0"/>
    <x v="0"/>
    <x v="0"/>
    <x v="0"/>
    <x v="0"/>
    <x v="0"/>
    <x v="0"/>
    <x v="0"/>
    <x v="0"/>
    <x v="0"/>
    <x v="0"/>
    <x v="0"/>
    <x v="0"/>
    <x v="0"/>
    <x v="0"/>
    <x v="0"/>
    <x v="0"/>
    <x v="0"/>
    <x v="0"/>
    <x v="0"/>
    <x v="0"/>
    <x v="0"/>
    <x v="0"/>
    <x v="0"/>
    <x v="0"/>
    <x v="0"/>
    <x v="0"/>
    <n v="15578410.33"/>
    <n v="322026494.29000002"/>
    <n v="-13798188.65"/>
    <n v="335824682.94"/>
  </r>
  <r>
    <x v="0"/>
    <x v="18"/>
    <x v="18"/>
    <x v="4"/>
    <x v="4"/>
    <n v="71639.199999999997"/>
    <n v="129036.48"/>
    <n v="199645.7"/>
    <n v="430165.28"/>
    <n v="6750559"/>
    <n v="104455.65"/>
    <n v="112511.4"/>
    <n v="159944.47"/>
    <n v="340694.8"/>
    <n v="1692864.84"/>
    <n v="0"/>
    <n v="87428.64"/>
    <n v="103817.26"/>
    <n v="72625.259999999995"/>
    <n v="4728.34"/>
    <n v="6523149.4500000002"/>
    <n v="7669388.1100000003"/>
    <n v="17432604.829999998"/>
    <n v="218259966.56999999"/>
    <n v="288889.21000000002"/>
    <n v="138582.53"/>
    <n v="368848.67"/>
    <n v="4673009.84"/>
    <n v="4816.47"/>
    <n v="272069.81"/>
    <n v="416668.7"/>
    <n v="2530084.25"/>
    <n v="202003.19"/>
    <n v="582675.6"/>
    <n v="2770743.23"/>
    <n v="57933665.619999997"/>
    <n v="35332.82"/>
    <n v="24400.91"/>
    <n v="116969.44"/>
    <n v="2595709.92"/>
    <n v="0"/>
    <n v="12732.72"/>
    <n v="322725.45"/>
    <n v="39784.730000000003"/>
    <n v="91991.79"/>
    <n v="129363.43"/>
    <n v="295368.67"/>
    <n v="577026.49"/>
    <n v="3111184.46"/>
    <n v="23278.97"/>
    <n v="16962.53"/>
    <n v="38096.25"/>
    <n v="68473.179999999993"/>
    <n v="233594.57"/>
    <n v="7787.95"/>
    <n v="14352.17"/>
    <n v="16987.57"/>
    <n v="22962.28"/>
    <n v="26476.1"/>
    <n v="0"/>
    <n v="0"/>
    <n v="0"/>
    <n v="0"/>
    <n v="0"/>
    <x v="0"/>
    <x v="0"/>
    <x v="0"/>
    <x v="0"/>
    <x v="0"/>
    <x v="0"/>
    <x v="0"/>
    <x v="0"/>
    <x v="0"/>
    <x v="0"/>
    <n v="0"/>
    <n v="0"/>
    <n v="0"/>
    <n v="0"/>
    <n v="0"/>
    <x v="0"/>
    <x v="0"/>
    <x v="0"/>
    <x v="0"/>
    <x v="0"/>
    <x v="0"/>
    <x v="0"/>
    <x v="0"/>
    <x v="0"/>
    <x v="0"/>
    <n v="13635.7"/>
    <n v="31172.1"/>
    <n v="58254.58"/>
    <n v="124262.31"/>
    <n v="1483953"/>
    <n v="0"/>
    <n v="0"/>
    <n v="0"/>
    <n v="0"/>
    <n v="0"/>
    <x v="0"/>
    <n v="0"/>
    <n v="0"/>
    <x v="0"/>
    <x v="0"/>
    <x v="0"/>
    <x v="0"/>
    <x v="0"/>
    <x v="0"/>
    <x v="0"/>
    <x v="0"/>
    <x v="0"/>
    <x v="0"/>
    <x v="0"/>
    <x v="0"/>
    <x v="0"/>
    <x v="0"/>
    <x v="0"/>
    <x v="0"/>
    <x v="0"/>
    <x v="0"/>
    <x v="0"/>
    <x v="0"/>
    <x v="0"/>
    <x v="0"/>
    <x v="0"/>
    <x v="0"/>
    <x v="0"/>
    <x v="0"/>
    <x v="0"/>
    <x v="0"/>
    <x v="0"/>
    <n v="14988667.699999999"/>
    <n v="326061933.83999997"/>
    <n v="-13798188.65"/>
    <n v="339860122.49000001"/>
  </r>
  <r>
    <x v="0"/>
    <x v="18"/>
    <x v="18"/>
    <x v="5"/>
    <x v="5"/>
    <n v="70645.02"/>
    <n v="132288.46"/>
    <n v="208126.82"/>
    <n v="460754.65"/>
    <n v="7282301.2999999998"/>
    <n v="81907.100000000006"/>
    <n v="83429.37"/>
    <n v="136012.93"/>
    <n v="276195.90000000002"/>
    <n v="1390485.66"/>
    <n v="0"/>
    <n v="83918.67"/>
    <n v="86003.3"/>
    <n v="71661.539999999994"/>
    <n v="6438.8"/>
    <n v="6936434.0999999996"/>
    <n v="8070131.4100000001"/>
    <n v="18295682.989999998"/>
    <n v="220927061.02000001"/>
    <n v="290613.39"/>
    <n v="139837.04999999999"/>
    <n v="393869.71"/>
    <n v="4988538.05"/>
    <n v="6646.96"/>
    <n v="270568.34999999998"/>
    <n v="387191.11"/>
    <n v="2184421.2000000002"/>
    <n v="298204.90000000002"/>
    <n v="571114.46"/>
    <n v="2777156.1"/>
    <n v="57559004.399999999"/>
    <n v="35079.230000000003"/>
    <n v="22984.9"/>
    <n v="113732.45"/>
    <n v="2460592.1800000002"/>
    <n v="0"/>
    <n v="10971.35"/>
    <n v="327027.25"/>
    <n v="40248.92"/>
    <n v="65743.83"/>
    <n v="165801.60000000001"/>
    <n v="299038.3"/>
    <n v="574295.11"/>
    <n v="3187652.62"/>
    <n v="19831.349999999999"/>
    <n v="23364.44"/>
    <n v="41592.15"/>
    <n v="71304.39"/>
    <n v="361222.96"/>
    <n v="5400.39"/>
    <n v="19900.939999999999"/>
    <n v="18141.04"/>
    <n v="23731"/>
    <n v="25380.58"/>
    <n v="0"/>
    <n v="0"/>
    <n v="0"/>
    <n v="0"/>
    <n v="0"/>
    <x v="0"/>
    <x v="0"/>
    <x v="0"/>
    <x v="0"/>
    <x v="0"/>
    <x v="0"/>
    <x v="0"/>
    <x v="0"/>
    <x v="0"/>
    <x v="0"/>
    <n v="0"/>
    <n v="0"/>
    <n v="0"/>
    <n v="0"/>
    <n v="0"/>
    <x v="0"/>
    <x v="0"/>
    <x v="0"/>
    <x v="0"/>
    <x v="0"/>
    <x v="0"/>
    <x v="0"/>
    <x v="0"/>
    <x v="0"/>
    <x v="0"/>
    <n v="17843.5"/>
    <n v="38750.06"/>
    <n v="68956.22"/>
    <n v="146024.42000000001"/>
    <n v="1700353.58"/>
    <n v="0"/>
    <n v="0"/>
    <n v="0"/>
    <n v="0"/>
    <n v="0"/>
    <x v="0"/>
    <n v="0"/>
    <n v="0"/>
    <x v="0"/>
    <x v="0"/>
    <x v="0"/>
    <x v="0"/>
    <x v="0"/>
    <x v="0"/>
    <x v="0"/>
    <x v="0"/>
    <x v="0"/>
    <x v="0"/>
    <x v="0"/>
    <x v="0"/>
    <x v="0"/>
    <x v="0"/>
    <x v="0"/>
    <x v="0"/>
    <x v="0"/>
    <x v="0"/>
    <x v="0"/>
    <x v="0"/>
    <x v="0"/>
    <x v="0"/>
    <x v="0"/>
    <x v="0"/>
    <x v="0"/>
    <x v="0"/>
    <x v="0"/>
    <x v="0"/>
    <x v="0"/>
    <n v="14498244.609999999"/>
    <n v="331006238.08999997"/>
    <n v="-13345371.390000001"/>
    <n v="344351609.48000002"/>
  </r>
  <r>
    <x v="0"/>
    <x v="18"/>
    <x v="18"/>
    <x v="6"/>
    <x v="6"/>
    <n v="77291.149999999994"/>
    <n v="134691.51999999999"/>
    <n v="213296.65"/>
    <n v="472881.72"/>
    <n v="7084222.3899999997"/>
    <n v="82175.08"/>
    <n v="83763.649999999994"/>
    <n v="136346.96"/>
    <n v="277035.17"/>
    <n v="1460227.63"/>
    <n v="0"/>
    <n v="84715.62"/>
    <n v="92969.98"/>
    <n v="93174.8"/>
    <n v="7722.87"/>
    <n v="6990014.4800000004"/>
    <n v="8825319.7699999996"/>
    <n v="18920192.960000001"/>
    <n v="224334897.93000001"/>
    <n v="278805.06"/>
    <n v="144712.12"/>
    <n v="407037.73"/>
    <n v="5088295.55"/>
    <n v="9119.81"/>
    <n v="256460.59"/>
    <n v="316855.62"/>
    <n v="2311247.69"/>
    <n v="176322.08"/>
    <n v="583599.35999999999"/>
    <n v="2776739.11"/>
    <n v="56970830.75"/>
    <n v="34690.76"/>
    <n v="23935.58"/>
    <n v="114777.42"/>
    <n v="2463964.37"/>
    <n v="0"/>
    <n v="11269.72"/>
    <n v="326736.03999999998"/>
    <n v="43589.440000000002"/>
    <n v="107115.66"/>
    <n v="148352.88"/>
    <n v="311041.59999999998"/>
    <n v="608284.14"/>
    <n v="3985914.38"/>
    <n v="18254.64"/>
    <n v="14746.58"/>
    <n v="32465.34"/>
    <n v="51017.04"/>
    <n v="238458.49"/>
    <n v="3304.34"/>
    <n v="19405.3"/>
    <n v="16451.38"/>
    <n v="24358.799999999999"/>
    <n v="27893.73"/>
    <n v="0"/>
    <n v="0"/>
    <n v="0"/>
    <n v="0"/>
    <n v="0"/>
    <x v="0"/>
    <x v="0"/>
    <x v="0"/>
    <x v="0"/>
    <x v="0"/>
    <x v="0"/>
    <x v="0"/>
    <x v="0"/>
    <x v="0"/>
    <x v="0"/>
    <n v="0"/>
    <n v="0"/>
    <n v="0"/>
    <n v="0"/>
    <n v="0"/>
    <x v="0"/>
    <x v="0"/>
    <x v="0"/>
    <x v="0"/>
    <x v="0"/>
    <x v="0"/>
    <x v="0"/>
    <x v="0"/>
    <x v="0"/>
    <x v="0"/>
    <n v="22680.080000000002"/>
    <n v="47975.66"/>
    <n v="82546.02"/>
    <n v="176215.58"/>
    <n v="2020775.14"/>
    <n v="0"/>
    <n v="0"/>
    <n v="0"/>
    <n v="0"/>
    <n v="0"/>
    <x v="0"/>
    <n v="0"/>
    <n v="0"/>
    <x v="0"/>
    <x v="0"/>
    <x v="0"/>
    <x v="0"/>
    <x v="0"/>
    <x v="0"/>
    <x v="0"/>
    <x v="0"/>
    <x v="0"/>
    <x v="0"/>
    <x v="0"/>
    <x v="0"/>
    <x v="0"/>
    <x v="0"/>
    <x v="0"/>
    <x v="0"/>
    <x v="0"/>
    <x v="0"/>
    <x v="0"/>
    <x v="0"/>
    <x v="0"/>
    <x v="0"/>
    <x v="0"/>
    <x v="0"/>
    <x v="0"/>
    <x v="0"/>
    <x v="0"/>
    <x v="0"/>
    <x v="0"/>
    <n v="14595984.9"/>
    <n v="336321814.51999998"/>
    <n v="-13345371.390000001"/>
    <n v="349667185.91000003"/>
  </r>
  <r>
    <x v="0"/>
    <x v="18"/>
    <x v="18"/>
    <x v="7"/>
    <x v="7"/>
    <n v="72179.11"/>
    <n v="127185.93"/>
    <n v="202699.42"/>
    <n v="455098.89"/>
    <n v="6661476.5599999996"/>
    <n v="92691"/>
    <n v="102229.29"/>
    <n v="145231.12"/>
    <n v="311566.44"/>
    <n v="1775150.12"/>
    <n v="0"/>
    <n v="81744.12"/>
    <n v="105563.63"/>
    <n v="114800.92"/>
    <n v="9638.26"/>
    <n v="7257208.5999999996"/>
    <n v="9524162.8499999996"/>
    <n v="19455481.890000001"/>
    <n v="230557018.19999999"/>
    <n v="300450.73"/>
    <n v="101068.45"/>
    <n v="291557.68"/>
    <n v="3659696.13"/>
    <n v="0"/>
    <n v="108201.94"/>
    <n v="297833.32"/>
    <n v="2374463.0299999998"/>
    <n v="199029.27"/>
    <n v="587872.81000000006"/>
    <n v="2800019.98"/>
    <n v="56745264.119999997"/>
    <n v="30534.1"/>
    <n v="21074.1"/>
    <n v="101092.25"/>
    <n v="2195243.35"/>
    <n v="0"/>
    <n v="9671.91"/>
    <n v="321781.57"/>
    <n v="46819.58"/>
    <n v="105330.79"/>
    <n v="162407.67000000001"/>
    <n v="330691"/>
    <n v="647843.56999999995"/>
    <n v="4921792.74"/>
    <n v="20704.87"/>
    <n v="9704.19"/>
    <n v="22398.560000000001"/>
    <n v="31639.49"/>
    <n v="78004.679999999993"/>
    <n v="0"/>
    <n v="10711.93"/>
    <n v="19765.8"/>
    <n v="26209.18"/>
    <n v="30938"/>
    <n v="0"/>
    <n v="0"/>
    <n v="0"/>
    <n v="0"/>
    <n v="0"/>
    <x v="0"/>
    <x v="0"/>
    <x v="0"/>
    <x v="0"/>
    <x v="0"/>
    <x v="0"/>
    <x v="0"/>
    <x v="0"/>
    <x v="0"/>
    <x v="0"/>
    <n v="0"/>
    <n v="0"/>
    <n v="0"/>
    <n v="0"/>
    <n v="0"/>
    <x v="0"/>
    <x v="0"/>
    <x v="0"/>
    <x v="0"/>
    <x v="0"/>
    <x v="0"/>
    <x v="0"/>
    <x v="0"/>
    <x v="0"/>
    <x v="0"/>
    <n v="25036.51"/>
    <n v="52987.34"/>
    <n v="89778.93"/>
    <n v="193176.03"/>
    <n v="2266269.33"/>
    <n v="0"/>
    <n v="0"/>
    <n v="0"/>
    <n v="0"/>
    <n v="0"/>
    <x v="0"/>
    <n v="0"/>
    <n v="0"/>
    <x v="0"/>
    <x v="0"/>
    <x v="0"/>
    <x v="0"/>
    <x v="0"/>
    <x v="0"/>
    <x v="0"/>
    <x v="0"/>
    <x v="0"/>
    <x v="0"/>
    <x v="0"/>
    <x v="0"/>
    <x v="0"/>
    <x v="0"/>
    <x v="0"/>
    <x v="0"/>
    <x v="0"/>
    <x v="0"/>
    <x v="0"/>
    <x v="0"/>
    <x v="0"/>
    <x v="0"/>
    <x v="0"/>
    <x v="0"/>
    <x v="0"/>
    <x v="0"/>
    <x v="0"/>
    <x v="0"/>
    <x v="0"/>
    <n v="12848179.74"/>
    <n v="342942820.88999999"/>
    <n v="-13345370.390000001"/>
    <n v="356288191.27999997"/>
  </r>
  <r>
    <x v="0"/>
    <x v="18"/>
    <x v="18"/>
    <x v="8"/>
    <x v="8"/>
    <n v="74520.67"/>
    <n v="129283.39"/>
    <n v="202379.57"/>
    <n v="466141.38"/>
    <n v="6616654.04"/>
    <n v="95379.94"/>
    <n v="104910"/>
    <n v="149480.29999999999"/>
    <n v="320178.59999999998"/>
    <n v="1681862.95"/>
    <n v="0"/>
    <n v="86142.65"/>
    <n v="110666"/>
    <n v="133666.88"/>
    <n v="17510.89"/>
    <n v="7397460.5800000001"/>
    <n v="10065803.68"/>
    <n v="20250086.260000002"/>
    <n v="234616777.68000001"/>
    <n v="302067.11"/>
    <n v="105583.09"/>
    <n v="306591.15000000002"/>
    <n v="3780785.78"/>
    <n v="0"/>
    <n v="106962.76"/>
    <n v="283001.64"/>
    <n v="2440338.33"/>
    <n v="193246.32"/>
    <n v="589340.4"/>
    <n v="2789379.02"/>
    <n v="56139980.579999998"/>
    <n v="31357.7"/>
    <n v="21637.23"/>
    <n v="103168.09"/>
    <n v="2216535.92"/>
    <n v="0"/>
    <n v="10605.96"/>
    <n v="323912.65999999997"/>
    <n v="50318.559999999998"/>
    <n v="82098.559999999998"/>
    <n v="193745.57"/>
    <n v="345819.21"/>
    <n v="652877.47"/>
    <n v="5169921.71"/>
    <n v="18774.14"/>
    <n v="14827.12"/>
    <n v="24181.26"/>
    <n v="35250.870000000003"/>
    <n v="313233.13"/>
    <n v="0"/>
    <n v="10544.98"/>
    <n v="20905.830000000002"/>
    <n v="28530.27"/>
    <n v="34563.54"/>
    <n v="0"/>
    <n v="0"/>
    <n v="0"/>
    <n v="0"/>
    <n v="0"/>
    <x v="0"/>
    <x v="0"/>
    <x v="0"/>
    <x v="0"/>
    <x v="0"/>
    <x v="0"/>
    <x v="0"/>
    <x v="0"/>
    <x v="0"/>
    <x v="0"/>
    <n v="0"/>
    <n v="0"/>
    <n v="0"/>
    <n v="0"/>
    <n v="0"/>
    <x v="0"/>
    <x v="0"/>
    <x v="0"/>
    <x v="0"/>
    <x v="0"/>
    <x v="0"/>
    <x v="0"/>
    <x v="0"/>
    <x v="0"/>
    <x v="0"/>
    <n v="27539.02"/>
    <n v="56326.7"/>
    <n v="96523.55"/>
    <n v="202482.39"/>
    <n v="2471589.7999999998"/>
    <n v="0"/>
    <n v="0"/>
    <n v="0"/>
    <n v="0"/>
    <n v="0"/>
    <x v="0"/>
    <n v="0"/>
    <n v="0"/>
    <x v="0"/>
    <x v="0"/>
    <x v="0"/>
    <x v="0"/>
    <x v="0"/>
    <x v="0"/>
    <x v="0"/>
    <x v="0"/>
    <x v="0"/>
    <x v="0"/>
    <x v="0"/>
    <x v="0"/>
    <x v="0"/>
    <x v="0"/>
    <x v="0"/>
    <x v="0"/>
    <x v="0"/>
    <x v="0"/>
    <x v="0"/>
    <x v="0"/>
    <x v="0"/>
    <x v="0"/>
    <x v="0"/>
    <x v="0"/>
    <x v="0"/>
    <x v="0"/>
    <x v="0"/>
    <x v="0"/>
    <x v="0"/>
    <n v="13283475.33"/>
    <n v="348749930.58999997"/>
    <n v="-13363522.289999999"/>
    <n v="362113452.88"/>
  </r>
  <r>
    <x v="0"/>
    <x v="18"/>
    <x v="18"/>
    <x v="9"/>
    <x v="9"/>
    <n v="67628.17"/>
    <n v="117865.05"/>
    <n v="183133.67"/>
    <n v="445056.54"/>
    <n v="6049700.9800000004"/>
    <n v="107548.4"/>
    <n v="101800.48"/>
    <n v="156476.63"/>
    <n v="334736.84999999998"/>
    <n v="1837433.76"/>
    <n v="0"/>
    <n v="90140.1"/>
    <n v="116644.63"/>
    <n v="147465.66"/>
    <n v="31917.38"/>
    <n v="7737119.4699999997"/>
    <n v="10389995.699999999"/>
    <n v="20935948.719999999"/>
    <n v="237042695.49000001"/>
    <n v="358242.11"/>
    <n v="132749.07999999999"/>
    <n v="370549.94"/>
    <n v="4315937.96"/>
    <n v="0"/>
    <n v="116692.74"/>
    <n v="275802.76"/>
    <n v="2488554.77"/>
    <n v="195350.08"/>
    <n v="591576.38"/>
    <n v="2811838.94"/>
    <n v="55707283.729999997"/>
    <n v="33615.18"/>
    <n v="23194.86"/>
    <n v="111223.5"/>
    <n v="2430377.48"/>
    <n v="0"/>
    <n v="10528.61"/>
    <n v="323949.3"/>
    <n v="54807.11"/>
    <n v="108624"/>
    <n v="172635.04"/>
    <n v="357251.77"/>
    <n v="669218.18000000005"/>
    <n v="5693818.6699999999"/>
    <n v="25009.06"/>
    <n v="12415.2"/>
    <n v="25082.62"/>
    <n v="38716.21"/>
    <n v="210039.49"/>
    <n v="0"/>
    <n v="10784.34"/>
    <n v="19293.28"/>
    <n v="29742.04"/>
    <n v="38308.71"/>
    <n v="0"/>
    <n v="0"/>
    <n v="0"/>
    <n v="0"/>
    <n v="0"/>
    <x v="0"/>
    <x v="0"/>
    <x v="0"/>
    <x v="0"/>
    <x v="0"/>
    <x v="0"/>
    <x v="0"/>
    <x v="0"/>
    <x v="0"/>
    <x v="0"/>
    <n v="0"/>
    <n v="0"/>
    <n v="0"/>
    <n v="0"/>
    <n v="0"/>
    <x v="0"/>
    <x v="0"/>
    <x v="0"/>
    <x v="0"/>
    <x v="0"/>
    <x v="0"/>
    <x v="0"/>
    <x v="0"/>
    <x v="0"/>
    <x v="0"/>
    <n v="29247.35"/>
    <n v="62625.63"/>
    <n v="106357.41"/>
    <n v="223714.58"/>
    <n v="2675080.7400000002"/>
    <n v="0"/>
    <n v="0"/>
    <n v="0"/>
    <n v="0"/>
    <n v="0"/>
    <x v="0"/>
    <n v="0"/>
    <n v="0"/>
    <x v="0"/>
    <x v="0"/>
    <x v="0"/>
    <x v="0"/>
    <x v="0"/>
    <x v="0"/>
    <x v="0"/>
    <x v="0"/>
    <x v="0"/>
    <x v="0"/>
    <x v="0"/>
    <x v="0"/>
    <x v="0"/>
    <x v="0"/>
    <x v="0"/>
    <x v="0"/>
    <x v="0"/>
    <x v="0"/>
    <x v="0"/>
    <x v="0"/>
    <x v="0"/>
    <x v="0"/>
    <x v="0"/>
    <x v="0"/>
    <x v="0"/>
    <x v="0"/>
    <x v="0"/>
    <x v="0"/>
    <x v="0"/>
    <n v="14379780.24"/>
    <n v="353390024.24000001"/>
    <n v="-13363522.289999999"/>
    <n v="366753546.52999997"/>
  </r>
  <r>
    <x v="0"/>
    <x v="18"/>
    <x v="18"/>
    <x v="10"/>
    <x v="10"/>
    <n v="58991.45"/>
    <n v="106740.47"/>
    <n v="218172.85"/>
    <n v="418020.62"/>
    <n v="5662571.0499999998"/>
    <n v="118594.95"/>
    <n v="112994.16"/>
    <n v="181937.15"/>
    <n v="371172.67"/>
    <n v="1972766.16"/>
    <n v="0"/>
    <n v="96171.13"/>
    <n v="113471.58"/>
    <n v="164626.93"/>
    <n v="51990.11"/>
    <n v="7736787.21"/>
    <n v="14711380.779999999"/>
    <n v="17923647.050000001"/>
    <n v="240042211.52000001"/>
    <n v="393395.94"/>
    <n v="273298.90999999997"/>
    <n v="283312.65000000002"/>
    <n v="4653988.43"/>
    <n v="0"/>
    <n v="131987.04"/>
    <n v="268352.58"/>
    <n v="2528515.9"/>
    <n v="244309.48"/>
    <n v="582546.98"/>
    <n v="2816000.06"/>
    <n v="55113223.090000004"/>
    <n v="37306.26"/>
    <n v="24352.17"/>
    <n v="119468.42"/>
    <n v="2536570.2200000002"/>
    <n v="0"/>
    <n v="10778.22"/>
    <n v="327470.82"/>
    <n v="59651.68"/>
    <n v="120403.82"/>
    <n v="229087.46"/>
    <n v="317213.27"/>
    <n v="687246.05"/>
    <n v="5936886.2699999996"/>
    <n v="28199.05"/>
    <n v="19676.96"/>
    <n v="21424.29"/>
    <n v="39894.480000000003"/>
    <n v="322307.71000000002"/>
    <n v="0"/>
    <n v="12066.47"/>
    <n v="20065.46"/>
    <n v="31688.65"/>
    <n v="37574.26"/>
    <n v="0"/>
    <n v="404.27"/>
    <n v="770.99"/>
    <n v="1574.19"/>
    <n v="17250.55"/>
    <x v="0"/>
    <x v="0"/>
    <x v="0"/>
    <x v="0"/>
    <x v="0"/>
    <x v="0"/>
    <x v="0"/>
    <x v="0"/>
    <x v="0"/>
    <x v="0"/>
    <n v="0"/>
    <n v="0"/>
    <n v="0"/>
    <n v="0"/>
    <n v="0"/>
    <x v="0"/>
    <x v="0"/>
    <x v="0"/>
    <x v="0"/>
    <x v="0"/>
    <x v="0"/>
    <x v="0"/>
    <x v="0"/>
    <x v="0"/>
    <x v="0"/>
    <n v="33319.550000000003"/>
    <n v="71923.12"/>
    <n v="113329.37"/>
    <n v="243092.29"/>
    <n v="2917723.56"/>
    <n v="0"/>
    <n v="0"/>
    <n v="0"/>
    <n v="0"/>
    <n v="0"/>
    <x v="0"/>
    <n v="0"/>
    <n v="0"/>
    <x v="0"/>
    <x v="0"/>
    <x v="0"/>
    <x v="0"/>
    <x v="0"/>
    <x v="0"/>
    <x v="0"/>
    <x v="0"/>
    <x v="0"/>
    <x v="0"/>
    <x v="0"/>
    <x v="0"/>
    <x v="0"/>
    <x v="0"/>
    <x v="0"/>
    <x v="0"/>
    <x v="0"/>
    <x v="0"/>
    <x v="0"/>
    <x v="0"/>
    <x v="0"/>
    <x v="0"/>
    <x v="0"/>
    <x v="0"/>
    <x v="0"/>
    <x v="0"/>
    <x v="0"/>
    <x v="0"/>
    <x v="0"/>
    <n v="15365071.41"/>
    <n v="357483980.74000001"/>
    <n v="-14205918.039999999"/>
    <n v="371689898.77999997"/>
  </r>
  <r>
    <x v="0"/>
    <x v="18"/>
    <x v="18"/>
    <x v="11"/>
    <x v="11"/>
    <n v="67028.38"/>
    <n v="117223.54"/>
    <n v="245182.87"/>
    <n v="463267.71"/>
    <n v="5965021.0199999996"/>
    <n v="103324.63"/>
    <n v="105438.28"/>
    <n v="169982.16"/>
    <n v="346753.67"/>
    <n v="1522972.58"/>
    <n v="0"/>
    <n v="101525.28"/>
    <n v="114791.32"/>
    <n v="170161.44"/>
    <n v="73274.710000000006"/>
    <n v="8035792.2000000002"/>
    <n v="15121360.92"/>
    <n v="18786247.050000001"/>
    <n v="247085574.93000001"/>
    <n v="322824.46999999997"/>
    <n v="223135.9"/>
    <n v="229300.99"/>
    <n v="3799601.26"/>
    <n v="0"/>
    <n v="106400.32000000001"/>
    <n v="255628.14"/>
    <n v="2547496.59"/>
    <n v="197357.85"/>
    <n v="626510.59"/>
    <n v="2832634.61"/>
    <n v="55146677.409999996"/>
    <n v="31528.84"/>
    <n v="23002.04"/>
    <n v="103121.53"/>
    <n v="2194264.9300000002"/>
    <n v="0"/>
    <n v="10416.9"/>
    <n v="325299.58"/>
    <n v="64002.16"/>
    <n v="121346.34"/>
    <n v="249344.5"/>
    <n v="322279.25"/>
    <n v="715226.1"/>
    <n v="6306750.3600000003"/>
    <n v="19796.21"/>
    <n v="13870.05"/>
    <n v="11950.86"/>
    <n v="24778.19"/>
    <n v="174981.99"/>
    <n v="0"/>
    <n v="9157.2999999999993"/>
    <n v="17049.98"/>
    <n v="30419.84"/>
    <n v="40343.22"/>
    <n v="161.16999999999999"/>
    <n v="508.39"/>
    <n v="759.32"/>
    <n v="1596.28"/>
    <n v="16974.84"/>
    <x v="0"/>
    <x v="0"/>
    <x v="0"/>
    <x v="0"/>
    <x v="0"/>
    <x v="0"/>
    <x v="0"/>
    <x v="0"/>
    <x v="0"/>
    <x v="0"/>
    <n v="0"/>
    <n v="0"/>
    <n v="0"/>
    <n v="0"/>
    <n v="0"/>
    <x v="0"/>
    <x v="0"/>
    <x v="0"/>
    <x v="0"/>
    <x v="0"/>
    <x v="0"/>
    <x v="0"/>
    <x v="0"/>
    <x v="0"/>
    <x v="0"/>
    <n v="34965.910000000003"/>
    <n v="80059.69"/>
    <n v="117545.3"/>
    <n v="260364.2"/>
    <n v="3049373.52"/>
    <n v="0"/>
    <n v="0"/>
    <n v="0"/>
    <n v="0"/>
    <n v="0"/>
    <x v="0"/>
    <n v="0"/>
    <n v="0"/>
    <x v="0"/>
    <x v="0"/>
    <x v="0"/>
    <x v="0"/>
    <x v="0"/>
    <x v="0"/>
    <x v="0"/>
    <x v="0"/>
    <x v="0"/>
    <x v="0"/>
    <x v="0"/>
    <x v="0"/>
    <x v="0"/>
    <x v="0"/>
    <x v="0"/>
    <x v="0"/>
    <x v="0"/>
    <x v="0"/>
    <x v="0"/>
    <x v="0"/>
    <x v="0"/>
    <x v="0"/>
    <x v="0"/>
    <x v="0"/>
    <x v="0"/>
    <x v="0"/>
    <x v="0"/>
    <x v="0"/>
    <x v="0"/>
    <n v="13286595.359999999"/>
    <n v="365037416.62"/>
    <n v="-14216312.99"/>
    <n v="379253729.61000001"/>
  </r>
  <r>
    <x v="0"/>
    <x v="19"/>
    <x v="19"/>
    <x v="0"/>
    <x v="0"/>
    <n v="0"/>
    <n v="0"/>
    <n v="0"/>
    <n v="0"/>
    <n v="0"/>
    <n v="0"/>
    <n v="0"/>
    <n v="0"/>
    <n v="0"/>
    <n v="0"/>
    <n v="0"/>
    <n v="0"/>
    <n v="0"/>
    <n v="0"/>
    <n v="0"/>
    <n v="3308640.25"/>
    <n v="5845760.4800000004"/>
    <n v="5691480.8899999997"/>
    <n v="71129617.629999995"/>
    <n v="284730.51"/>
    <n v="242789.19"/>
    <n v="236055.5"/>
    <n v="2693785.25"/>
    <n v="35929.040000000001"/>
    <n v="351840.16"/>
    <n v="333171.78999999998"/>
    <n v="1324020.03"/>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502321.4699999997"/>
    <n v="86875177.079999998"/>
    <n v="-4602643.6399999997"/>
    <n v="91477820.719999999"/>
  </r>
  <r>
    <x v="0"/>
    <x v="19"/>
    <x v="19"/>
    <x v="1"/>
    <x v="1"/>
    <n v="0"/>
    <n v="0"/>
    <n v="0"/>
    <n v="0"/>
    <n v="0"/>
    <n v="0"/>
    <n v="0"/>
    <n v="0"/>
    <n v="0"/>
    <n v="0"/>
    <n v="0"/>
    <n v="0"/>
    <n v="0"/>
    <n v="0"/>
    <n v="0"/>
    <n v="351673.89"/>
    <n v="5902636.8899999997"/>
    <n v="8602223.3300000001"/>
    <n v="71163896.219999999"/>
    <n v="149951.66"/>
    <n v="227105.87"/>
    <n v="332179.73"/>
    <n v="2516935.89"/>
    <n v="148047.23000000001"/>
    <n v="190949.41"/>
    <n v="363807.09"/>
    <n v="1319597.76"/>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248574.6399999997"/>
    <n v="86761118.129999995"/>
    <n v="-4507886.84"/>
    <n v="91269004.969999999"/>
  </r>
  <r>
    <x v="0"/>
    <x v="19"/>
    <x v="19"/>
    <x v="2"/>
    <x v="2"/>
    <n v="0"/>
    <n v="0"/>
    <n v="0"/>
    <n v="0"/>
    <n v="0"/>
    <n v="0"/>
    <n v="0"/>
    <n v="0"/>
    <n v="0"/>
    <n v="0"/>
    <n v="0"/>
    <n v="0"/>
    <n v="0"/>
    <n v="0"/>
    <n v="0"/>
    <n v="3291625.06"/>
    <n v="2943181.01"/>
    <n v="8621033.2200000007"/>
    <n v="71803556.890000001"/>
    <n v="272157.40000000002"/>
    <n v="116501.71"/>
    <n v="340823.94"/>
    <n v="2546135.46"/>
    <n v="34765.54"/>
    <n v="299834.83"/>
    <n v="360675.82"/>
    <n v="1313962.68"/>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284857.38"/>
    <n v="87414679.829999998"/>
    <n v="-4529573.7300000004"/>
    <n v="91944253.560000002"/>
  </r>
  <r>
    <x v="0"/>
    <x v="19"/>
    <x v="19"/>
    <x v="3"/>
    <x v="3"/>
    <n v="0"/>
    <n v="0"/>
    <n v="0"/>
    <n v="0"/>
    <n v="0"/>
    <n v="0"/>
    <n v="0"/>
    <n v="0"/>
    <n v="0"/>
    <n v="0"/>
    <n v="0"/>
    <n v="0"/>
    <n v="0"/>
    <n v="0"/>
    <n v="0"/>
    <n v="348901.66"/>
    <n v="5907010.4900000002"/>
    <n v="8617195.7899999991"/>
    <n v="71775482.239999995"/>
    <n v="150910.44"/>
    <n v="230283.16"/>
    <n v="334098.45"/>
    <n v="2507772.04"/>
    <n v="148858.72"/>
    <n v="285298.52"/>
    <n v="263054.11"/>
    <n v="1260366.43"/>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180641.87"/>
    <n v="87299658.319999993"/>
    <n v="-4529573.7300000004"/>
    <n v="91829232.049999997"/>
  </r>
  <r>
    <x v="0"/>
    <x v="19"/>
    <x v="19"/>
    <x v="4"/>
    <x v="4"/>
    <n v="0"/>
    <n v="0"/>
    <n v="0"/>
    <n v="0"/>
    <n v="0"/>
    <n v="0"/>
    <n v="0"/>
    <n v="0"/>
    <n v="0"/>
    <n v="0"/>
    <n v="0"/>
    <n v="0"/>
    <n v="0"/>
    <n v="0"/>
    <n v="0"/>
    <n v="3347160.69"/>
    <n v="2958625.41"/>
    <n v="8670653.8800000008"/>
    <n v="72644970.430000007"/>
    <n v="235591.3"/>
    <n v="100800.4"/>
    <n v="293203.18"/>
    <n v="2130570.5499999998"/>
    <n v="32016.799999999999"/>
    <n v="276880.52"/>
    <n v="359991.67"/>
    <n v="1191139"/>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620193.42"/>
    <n v="87712140.030000001"/>
    <n v="-4529463.8"/>
    <n v="92241603.829999998"/>
  </r>
  <r>
    <x v="0"/>
    <x v="19"/>
    <x v="19"/>
    <x v="5"/>
    <x v="5"/>
    <n v="0"/>
    <n v="0"/>
    <n v="0"/>
    <n v="0"/>
    <n v="0"/>
    <n v="0"/>
    <n v="0"/>
    <n v="0"/>
    <n v="0"/>
    <n v="0"/>
    <n v="0"/>
    <n v="0"/>
    <n v="0"/>
    <n v="0"/>
    <n v="0"/>
    <n v="338393.15"/>
    <n v="5937093.0499999998"/>
    <n v="8687457.5999999996"/>
    <n v="72967940.329999998"/>
    <n v="140731.74"/>
    <n v="214638.39"/>
    <n v="311665.68"/>
    <n v="2249316.86"/>
    <n v="137416.07"/>
    <n v="172327.79"/>
    <n v="350766.74"/>
    <n v="1175475.6299999999"/>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752338.9000000004"/>
    <n v="88153649.299999997"/>
    <n v="-4529573.7300000004"/>
    <n v="92683223.030000001"/>
  </r>
  <r>
    <x v="0"/>
    <x v="19"/>
    <x v="19"/>
    <x v="6"/>
    <x v="6"/>
    <n v="0"/>
    <n v="0"/>
    <n v="0"/>
    <n v="0"/>
    <n v="0"/>
    <n v="0"/>
    <n v="0"/>
    <n v="0"/>
    <n v="0"/>
    <n v="0"/>
    <n v="0"/>
    <n v="0"/>
    <n v="0"/>
    <n v="0"/>
    <n v="0"/>
    <n v="321357.74"/>
    <n v="5868829.4900000002"/>
    <n v="8651932.2100000009"/>
    <n v="73046405.409999996"/>
    <n v="170462.67"/>
    <n v="274321.34000000003"/>
    <n v="401192.11"/>
    <n v="2912719.96"/>
    <n v="0"/>
    <n v="349406.4"/>
    <n v="355446.61"/>
    <n v="1192067.94"/>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655617.0300000003"/>
    <n v="88832633.019999996"/>
    <n v="-4711508.8600000003"/>
    <n v="93544141.879999995"/>
  </r>
  <r>
    <x v="0"/>
    <x v="19"/>
    <x v="19"/>
    <x v="7"/>
    <x v="7"/>
    <n v="0"/>
    <n v="0"/>
    <n v="0"/>
    <n v="0"/>
    <n v="0"/>
    <n v="0"/>
    <n v="0"/>
    <n v="0"/>
    <n v="0"/>
    <n v="0"/>
    <n v="0"/>
    <n v="0"/>
    <n v="0"/>
    <n v="0"/>
    <n v="0"/>
    <n v="3234203.01"/>
    <n v="3008179.89"/>
    <n v="8808129.6300000008"/>
    <n v="75899339.870000005"/>
    <n v="210010.68"/>
    <n v="211027.61"/>
    <n v="257944.77"/>
    <n v="1745761.23"/>
    <n v="29560.77"/>
    <n v="149117.04999999999"/>
    <n v="350229.86"/>
    <n v="1174012.58"/>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127664.55"/>
    <n v="90366008.090000004"/>
    <n v="-4711508.8600000003"/>
    <n v="95077516.950000003"/>
  </r>
  <r>
    <x v="0"/>
    <x v="19"/>
    <x v="19"/>
    <x v="8"/>
    <x v="8"/>
    <n v="0"/>
    <n v="0"/>
    <n v="0"/>
    <n v="0"/>
    <n v="0"/>
    <n v="0"/>
    <n v="0"/>
    <n v="0"/>
    <n v="0"/>
    <n v="0"/>
    <n v="0"/>
    <n v="0"/>
    <n v="0"/>
    <n v="0"/>
    <n v="0"/>
    <n v="300128.19"/>
    <n v="5924948.7400000002"/>
    <n v="8764384.2300000004"/>
    <n v="75752528.829999998"/>
    <n v="222181.01"/>
    <n v="163018.35999999999"/>
    <n v="235004.43"/>
    <n v="1601476.58"/>
    <n v="0"/>
    <n v="165988.38"/>
    <n v="342732.07"/>
    <n v="1165619.8400000001"/>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3896020.67"/>
    <n v="89926501.799999997"/>
    <n v="-4711508.8600000003"/>
    <n v="94638010.659999996"/>
  </r>
  <r>
    <x v="0"/>
    <x v="19"/>
    <x v="19"/>
    <x v="9"/>
    <x v="9"/>
    <n v="0"/>
    <n v="0"/>
    <n v="0"/>
    <n v="0"/>
    <n v="0"/>
    <n v="0"/>
    <n v="0"/>
    <n v="0"/>
    <n v="0"/>
    <n v="0"/>
    <n v="0"/>
    <n v="0"/>
    <n v="0"/>
    <n v="0"/>
    <n v="0"/>
    <n v="3177452.04"/>
    <n v="2985629.09"/>
    <n v="8689587.2200000007"/>
    <n v="75807377.260000005"/>
    <n v="195916.99"/>
    <n v="195097.21"/>
    <n v="239211.34"/>
    <n v="1586188.13"/>
    <n v="26477.599999999999"/>
    <n v="136691.38"/>
    <n v="338628.05"/>
    <n v="1143992.8700000001"/>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3862203.57"/>
    <n v="89810740.319999993"/>
    <n v="-4711508.8600000003"/>
    <n v="94522249.180000007"/>
  </r>
  <r>
    <x v="0"/>
    <x v="19"/>
    <x v="19"/>
    <x v="10"/>
    <x v="10"/>
    <n v="0"/>
    <n v="0"/>
    <n v="0"/>
    <n v="0"/>
    <n v="0"/>
    <n v="0"/>
    <n v="0"/>
    <n v="0"/>
    <n v="0"/>
    <n v="0"/>
    <n v="0"/>
    <n v="0"/>
    <n v="0"/>
    <n v="0"/>
    <n v="0"/>
    <n v="285231.7"/>
    <n v="8741589.8599999994"/>
    <n v="5693775.1299999999"/>
    <n v="75723179.950000003"/>
    <n v="234779.92"/>
    <n v="266633.5"/>
    <n v="169380.06"/>
    <n v="1721005.97"/>
    <n v="0"/>
    <n v="187294.83"/>
    <n v="303621.15999999997"/>
    <n v="1133078.1499999999"/>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015793.59"/>
    <n v="89748061.370000005"/>
    <n v="-4711508.8600000003"/>
    <n v="94459570.230000004"/>
  </r>
  <r>
    <x v="0"/>
    <x v="19"/>
    <x v="19"/>
    <x v="11"/>
    <x v="11"/>
    <n v="0"/>
    <n v="0"/>
    <n v="0"/>
    <n v="0"/>
    <n v="0"/>
    <n v="0"/>
    <n v="0"/>
    <n v="0"/>
    <n v="0"/>
    <n v="0"/>
    <n v="0"/>
    <n v="0"/>
    <n v="0"/>
    <n v="0"/>
    <n v="0"/>
    <n v="181136.74"/>
    <n v="8698310.4600000009"/>
    <n v="5641671.6600000001"/>
    <n v="75549310.790000007"/>
    <n v="112181.01"/>
    <n v="367724.37"/>
    <n v="161891.82999999999"/>
    <n v="1637634.93"/>
    <n v="0"/>
    <n v="182301.83"/>
    <n v="305493.09999999998"/>
    <n v="1129207.94"/>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3896435.01"/>
    <n v="89164479.510000005"/>
    <n v="-4802385.1500000004"/>
    <n v="93966864.659999996"/>
  </r>
  <r>
    <x v="0"/>
    <x v="20"/>
    <x v="20"/>
    <x v="0"/>
    <x v="0"/>
    <n v="7707963.9199999999"/>
    <n v="9691543.6799999997"/>
    <n v="15190528.07"/>
    <n v="22557665.629999999"/>
    <n v="6091659.0599999996"/>
    <n v="32448.639999999999"/>
    <n v="33014.800000000003"/>
    <n v="38496.050000000003"/>
    <n v="10067.56"/>
    <n v="0"/>
    <n v="0"/>
    <n v="15989.21"/>
    <n v="29614.84"/>
    <n v="72087.210000000006"/>
    <n v="26639.59"/>
    <n v="0"/>
    <n v="0"/>
    <n v="0"/>
    <n v="0"/>
    <n v="0"/>
    <n v="0"/>
    <n v="0"/>
    <n v="0"/>
    <n v="0"/>
    <n v="0"/>
    <n v="0"/>
    <n v="0"/>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258357.9"/>
    <n v="60558856.140000001"/>
    <n v="-938862.12"/>
    <n v="61497718.259999998"/>
  </r>
  <r>
    <x v="0"/>
    <x v="20"/>
    <x v="20"/>
    <x v="1"/>
    <x v="1"/>
    <n v="6206719.1100000003"/>
    <n v="10685582.890000001"/>
    <n v="14242965.460000001"/>
    <n v="19595029.350000001"/>
    <n v="4603925.0199999996"/>
    <n v="32695.97"/>
    <n v="33273.480000000003"/>
    <n v="21797.59"/>
    <n v="10067.56"/>
    <n v="0"/>
    <n v="0"/>
    <n v="32181.66"/>
    <n v="14868.46"/>
    <n v="86833.59"/>
    <n v="25595.7"/>
    <n v="0"/>
    <n v="0"/>
    <n v="0"/>
    <n v="0"/>
    <n v="0"/>
    <n v="0"/>
    <n v="0"/>
    <n v="0"/>
    <n v="0"/>
    <n v="0"/>
    <n v="0"/>
    <n v="0"/>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257314.01"/>
    <n v="54689655.039999999"/>
    <n v="-901880.8"/>
    <n v="55591535.840000004"/>
  </r>
  <r>
    <x v="0"/>
    <x v="20"/>
    <x v="20"/>
    <x v="2"/>
    <x v="2"/>
    <n v="5780103.5099999998"/>
    <n v="10739889.67"/>
    <n v="14499466.98"/>
    <n v="15815594.279999999"/>
    <n v="3451163.72"/>
    <n v="33014.800000000003"/>
    <n v="33518.99"/>
    <n v="15044.62"/>
    <n v="0"/>
    <n v="0"/>
    <n v="0"/>
    <n v="32448.639999999999"/>
    <n v="15989.21"/>
    <n v="87471.5"/>
    <n v="39560.25"/>
    <n v="0"/>
    <n v="0"/>
    <n v="0"/>
    <n v="0"/>
    <n v="0"/>
    <n v="0"/>
    <n v="0"/>
    <n v="0"/>
    <n v="0"/>
    <n v="0"/>
    <n v="0"/>
    <n v="0"/>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257048.01"/>
    <n v="49641385.369999997"/>
    <n v="-901880.8"/>
    <n v="50543266.170000002"/>
  </r>
  <r>
    <x v="0"/>
    <x v="20"/>
    <x v="20"/>
    <x v="3"/>
    <x v="3"/>
    <n v="5293959.21"/>
    <n v="9164938.5600000005"/>
    <n v="13778971.390000001"/>
    <n v="11872831.82"/>
    <n v="2763944.27"/>
    <n v="33273.480000000003"/>
    <n v="21797.59"/>
    <n v="10067.56"/>
    <n v="0"/>
    <n v="0"/>
    <n v="0"/>
    <n v="32695.97"/>
    <n v="32181.66"/>
    <n v="73157.64"/>
    <n v="53874.11"/>
    <n v="0"/>
    <n v="0"/>
    <n v="0"/>
    <n v="0"/>
    <n v="0"/>
    <n v="0"/>
    <n v="0"/>
    <n v="0"/>
    <n v="0"/>
    <n v="0"/>
    <n v="0"/>
    <n v="0"/>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257048.01"/>
    <n v="42268940.600000001"/>
    <n v="-862752.66"/>
    <n v="43131693.259999998"/>
  </r>
  <r>
    <x v="0"/>
    <x v="20"/>
    <x v="20"/>
    <x v="4"/>
    <x v="4"/>
    <n v="4327858.2"/>
    <n v="8578745.3800000008"/>
    <n v="11159125.880000001"/>
    <n v="9770050.1999999993"/>
    <n v="1946648.84"/>
    <n v="33518.99"/>
    <n v="9985.9500000000007"/>
    <n v="5058.67"/>
    <n v="0"/>
    <n v="0"/>
    <n v="0"/>
    <n v="33014.800000000003"/>
    <n v="48437.85"/>
    <n v="58752.55"/>
    <n v="57325.66"/>
    <n v="0"/>
    <n v="0"/>
    <n v="0"/>
    <n v="0"/>
    <n v="0"/>
    <n v="0"/>
    <n v="0"/>
    <n v="0"/>
    <n v="0"/>
    <n v="0"/>
    <n v="0"/>
    <n v="0"/>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246094.47"/>
    <n v="35211742.840000004"/>
    <n v="-816780.13"/>
    <n v="36028522.969999999"/>
  </r>
  <r>
    <x v="0"/>
    <x v="20"/>
    <x v="20"/>
    <x v="5"/>
    <x v="5"/>
    <n v="3696433.09"/>
    <n v="8082041.2800000003"/>
    <n v="9685963.2100000009"/>
    <n v="6492020.2300000004"/>
    <n v="1314779.1299999999"/>
    <n v="21797.59"/>
    <n v="10067.56"/>
    <n v="0"/>
    <n v="0"/>
    <n v="0"/>
    <n v="0"/>
    <n v="33273.480000000003"/>
    <n v="48888.42"/>
    <n v="60252.57"/>
    <n v="71657.850000000006"/>
    <n v="0"/>
    <n v="0"/>
    <n v="0"/>
    <n v="0"/>
    <n v="0"/>
    <n v="0"/>
    <n v="0"/>
    <n v="0"/>
    <n v="0"/>
    <n v="0"/>
    <n v="0"/>
    <n v="0"/>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245937.47"/>
    <n v="28754753.399999999"/>
    <n v="-762421.01"/>
    <n v="29517174.41"/>
  </r>
  <r>
    <x v="0"/>
    <x v="20"/>
    <x v="20"/>
    <x v="6"/>
    <x v="6"/>
    <n v="4474651.67"/>
    <n v="7089384.0999999996"/>
    <n v="7395985.1200000001"/>
    <n v="5805130.5199999996"/>
    <n v="1240762.67"/>
    <n v="9985.9500000000007"/>
    <n v="5058.67"/>
    <n v="0"/>
    <n v="0"/>
    <n v="0"/>
    <n v="0"/>
    <n v="33518.99"/>
    <n v="49270.99"/>
    <n v="61796.5"/>
    <n v="86306.37"/>
    <n v="0"/>
    <n v="0"/>
    <n v="0"/>
    <n v="0"/>
    <n v="0"/>
    <n v="0"/>
    <n v="0"/>
    <n v="0"/>
    <n v="0"/>
    <n v="0"/>
    <n v="0"/>
    <n v="0"/>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245937.47"/>
    <n v="25479748.870000001"/>
    <n v="-772102.68"/>
    <n v="26251851.550000001"/>
  </r>
  <r>
    <x v="0"/>
    <x v="20"/>
    <x v="20"/>
    <x v="7"/>
    <x v="7"/>
    <n v="3288617.15"/>
    <n v="5546703.8899999997"/>
    <n v="5014924.4000000004"/>
    <n v="4146569.48"/>
    <n v="1550382.3"/>
    <n v="10067.56"/>
    <n v="0"/>
    <n v="0"/>
    <n v="0"/>
    <n v="0"/>
    <n v="0"/>
    <n v="21797.59"/>
    <n v="49713.26"/>
    <n v="63306.31"/>
    <n v="100610.82"/>
    <n v="0"/>
    <n v="0"/>
    <n v="0"/>
    <n v="0"/>
    <n v="0"/>
    <n v="0"/>
    <n v="0"/>
    <n v="0"/>
    <n v="0"/>
    <n v="0"/>
    <n v="0"/>
    <n v="0"/>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245495.54"/>
    <n v="19020590.079999998"/>
    <n v="-772102.68"/>
    <n v="19792692.760000002"/>
  </r>
  <r>
    <x v="0"/>
    <x v="20"/>
    <x v="20"/>
    <x v="8"/>
    <x v="8"/>
    <n v="3112496.14"/>
    <n v="4542672.43"/>
    <n v="4013719.33"/>
    <n v="3505849.34"/>
    <n v="1569861.98"/>
    <n v="5058.67"/>
    <n v="0"/>
    <n v="0"/>
    <n v="0"/>
    <n v="0"/>
    <n v="0"/>
    <n v="9985.9500000000007"/>
    <n v="50094.01"/>
    <n v="64877.63"/>
    <n v="115213.78"/>
    <n v="0"/>
    <n v="0"/>
    <n v="0"/>
    <n v="0"/>
    <n v="0"/>
    <n v="0"/>
    <n v="0"/>
    <n v="0"/>
    <n v="0"/>
    <n v="0"/>
    <n v="0"/>
    <n v="0"/>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245230.04"/>
    <n v="16248073.939999999"/>
    <n v="-741755.32"/>
    <n v="16989829.260000002"/>
  </r>
  <r>
    <x v="0"/>
    <x v="20"/>
    <x v="20"/>
    <x v="9"/>
    <x v="9"/>
    <n v="2256592.15"/>
    <n v="3396948.78"/>
    <n v="3482822.7"/>
    <n v="3093313.32"/>
    <n v="1761277.24"/>
    <n v="0"/>
    <n v="0"/>
    <n v="0"/>
    <n v="0"/>
    <n v="0"/>
    <n v="0"/>
    <n v="10067.56"/>
    <n v="38496.050000000003"/>
    <n v="81452.649999999994"/>
    <n v="115213.78"/>
    <n v="0"/>
    <n v="0"/>
    <n v="0"/>
    <n v="0"/>
    <n v="0"/>
    <n v="0"/>
    <n v="0"/>
    <n v="0"/>
    <n v="0"/>
    <n v="0"/>
    <n v="0"/>
    <n v="0"/>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245230.04"/>
    <n v="13494428.91"/>
    <n v="-741755.32"/>
    <n v="14236184.23"/>
  </r>
  <r>
    <x v="0"/>
    <x v="20"/>
    <x v="20"/>
    <x v="10"/>
    <x v="10"/>
    <n v="1938874.89"/>
    <n v="2882299.86"/>
    <n v="3189097.88"/>
    <n v="2399706.35"/>
    <n v="1675125.72"/>
    <n v="0"/>
    <n v="0"/>
    <n v="0"/>
    <n v="0"/>
    <n v="0"/>
    <n v="0"/>
    <n v="5058.67"/>
    <n v="26806.48"/>
    <n v="98151.11"/>
    <n v="115213.78"/>
    <n v="0"/>
    <n v="0"/>
    <n v="0"/>
    <n v="0"/>
    <n v="0"/>
    <n v="0"/>
    <n v="0"/>
    <n v="0"/>
    <n v="0"/>
    <n v="0"/>
    <n v="0"/>
    <n v="0"/>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245230.04"/>
    <n v="11588579.42"/>
    <n v="-741755.32"/>
    <n v="12330334.74"/>
  </r>
  <r>
    <x v="0"/>
    <x v="20"/>
    <x v="20"/>
    <x v="11"/>
    <x v="11"/>
    <n v="1315858.83"/>
    <n v="2479154.1"/>
    <n v="2921487.56"/>
    <n v="2457528.94"/>
    <n v="2607225.09"/>
    <n v="0"/>
    <n v="0"/>
    <n v="0"/>
    <n v="0"/>
    <n v="0"/>
    <n v="0"/>
    <n v="0"/>
    <n v="15044.62"/>
    <n v="98982.43"/>
    <n v="131202.99"/>
    <n v="0"/>
    <n v="0"/>
    <n v="0"/>
    <n v="0"/>
    <n v="0"/>
    <n v="0"/>
    <n v="0"/>
    <n v="0"/>
    <n v="0"/>
    <n v="0"/>
    <n v="0"/>
    <n v="0"/>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245230.04"/>
    <n v="11294729.24"/>
    <n v="-731755.32"/>
    <n v="12026484.560000001"/>
  </r>
  <r>
    <x v="0"/>
    <x v="21"/>
    <x v="21"/>
    <x v="0"/>
    <x v="0"/>
    <n v="443471.01"/>
    <n v="670257.38"/>
    <n v="944498.86"/>
    <n v="1684769.38"/>
    <n v="4807892.72"/>
    <n v="78879.520000000004"/>
    <n v="67915.67"/>
    <n v="88659.64"/>
    <n v="104051.58"/>
    <n v="102666.78"/>
    <n v="0"/>
    <n v="71356.36"/>
    <n v="68111.759999999995"/>
    <n v="78091.95"/>
    <n v="44873.82"/>
    <n v="4362239.74"/>
    <n v="7697400.5999999996"/>
    <n v="10893731.220000001"/>
    <n v="64376567.960000001"/>
    <n v="405915.79"/>
    <n v="496260.11"/>
    <n v="638898.49"/>
    <n v="2464951.7799999998"/>
    <n v="128257.7"/>
    <n v="334450.71000000002"/>
    <n v="263631.90000000002"/>
    <n v="887458.9"/>
    <n v="332736.19"/>
    <n v="564706.81999999995"/>
    <n v="2517682.7599999998"/>
    <n v="11933083.18"/>
    <n v="20456.169999999998"/>
    <n v="30078.78"/>
    <n v="87089.58"/>
    <n v="326773.90999999997"/>
    <n v="0"/>
    <n v="10524.38"/>
    <n v="25202.57"/>
    <n v="1748.8"/>
    <n v="3061384.77"/>
    <n v="5207000"/>
    <n v="7345997.7400000002"/>
    <n v="14121012.800000001"/>
    <n v="34948045.5"/>
    <n v="512044.85"/>
    <n v="621120.48"/>
    <n v="775761.61"/>
    <n v="1229503.71"/>
    <n v="1726909.07"/>
    <n v="137079.67999999999"/>
    <n v="465310.62"/>
    <n v="461762.64"/>
    <n v="746633.83"/>
    <n v="1645028.13"/>
    <n v="0"/>
    <n v="0"/>
    <n v="0"/>
    <n v="0"/>
    <n v="0"/>
    <x v="0"/>
    <x v="0"/>
    <x v="0"/>
    <x v="0"/>
    <x v="0"/>
    <x v="0"/>
    <x v="0"/>
    <x v="0"/>
    <x v="0"/>
    <x v="0"/>
    <n v="0"/>
    <n v="0"/>
    <n v="0"/>
    <n v="0"/>
    <n v="0"/>
    <x v="0"/>
    <x v="0"/>
    <x v="0"/>
    <x v="0"/>
    <x v="0"/>
    <x v="0"/>
    <x v="0"/>
    <x v="0"/>
    <x v="0"/>
    <x v="0"/>
    <n v="11607.1"/>
    <n v="19556.34"/>
    <n v="29447.96"/>
    <n v="61140.37"/>
    <n v="225570.49"/>
    <n v="2859.62"/>
    <n v="3504.2"/>
    <n v="4946.41"/>
    <n v="6437.47"/>
    <n v="1876.5"/>
    <x v="18"/>
    <n v="1374.23"/>
    <n v="562.45000000000005"/>
    <x v="0"/>
    <x v="4"/>
    <x v="0"/>
    <x v="0"/>
    <x v="0"/>
    <x v="0"/>
    <x v="0"/>
    <x v="0"/>
    <x v="0"/>
    <x v="0"/>
    <x v="0"/>
    <x v="0"/>
    <x v="0"/>
    <x v="0"/>
    <x v="0"/>
    <x v="0"/>
    <x v="0"/>
    <x v="0"/>
    <x v="0"/>
    <x v="0"/>
    <x v="0"/>
    <x v="0"/>
    <x v="0"/>
    <x v="0"/>
    <x v="0"/>
    <x v="0"/>
    <x v="0"/>
    <x v="0"/>
    <x v="0"/>
    <n v="15170353.470000001"/>
    <n v="174981211.83000001"/>
    <n v="-16448942.529999999"/>
    <n v="191430154.36000001"/>
  </r>
  <r>
    <x v="0"/>
    <x v="21"/>
    <x v="21"/>
    <x v="1"/>
    <x v="1"/>
    <n v="391140.03"/>
    <n v="600415.47"/>
    <n v="893965.93"/>
    <n v="1652124.9"/>
    <n v="4552099.92"/>
    <n v="76351.61"/>
    <n v="109312.46"/>
    <n v="119439.56"/>
    <n v="87358.61"/>
    <n v="81729.350000000006"/>
    <n v="0"/>
    <n v="105347.19"/>
    <n v="73301.48"/>
    <n v="80915.520000000004"/>
    <n v="53115.58"/>
    <n v="4115233.86"/>
    <n v="7227365.5499999998"/>
    <n v="10700506.26"/>
    <n v="61097792.049999997"/>
    <n v="408179.77"/>
    <n v="476059.83"/>
    <n v="642038.63"/>
    <n v="2486917.21"/>
    <n v="126141.08"/>
    <n v="342733.2"/>
    <n v="280048.14"/>
    <n v="858990.15"/>
    <n v="310736.07"/>
    <n v="529878.87"/>
    <n v="2481529.79"/>
    <n v="11584418.289999999"/>
    <n v="24587.24"/>
    <n v="35376.959999999999"/>
    <n v="104101.49"/>
    <n v="342294.82"/>
    <n v="0"/>
    <n v="12064.04"/>
    <n v="31117.13"/>
    <n v="2226.5100000000002"/>
    <n v="2899807.03"/>
    <n v="4918622.8899999997"/>
    <n v="7439246.3300000001"/>
    <n v="14137156.810000001"/>
    <n v="34699327.439999998"/>
    <n v="525534.19999999995"/>
    <n v="561095.24"/>
    <n v="755931.76"/>
    <n v="1163261.06"/>
    <n v="1631513.6000000001"/>
    <n v="150712.01999999999"/>
    <n v="470330.44"/>
    <n v="454245.34"/>
    <n v="746697.42"/>
    <n v="1503100.84"/>
    <n v="0"/>
    <n v="0"/>
    <n v="0"/>
    <n v="0"/>
    <n v="0"/>
    <x v="0"/>
    <x v="0"/>
    <x v="0"/>
    <x v="0"/>
    <x v="0"/>
    <x v="0"/>
    <x v="0"/>
    <x v="0"/>
    <x v="0"/>
    <x v="0"/>
    <n v="0"/>
    <n v="0"/>
    <n v="0"/>
    <n v="0"/>
    <n v="0"/>
    <x v="0"/>
    <x v="0"/>
    <x v="0"/>
    <x v="0"/>
    <x v="0"/>
    <x v="0"/>
    <x v="0"/>
    <x v="0"/>
    <x v="0"/>
    <x v="0"/>
    <n v="11862.04"/>
    <n v="25241.24"/>
    <n v="39371.870000000003"/>
    <n v="80147.360000000001"/>
    <n v="319195.40000000002"/>
    <n v="3809.67"/>
    <n v="5668.67"/>
    <n v="7915.67"/>
    <n v="12229.03"/>
    <n v="17014.64"/>
    <x v="19"/>
    <n v="2206.13"/>
    <n v="375.47"/>
    <x v="0"/>
    <x v="4"/>
    <x v="0"/>
    <x v="0"/>
    <x v="0"/>
    <x v="0"/>
    <x v="0"/>
    <x v="0"/>
    <x v="0"/>
    <x v="0"/>
    <x v="0"/>
    <x v="0"/>
    <x v="0"/>
    <x v="0"/>
    <x v="0"/>
    <x v="0"/>
    <x v="0"/>
    <x v="0"/>
    <x v="0"/>
    <x v="0"/>
    <x v="0"/>
    <x v="0"/>
    <x v="0"/>
    <x v="0"/>
    <x v="0"/>
    <x v="0"/>
    <x v="0"/>
    <x v="0"/>
    <x v="0"/>
    <n v="14973474.300000001"/>
    <n v="169594787.94"/>
    <n v="-16085871.76"/>
    <n v="185680659.69999999"/>
  </r>
  <r>
    <x v="0"/>
    <x v="21"/>
    <x v="21"/>
    <x v="2"/>
    <x v="2"/>
    <n v="364150.46"/>
    <n v="586386.68999999994"/>
    <n v="869474.3"/>
    <n v="1619142.52"/>
    <n v="4251483.3899999997"/>
    <n v="73111.73"/>
    <n v="66692.850000000006"/>
    <n v="75815.09"/>
    <n v="88162.34"/>
    <n v="127526.86"/>
    <n v="0"/>
    <n v="67890.91"/>
    <n v="63452.54"/>
    <n v="77773.279999999999"/>
    <n v="62277.45"/>
    <n v="3872184.2"/>
    <n v="7008109.1500000004"/>
    <n v="10293399.9"/>
    <n v="58249341.719999999"/>
    <n v="418582.47"/>
    <n v="484094.19"/>
    <n v="656839.18999999994"/>
    <n v="2498561.9500000002"/>
    <n v="131663.64000000001"/>
    <n v="380282.2"/>
    <n v="294858.01"/>
    <n v="909010.18"/>
    <n v="310348.89"/>
    <n v="519922.92"/>
    <n v="2478792.5699999998"/>
    <n v="11685936.970000001"/>
    <n v="26534.22"/>
    <n v="37877.629999999997"/>
    <n v="113369.25"/>
    <n v="369837.16"/>
    <n v="0"/>
    <n v="12700.81"/>
    <n v="33308.94"/>
    <n v="2976.65"/>
    <n v="2837578.62"/>
    <n v="4852550.41"/>
    <n v="7421752.71"/>
    <n v="14509769.6"/>
    <n v="35677315.68"/>
    <n v="515685.17"/>
    <n v="562546.86"/>
    <n v="765949.24"/>
    <n v="1200822.32"/>
    <n v="1721727.4"/>
    <n v="142107.34"/>
    <n v="496087.2"/>
    <n v="450062.28"/>
    <n v="743099.42"/>
    <n v="1598234.33"/>
    <n v="0"/>
    <n v="0"/>
    <n v="0"/>
    <n v="0"/>
    <n v="0"/>
    <x v="0"/>
    <x v="0"/>
    <x v="0"/>
    <x v="0"/>
    <x v="0"/>
    <x v="0"/>
    <x v="0"/>
    <x v="0"/>
    <x v="0"/>
    <x v="0"/>
    <n v="0"/>
    <n v="0"/>
    <n v="0"/>
    <n v="0"/>
    <n v="0"/>
    <x v="0"/>
    <x v="0"/>
    <x v="0"/>
    <x v="0"/>
    <x v="0"/>
    <x v="0"/>
    <x v="0"/>
    <x v="0"/>
    <x v="0"/>
    <x v="0"/>
    <n v="18595.560000000001"/>
    <n v="36652.75"/>
    <n v="58387.44"/>
    <n v="121528.89"/>
    <n v="471889.54"/>
    <n v="2473.25"/>
    <n v="3735.23"/>
    <n v="5088.45"/>
    <n v="6208.11"/>
    <n v="11748.77"/>
    <x v="20"/>
    <n v="2814.33"/>
    <n v="757.93"/>
    <x v="0"/>
    <x v="4"/>
    <x v="0"/>
    <x v="0"/>
    <x v="0"/>
    <x v="0"/>
    <x v="0"/>
    <x v="0"/>
    <x v="0"/>
    <x v="0"/>
    <x v="0"/>
    <x v="0"/>
    <x v="0"/>
    <x v="0"/>
    <x v="0"/>
    <x v="0"/>
    <x v="0"/>
    <x v="0"/>
    <x v="0"/>
    <x v="0"/>
    <x v="0"/>
    <x v="0"/>
    <x v="0"/>
    <x v="0"/>
    <x v="0"/>
    <x v="0"/>
    <x v="0"/>
    <x v="0"/>
    <x v="0"/>
    <n v="15303419.130000001"/>
    <n v="167400562.02000001"/>
    <n v="-16017551.99"/>
    <n v="183418114.00999999"/>
  </r>
  <r>
    <x v="0"/>
    <x v="21"/>
    <x v="21"/>
    <x v="3"/>
    <x v="3"/>
    <n v="352466.02"/>
    <n v="564335.06000000006"/>
    <n v="832927.62"/>
    <n v="1555605.14"/>
    <n v="4140800.49"/>
    <n v="82406.48"/>
    <n v="68398.23"/>
    <n v="74194.100000000006"/>
    <n v="98459.11"/>
    <n v="143778.62"/>
    <n v="0"/>
    <n v="75788.91"/>
    <n v="63226.28"/>
    <n v="83460.490000000005"/>
    <n v="72411.92"/>
    <n v="3770464.74"/>
    <n v="6780108.8099999996"/>
    <n v="9847923.0600000005"/>
    <n v="55138841.719999999"/>
    <n v="438444.4"/>
    <n v="528254.54"/>
    <n v="707897.08"/>
    <n v="2818867.39"/>
    <n v="146124.18"/>
    <n v="404082.23"/>
    <n v="306604.77"/>
    <n v="906073.04"/>
    <n v="310518.76"/>
    <n v="529384.51"/>
    <n v="2464681.8199999998"/>
    <n v="11564183.32"/>
    <n v="27294.16"/>
    <n v="40662.699999999997"/>
    <n v="119160.83"/>
    <n v="445460.95"/>
    <n v="0"/>
    <n v="13972.71"/>
    <n v="40273.75"/>
    <n v="3750.41"/>
    <n v="2819087.4"/>
    <n v="4939528.91"/>
    <n v="7330582.21"/>
    <n v="14458297.09"/>
    <n v="36476372.950000003"/>
    <n v="529044.52"/>
    <n v="604379.52"/>
    <n v="822429.89"/>
    <n v="1318988.45"/>
    <n v="1806355.81"/>
    <n v="147920.51999999999"/>
    <n v="536808.46"/>
    <n v="458269.31"/>
    <n v="727772.21"/>
    <n v="1567113"/>
    <n v="0"/>
    <n v="0"/>
    <n v="0"/>
    <n v="0"/>
    <n v="0"/>
    <x v="0"/>
    <x v="0"/>
    <x v="0"/>
    <x v="0"/>
    <x v="0"/>
    <x v="0"/>
    <x v="0"/>
    <x v="0"/>
    <x v="0"/>
    <x v="0"/>
    <n v="0"/>
    <n v="0"/>
    <n v="0"/>
    <n v="0"/>
    <n v="0"/>
    <x v="0"/>
    <x v="0"/>
    <x v="0"/>
    <x v="0"/>
    <x v="0"/>
    <x v="0"/>
    <x v="0"/>
    <x v="0"/>
    <x v="0"/>
    <x v="0"/>
    <n v="22211.51"/>
    <n v="49573.13"/>
    <n v="75270.22"/>
    <n v="157322.26999999999"/>
    <n v="671630.98"/>
    <n v="3391.68"/>
    <n v="4318.18"/>
    <n v="6728.75"/>
    <n v="8734.6299999999992"/>
    <n v="12041.99"/>
    <x v="21"/>
    <n v="2656.36"/>
    <n v="1260.4100000000001"/>
    <x v="0"/>
    <x v="4"/>
    <x v="0"/>
    <x v="0"/>
    <x v="0"/>
    <x v="0"/>
    <x v="0"/>
    <x v="0"/>
    <x v="0"/>
    <x v="0"/>
    <x v="0"/>
    <x v="0"/>
    <x v="0"/>
    <x v="0"/>
    <x v="0"/>
    <x v="0"/>
    <x v="0"/>
    <x v="0"/>
    <x v="0"/>
    <x v="0"/>
    <x v="0"/>
    <x v="0"/>
    <x v="0"/>
    <x v="0"/>
    <x v="0"/>
    <x v="0"/>
    <x v="0"/>
    <x v="0"/>
    <x v="0"/>
    <n v="16268642.24"/>
    <n v="164851766.24000001"/>
    <n v="-16268993.74"/>
    <n v="181120759.97999999"/>
  </r>
  <r>
    <x v="0"/>
    <x v="21"/>
    <x v="21"/>
    <x v="4"/>
    <x v="4"/>
    <n v="345518.28"/>
    <n v="541301.37"/>
    <n v="800382.02"/>
    <n v="1507932.04"/>
    <n v="3996869.81"/>
    <n v="80363.320000000007"/>
    <n v="68165.81"/>
    <n v="71141.22"/>
    <n v="107177.8"/>
    <n v="162489.91"/>
    <n v="0"/>
    <n v="77400.570000000007"/>
    <n v="72247.8"/>
    <n v="89918.399999999994"/>
    <n v="84262.35"/>
    <n v="3671697.91"/>
    <n v="6417628.0899999999"/>
    <n v="9520488.4600000009"/>
    <n v="52800545.539999999"/>
    <n v="436156.8"/>
    <n v="507950.71"/>
    <n v="692308.6"/>
    <n v="2727766.85"/>
    <n v="135687.51999999999"/>
    <n v="418736.6"/>
    <n v="337429.05"/>
    <n v="977172.98"/>
    <n v="310571.95"/>
    <n v="519740.99"/>
    <n v="2450148.0299999998"/>
    <n v="11595404.42"/>
    <n v="25239.24"/>
    <n v="36488.660000000003"/>
    <n v="104899.74"/>
    <n v="368055.03"/>
    <n v="0"/>
    <n v="11514.47"/>
    <n v="42510.91"/>
    <n v="5730.27"/>
    <n v="2864167.85"/>
    <n v="4840718.8099999996"/>
    <n v="7431586.6500000004"/>
    <n v="14714480.609999999"/>
    <n v="37938501.390000001"/>
    <n v="516147.61"/>
    <n v="548775.54"/>
    <n v="770770.77"/>
    <n v="1245885.53"/>
    <n v="1758565.97"/>
    <n v="138249.48000000001"/>
    <n v="515896.82"/>
    <n v="476054.62"/>
    <n v="709664.24"/>
    <n v="1676755.64"/>
    <n v="0"/>
    <n v="0"/>
    <n v="0"/>
    <n v="0"/>
    <n v="0"/>
    <x v="0"/>
    <x v="0"/>
    <x v="0"/>
    <x v="0"/>
    <x v="0"/>
    <x v="0"/>
    <x v="0"/>
    <x v="0"/>
    <x v="0"/>
    <x v="0"/>
    <n v="0"/>
    <n v="0"/>
    <n v="0"/>
    <n v="0"/>
    <n v="0"/>
    <x v="0"/>
    <x v="0"/>
    <x v="0"/>
    <x v="0"/>
    <x v="0"/>
    <x v="0"/>
    <x v="0"/>
    <x v="0"/>
    <x v="0"/>
    <x v="0"/>
    <n v="27821.360000000001"/>
    <n v="55862.09"/>
    <n v="85663.5"/>
    <n v="181881.71"/>
    <n v="762576.23"/>
    <n v="2814.15"/>
    <n v="4444.24"/>
    <n v="5791.1"/>
    <n v="8909.83"/>
    <n v="10950.68"/>
    <x v="22"/>
    <n v="2636.14"/>
    <n v="1537.23"/>
    <x v="13"/>
    <x v="4"/>
    <x v="0"/>
    <x v="0"/>
    <x v="0"/>
    <x v="0"/>
    <x v="0"/>
    <x v="0"/>
    <x v="0"/>
    <x v="0"/>
    <x v="0"/>
    <x v="0"/>
    <x v="0"/>
    <x v="0"/>
    <x v="0"/>
    <x v="0"/>
    <x v="0"/>
    <x v="0"/>
    <x v="0"/>
    <x v="0"/>
    <x v="0"/>
    <x v="0"/>
    <x v="0"/>
    <x v="0"/>
    <x v="0"/>
    <x v="0"/>
    <x v="0"/>
    <x v="0"/>
    <x v="0"/>
    <n v="16036674.09"/>
    <n v="163149172.46000001"/>
    <n v="-16268990.74"/>
    <n v="179418163.19999999"/>
  </r>
  <r>
    <x v="0"/>
    <x v="21"/>
    <x v="21"/>
    <x v="5"/>
    <x v="5"/>
    <n v="316491.44"/>
    <n v="529995.69999999995"/>
    <n v="778697.98"/>
    <n v="1433266.87"/>
    <n v="3776646.38"/>
    <n v="75127.63"/>
    <n v="64710.559999999998"/>
    <n v="67902.69"/>
    <n v="114275.47"/>
    <n v="202992.23"/>
    <n v="0"/>
    <n v="69359.570000000007"/>
    <n v="60844.07"/>
    <n v="63755"/>
    <n v="34326.589999999997"/>
    <n v="3636836.25"/>
    <n v="6369525.1799999997"/>
    <n v="9524582.8000000007"/>
    <n v="51576575.770000003"/>
    <n v="408262.43"/>
    <n v="383142.81"/>
    <n v="479249"/>
    <n v="1898385.92"/>
    <n v="0"/>
    <n v="332454.21000000002"/>
    <n v="326301.96000000002"/>
    <n v="769851.43"/>
    <n v="304321.89"/>
    <n v="515630.67"/>
    <n v="2457158.29"/>
    <n v="11895648.029999999"/>
    <n v="28470.81"/>
    <n v="46166.46"/>
    <n v="124241.33"/>
    <n v="452371.62"/>
    <n v="0"/>
    <n v="8799.59"/>
    <n v="45340.56"/>
    <n v="7957.28"/>
    <n v="2955774.13"/>
    <n v="5158416.3600000003"/>
    <n v="7918966.96"/>
    <n v="15314803.789999999"/>
    <n v="40882433.469999999"/>
    <n v="479468.72"/>
    <n v="457206.34"/>
    <n v="569306.69999999995"/>
    <n v="897208.18"/>
    <n v="1182102.73"/>
    <n v="0"/>
    <n v="403465.29"/>
    <n v="455752.6"/>
    <n v="609285.51"/>
    <n v="1297574.18"/>
    <n v="0"/>
    <n v="0"/>
    <n v="0"/>
    <n v="0"/>
    <n v="0"/>
    <x v="0"/>
    <x v="0"/>
    <x v="0"/>
    <x v="0"/>
    <x v="0"/>
    <x v="0"/>
    <x v="0"/>
    <x v="0"/>
    <x v="0"/>
    <x v="0"/>
    <n v="0"/>
    <n v="0"/>
    <n v="0"/>
    <n v="0"/>
    <n v="0"/>
    <x v="0"/>
    <x v="0"/>
    <x v="0"/>
    <x v="0"/>
    <x v="0"/>
    <x v="0"/>
    <x v="0"/>
    <x v="0"/>
    <x v="0"/>
    <x v="0"/>
    <n v="28490.15"/>
    <n v="54886.01"/>
    <n v="90963.82"/>
    <n v="185792.33"/>
    <n v="765558.6"/>
    <n v="2677.17"/>
    <n v="2820.31"/>
    <n v="3509.01"/>
    <n v="4819.53"/>
    <n v="10013.18"/>
    <x v="0"/>
    <n v="2769.99"/>
    <n v="1902.93"/>
    <x v="14"/>
    <x v="5"/>
    <x v="0"/>
    <x v="0"/>
    <x v="0"/>
    <x v="0"/>
    <x v="0"/>
    <x v="0"/>
    <x v="0"/>
    <x v="0"/>
    <x v="0"/>
    <x v="0"/>
    <x v="0"/>
    <x v="0"/>
    <x v="0"/>
    <x v="0"/>
    <x v="0"/>
    <x v="0"/>
    <x v="0"/>
    <x v="0"/>
    <x v="0"/>
    <x v="0"/>
    <x v="0"/>
    <x v="0"/>
    <x v="0"/>
    <x v="0"/>
    <x v="0"/>
    <x v="0"/>
    <x v="0"/>
    <n v="12444766.859999999"/>
    <n v="163888481.87"/>
    <n v="-15027747.859999999"/>
    <n v="178916229.72999999"/>
  </r>
  <r>
    <x v="0"/>
    <x v="21"/>
    <x v="21"/>
    <x v="6"/>
    <x v="6"/>
    <n v="322994.5"/>
    <n v="523345.68"/>
    <n v="750313.46"/>
    <n v="1407580.31"/>
    <n v="3648561.86"/>
    <n v="73452.27"/>
    <n v="64040.26"/>
    <n v="70167.86"/>
    <n v="123406.36"/>
    <n v="224158.03"/>
    <n v="0"/>
    <n v="63570.6"/>
    <n v="66199.08"/>
    <n v="65613.320000000007"/>
    <n v="41511.5"/>
    <n v="3585962.99"/>
    <n v="6240411.6900000004"/>
    <n v="9141824.4499999993"/>
    <n v="49998161.259999998"/>
    <n v="404629.16"/>
    <n v="402282.08"/>
    <n v="496103.72"/>
    <n v="1969511.93"/>
    <n v="0"/>
    <n v="334927.73"/>
    <n v="355583.98"/>
    <n v="837164.53"/>
    <n v="308626.14"/>
    <n v="530909.18999999994"/>
    <n v="2462735.5699999998"/>
    <n v="12204212.08"/>
    <n v="24168.02"/>
    <n v="40813.29"/>
    <n v="102502.64"/>
    <n v="300052.78999999998"/>
    <n v="0"/>
    <n v="7836.2"/>
    <n v="46331.77"/>
    <n v="9030.86"/>
    <n v="2963241.77"/>
    <n v="5288912.84"/>
    <n v="7769820.8600000003"/>
    <n v="15365062.08"/>
    <n v="42160412.049999997"/>
    <n v="489795.76"/>
    <n v="492723.96"/>
    <n v="604938.25"/>
    <n v="996355.51"/>
    <n v="1361659.34"/>
    <n v="0"/>
    <n v="416822.13"/>
    <n v="475879.41"/>
    <n v="621930.57999999996"/>
    <n v="1375555.26"/>
    <n v="0"/>
    <n v="0"/>
    <n v="0"/>
    <n v="0"/>
    <n v="0"/>
    <x v="0"/>
    <x v="0"/>
    <x v="0"/>
    <x v="0"/>
    <x v="0"/>
    <x v="0"/>
    <x v="0"/>
    <x v="0"/>
    <x v="0"/>
    <x v="0"/>
    <n v="0"/>
    <n v="0"/>
    <n v="0"/>
    <n v="0"/>
    <n v="0"/>
    <x v="0"/>
    <x v="0"/>
    <x v="0"/>
    <x v="0"/>
    <x v="0"/>
    <x v="0"/>
    <x v="0"/>
    <x v="0"/>
    <x v="0"/>
    <x v="0"/>
    <n v="28314.77"/>
    <n v="56535.87"/>
    <n v="87007.93"/>
    <n v="181175.44"/>
    <n v="727426.78"/>
    <n v="2054.85"/>
    <n v="2821.43"/>
    <n v="3017.78"/>
    <n v="4719.01"/>
    <n v="9296.2199999999993"/>
    <x v="0"/>
    <n v="2360.09"/>
    <n v="2801.56"/>
    <x v="15"/>
    <x v="5"/>
    <x v="0"/>
    <x v="0"/>
    <x v="0"/>
    <x v="0"/>
    <x v="0"/>
    <x v="0"/>
    <x v="0"/>
    <x v="0"/>
    <x v="0"/>
    <x v="0"/>
    <x v="0"/>
    <x v="0"/>
    <x v="0"/>
    <x v="0"/>
    <x v="0"/>
    <x v="0"/>
    <x v="0"/>
    <x v="0"/>
    <x v="0"/>
    <x v="0"/>
    <x v="0"/>
    <x v="0"/>
    <x v="0"/>
    <x v="0"/>
    <x v="0"/>
    <x v="0"/>
    <x v="0"/>
    <n v="12986886.869999999"/>
    <n v="163712693.58000001"/>
    <n v="-15027742.859999999"/>
    <n v="178740436.44"/>
  </r>
  <r>
    <x v="0"/>
    <x v="21"/>
    <x v="21"/>
    <x v="7"/>
    <x v="7"/>
    <n v="311112.78000000003"/>
    <n v="504363.94"/>
    <n v="738890.38"/>
    <n v="1369181.39"/>
    <n v="3626848.98"/>
    <n v="65022.97"/>
    <n v="53649.83"/>
    <n v="63314.61"/>
    <n v="112526.05"/>
    <n v="162447.91"/>
    <n v="0"/>
    <n v="55441.279999999999"/>
    <n v="66183.710000000006"/>
    <n v="69162.7"/>
    <n v="49757.440000000002"/>
    <n v="3353586.19"/>
    <n v="6018022.3099999996"/>
    <n v="8956105.4499999993"/>
    <n v="48848682.049999997"/>
    <n v="384997.93"/>
    <n v="381885.97"/>
    <n v="476309.15"/>
    <n v="1840891.18"/>
    <n v="0"/>
    <n v="332464.77"/>
    <n v="356395.82"/>
    <n v="905685.16"/>
    <n v="303628.86"/>
    <n v="529643.53"/>
    <n v="2492998.71"/>
    <n v="12510420.380000001"/>
    <n v="22817.439999999999"/>
    <n v="35466.050000000003"/>
    <n v="90738.17"/>
    <n v="292545.67"/>
    <n v="0"/>
    <n v="6870.64"/>
    <n v="46904.51"/>
    <n v="10332.91"/>
    <n v="2898137.81"/>
    <n v="5059644.76"/>
    <n v="7910094"/>
    <n v="15633943.84"/>
    <n v="44399277.719999999"/>
    <n v="491619.33"/>
    <n v="502566.63"/>
    <n v="600934.17000000004"/>
    <n v="1006595.58"/>
    <n v="1412926"/>
    <n v="0"/>
    <n v="424054.99"/>
    <n v="481248.05"/>
    <n v="649670.81999999995"/>
    <n v="1452393.89"/>
    <n v="0"/>
    <n v="0"/>
    <n v="0"/>
    <n v="0"/>
    <n v="0"/>
    <x v="0"/>
    <x v="0"/>
    <x v="0"/>
    <x v="0"/>
    <x v="0"/>
    <x v="0"/>
    <x v="0"/>
    <x v="0"/>
    <x v="0"/>
    <x v="0"/>
    <n v="0"/>
    <n v="0"/>
    <n v="0"/>
    <n v="0"/>
    <n v="0"/>
    <x v="0"/>
    <x v="0"/>
    <x v="0"/>
    <x v="0"/>
    <x v="0"/>
    <x v="0"/>
    <x v="0"/>
    <x v="0"/>
    <x v="0"/>
    <x v="0"/>
    <n v="28320.81"/>
    <n v="55256.46"/>
    <n v="85701.5"/>
    <n v="177224.66"/>
    <n v="687421.86"/>
    <n v="1166.3499999999999"/>
    <n v="1727.08"/>
    <n v="1359.22"/>
    <n v="1293"/>
    <n v="0"/>
    <x v="0"/>
    <n v="1137.75"/>
    <n v="2404.69"/>
    <x v="16"/>
    <x v="6"/>
    <x v="0"/>
    <x v="0"/>
    <x v="0"/>
    <x v="0"/>
    <x v="0"/>
    <x v="0"/>
    <x v="0"/>
    <x v="0"/>
    <x v="0"/>
    <x v="0"/>
    <x v="0"/>
    <x v="0"/>
    <x v="0"/>
    <x v="0"/>
    <x v="0"/>
    <x v="0"/>
    <x v="0"/>
    <x v="0"/>
    <x v="0"/>
    <x v="0"/>
    <x v="0"/>
    <x v="0"/>
    <x v="0"/>
    <x v="0"/>
    <x v="0"/>
    <x v="0"/>
    <x v="0"/>
    <n v="12914501.140000001"/>
    <n v="164057716.56999999"/>
    <n v="-15355292.939999999"/>
    <n v="179413009.50999999"/>
  </r>
  <r>
    <x v="0"/>
    <x v="21"/>
    <x v="21"/>
    <x v="8"/>
    <x v="8"/>
    <n v="295166.46999999997"/>
    <n v="490090.64"/>
    <n v="719435.95"/>
    <n v="1256546.96"/>
    <n v="3464190.34"/>
    <n v="64317.14"/>
    <n v="57148.43"/>
    <n v="76662.16"/>
    <n v="135569.59"/>
    <n v="173123.09"/>
    <n v="0"/>
    <n v="58695.51"/>
    <n v="68283.570000000007"/>
    <n v="75009.41"/>
    <n v="59319.59"/>
    <n v="3296943.1"/>
    <n v="5903397.46"/>
    <n v="8885597.2200000007"/>
    <n v="47258110.57"/>
    <n v="403661.99"/>
    <n v="398509.28"/>
    <n v="518886.87"/>
    <n v="1913675.58"/>
    <n v="0"/>
    <n v="331562.67"/>
    <n v="365892.63"/>
    <n v="877936.96"/>
    <n v="293442.09000000003"/>
    <n v="528259.86"/>
    <n v="2433497.91"/>
    <n v="12559721.42"/>
    <n v="30136.080000000002"/>
    <n v="47501.51"/>
    <n v="126401.22"/>
    <n v="369809.77"/>
    <n v="0"/>
    <n v="10380.34"/>
    <n v="51860.7"/>
    <n v="12898.89"/>
    <n v="2959507.14"/>
    <n v="5290803.79"/>
    <n v="8285100.6100000003"/>
    <n v="15459791.800000001"/>
    <n v="46307997.719999999"/>
    <n v="512581.23"/>
    <n v="512051.31"/>
    <n v="635212.93000000005"/>
    <n v="990824.77"/>
    <n v="1397785.54"/>
    <n v="0"/>
    <n v="414510.14"/>
    <n v="482086.15"/>
    <n v="657786.07999999996"/>
    <n v="1187284.3899999999"/>
    <n v="0"/>
    <n v="0"/>
    <n v="0"/>
    <n v="0"/>
    <n v="0"/>
    <x v="0"/>
    <x v="0"/>
    <x v="0"/>
    <x v="0"/>
    <x v="0"/>
    <x v="0"/>
    <x v="0"/>
    <x v="0"/>
    <x v="0"/>
    <x v="0"/>
    <n v="0"/>
    <n v="0"/>
    <n v="0"/>
    <n v="0"/>
    <n v="0"/>
    <x v="0"/>
    <x v="0"/>
    <x v="0"/>
    <x v="0"/>
    <x v="0"/>
    <x v="0"/>
    <x v="0"/>
    <x v="0"/>
    <x v="0"/>
    <x v="0"/>
    <n v="26976.58"/>
    <n v="55482.19"/>
    <n v="88928.25"/>
    <n v="170085.54"/>
    <n v="659376.64000000001"/>
    <n v="2456.0300000000002"/>
    <n v="2133.91"/>
    <n v="2388.9899999999998"/>
    <n v="1989.25"/>
    <n v="0"/>
    <x v="0"/>
    <n v="1577.37"/>
    <n v="2460.4899999999998"/>
    <x v="17"/>
    <x v="7"/>
    <x v="0"/>
    <x v="0"/>
    <x v="0"/>
    <x v="0"/>
    <x v="0"/>
    <x v="0"/>
    <x v="0"/>
    <x v="0"/>
    <x v="0"/>
    <x v="0"/>
    <x v="0"/>
    <x v="0"/>
    <x v="0"/>
    <x v="0"/>
    <x v="0"/>
    <x v="0"/>
    <x v="0"/>
    <x v="0"/>
    <x v="0"/>
    <x v="0"/>
    <x v="0"/>
    <x v="0"/>
    <x v="0"/>
    <x v="0"/>
    <x v="0"/>
    <x v="0"/>
    <x v="0"/>
    <n v="13032628.08"/>
    <n v="164529958.03999999"/>
    <n v="-15191120.289999999"/>
    <n v="179721078.33000001"/>
  </r>
  <r>
    <x v="0"/>
    <x v="21"/>
    <x v="21"/>
    <x v="9"/>
    <x v="9"/>
    <n v="289143.81"/>
    <n v="461830.19"/>
    <n v="694206.42"/>
    <n v="1202617.24"/>
    <n v="3382964.62"/>
    <n v="64266.81"/>
    <n v="59983.13"/>
    <n v="83659.38"/>
    <n v="142865.34"/>
    <n v="138848.5"/>
    <n v="0"/>
    <n v="55712.52"/>
    <n v="65917.84"/>
    <n v="84980.86"/>
    <n v="69498.570000000007"/>
    <n v="3242083.62"/>
    <n v="5703159.7400000002"/>
    <n v="8601212.9700000007"/>
    <n v="45405978.880000003"/>
    <n v="425738.6"/>
    <n v="433132.03"/>
    <n v="559520.61"/>
    <n v="2050499.95"/>
    <n v="0"/>
    <n v="343174.34"/>
    <n v="365468.01"/>
    <n v="953883.52"/>
    <n v="303349.40000000002"/>
    <n v="517290.9"/>
    <n v="2431179.17"/>
    <n v="12767754.529999999"/>
    <n v="32176.11"/>
    <n v="50558.52"/>
    <n v="132862.62"/>
    <n v="377238.21"/>
    <n v="0"/>
    <n v="11083.34"/>
    <n v="58233.86"/>
    <n v="16336.5"/>
    <n v="3066484.75"/>
    <n v="5366847.4000000004"/>
    <n v="8485027.9299999997"/>
    <n v="15738022.1"/>
    <n v="48676036.840000004"/>
    <n v="549566.28"/>
    <n v="553186.05000000005"/>
    <n v="698224.16"/>
    <n v="1062963.97"/>
    <n v="1561104.24"/>
    <n v="0"/>
    <n v="428127.06"/>
    <n v="494951.26"/>
    <n v="695236.52"/>
    <n v="1249039.2"/>
    <n v="0"/>
    <n v="0"/>
    <n v="0"/>
    <n v="0"/>
    <n v="0"/>
    <x v="0"/>
    <x v="0"/>
    <x v="0"/>
    <x v="0"/>
    <x v="0"/>
    <x v="0"/>
    <x v="0"/>
    <x v="0"/>
    <x v="0"/>
    <x v="0"/>
    <n v="0"/>
    <n v="0"/>
    <n v="0"/>
    <n v="0"/>
    <n v="0"/>
    <x v="0"/>
    <x v="0"/>
    <x v="0"/>
    <x v="0"/>
    <x v="0"/>
    <x v="0"/>
    <x v="0"/>
    <x v="0"/>
    <x v="0"/>
    <x v="0"/>
    <n v="27455.22"/>
    <n v="53353.42"/>
    <n v="86793.25"/>
    <n v="168995.96"/>
    <n v="615415.85"/>
    <n v="1969"/>
    <n v="2234.5"/>
    <n v="2580.36"/>
    <n v="1011.35"/>
    <n v="0"/>
    <x v="0"/>
    <n v="1704.19"/>
    <n v="2223.39"/>
    <x v="18"/>
    <x v="8"/>
    <x v="0"/>
    <x v="0"/>
    <x v="0"/>
    <x v="0"/>
    <x v="0"/>
    <x v="0"/>
    <x v="0"/>
    <x v="0"/>
    <x v="0"/>
    <x v="0"/>
    <x v="0"/>
    <x v="0"/>
    <x v="0"/>
    <x v="0"/>
    <x v="0"/>
    <x v="0"/>
    <x v="0"/>
    <x v="0"/>
    <x v="0"/>
    <x v="0"/>
    <x v="0"/>
    <x v="0"/>
    <x v="0"/>
    <x v="0"/>
    <x v="0"/>
    <x v="0"/>
    <x v="0"/>
    <n v="13882686.539999999"/>
    <n v="165444478.08000001"/>
    <n v="-15725412.67"/>
    <n v="181169890.75"/>
  </r>
  <r>
    <x v="0"/>
    <x v="21"/>
    <x v="21"/>
    <x v="10"/>
    <x v="10"/>
    <n v="274905.21000000002"/>
    <n v="464684.68"/>
    <n v="649186.18000000005"/>
    <n v="1137942.71"/>
    <n v="3239133.01"/>
    <n v="66530.17"/>
    <n v="66412.759999999995"/>
    <n v="87631.2"/>
    <n v="141861.14000000001"/>
    <n v="179379.45"/>
    <n v="0"/>
    <n v="56737.75"/>
    <n v="67463.520000000004"/>
    <n v="91099.92"/>
    <n v="80099.009999999995"/>
    <n v="3189594.26"/>
    <n v="5823409.7199999997"/>
    <n v="8101931.3399999999"/>
    <n v="43780969.329999998"/>
    <n v="443847.3"/>
    <n v="458832.45"/>
    <n v="541928.47"/>
    <n v="2033951.08"/>
    <n v="0"/>
    <n v="359058.81"/>
    <n v="376691.92"/>
    <n v="1031950.38"/>
    <n v="306110.28999999998"/>
    <n v="564306.74"/>
    <n v="2419303.71"/>
    <n v="13062692.140000001"/>
    <n v="27894.77"/>
    <n v="48838.22"/>
    <n v="118408.95"/>
    <n v="324943.78000000003"/>
    <n v="0"/>
    <n v="9415.2099999999991"/>
    <n v="58728.18"/>
    <n v="19926.68"/>
    <n v="3163267.19"/>
    <n v="5711291.6299999999"/>
    <n v="8292521.8099999996"/>
    <n v="15756674.789999999"/>
    <n v="50440636.649999999"/>
    <n v="558185.18000000005"/>
    <n v="592917.43000000005"/>
    <n v="690757.71"/>
    <n v="1051616.6000000001"/>
    <n v="1604252.52"/>
    <n v="0"/>
    <n v="458203.39"/>
    <n v="493522.18"/>
    <n v="725501.16"/>
    <n v="1327576.1100000001"/>
    <n v="0"/>
    <n v="0"/>
    <n v="0"/>
    <n v="0"/>
    <n v="0"/>
    <x v="0"/>
    <x v="0"/>
    <x v="0"/>
    <x v="0"/>
    <x v="0"/>
    <x v="0"/>
    <x v="0"/>
    <x v="0"/>
    <x v="0"/>
    <x v="0"/>
    <n v="0"/>
    <n v="0"/>
    <n v="0"/>
    <n v="0"/>
    <n v="0"/>
    <x v="0"/>
    <x v="0"/>
    <x v="0"/>
    <x v="0"/>
    <x v="0"/>
    <x v="0"/>
    <x v="0"/>
    <x v="0"/>
    <x v="0"/>
    <x v="0"/>
    <n v="26150.53"/>
    <n v="55675.1"/>
    <n v="83087.78"/>
    <n v="165827.38"/>
    <n v="585993.96"/>
    <n v="2793.54"/>
    <n v="3414.92"/>
    <n v="2988.99"/>
    <n v="662.93"/>
    <n v="2793.36"/>
    <x v="0"/>
    <n v="1717.12"/>
    <n v="2237.4299999999998"/>
    <x v="19"/>
    <x v="9"/>
    <x v="0"/>
    <x v="0"/>
    <x v="0"/>
    <x v="0"/>
    <x v="0"/>
    <x v="0"/>
    <x v="0"/>
    <x v="0"/>
    <x v="0"/>
    <x v="0"/>
    <x v="0"/>
    <x v="0"/>
    <x v="0"/>
    <x v="0"/>
    <x v="0"/>
    <x v="0"/>
    <x v="0"/>
    <x v="0"/>
    <x v="0"/>
    <x v="0"/>
    <x v="0"/>
    <x v="0"/>
    <x v="0"/>
    <x v="0"/>
    <x v="0"/>
    <x v="0"/>
    <x v="0"/>
    <n v="14214460.57"/>
    <n v="165252187.49000001"/>
    <n v="-16257569.220000001"/>
    <n v="181509756.71000001"/>
  </r>
  <r>
    <x v="0"/>
    <x v="21"/>
    <x v="21"/>
    <x v="11"/>
    <x v="11"/>
    <n v="258846.93"/>
    <n v="455359.98"/>
    <n v="621203.12"/>
    <n v="1116014.96"/>
    <n v="3051885.09"/>
    <n v="47834.12"/>
    <n v="51500.13"/>
    <n v="67902.16"/>
    <n v="99650.82"/>
    <n v="143956.14000000001"/>
    <n v="0"/>
    <n v="45645.54"/>
    <n v="59651.92"/>
    <n v="94156.62"/>
    <n v="86915.05"/>
    <n v="3050172.27"/>
    <n v="5729045.8200000003"/>
    <n v="7930784.71"/>
    <n v="42479616.75"/>
    <n v="353735.36"/>
    <n v="393100.88"/>
    <n v="440048.1"/>
    <n v="1575690.75"/>
    <n v="0"/>
    <n v="302533.93"/>
    <n v="363259.93"/>
    <n v="1017362.22"/>
    <n v="302468.05"/>
    <n v="585050.68999999994"/>
    <n v="2460466.62"/>
    <n v="13549442.369999999"/>
    <n v="23837.93"/>
    <n v="40968.26"/>
    <n v="97869.21"/>
    <n v="252002.11"/>
    <n v="0"/>
    <n v="8496.4699999999993"/>
    <n v="60420.52"/>
    <n v="23073.06"/>
    <n v="3074598.41"/>
    <n v="5966519.79"/>
    <n v="8428063.6199999992"/>
    <n v="16142799.49"/>
    <n v="52837130.93"/>
    <n v="448550.3"/>
    <n v="489489.85"/>
    <n v="564517.53"/>
    <n v="794101.95"/>
    <n v="1242812.1100000001"/>
    <n v="0"/>
    <n v="374964.04"/>
    <n v="446208.42"/>
    <n v="678497.93"/>
    <n v="1018424.72"/>
    <n v="0"/>
    <n v="0"/>
    <n v="0"/>
    <n v="0"/>
    <n v="0"/>
    <x v="0"/>
    <x v="0"/>
    <x v="0"/>
    <x v="0"/>
    <x v="0"/>
    <x v="0"/>
    <x v="0"/>
    <x v="0"/>
    <x v="0"/>
    <x v="0"/>
    <n v="0"/>
    <n v="0"/>
    <n v="0"/>
    <n v="0"/>
    <n v="0"/>
    <x v="0"/>
    <x v="0"/>
    <x v="0"/>
    <x v="0"/>
    <x v="0"/>
    <x v="0"/>
    <x v="0"/>
    <x v="0"/>
    <x v="0"/>
    <x v="0"/>
    <n v="27601.8"/>
    <n v="60080.61"/>
    <n v="84833.919999999998"/>
    <n v="170954.16"/>
    <n v="593400.55000000005"/>
    <n v="1475.96"/>
    <n v="2608.96"/>
    <n v="949.71"/>
    <n v="0"/>
    <n v="0"/>
    <x v="0"/>
    <n v="1384.58"/>
    <n v="2442.16"/>
    <x v="20"/>
    <x v="10"/>
    <x v="0"/>
    <x v="0"/>
    <x v="0"/>
    <x v="0"/>
    <x v="0"/>
    <x v="0"/>
    <x v="0"/>
    <x v="0"/>
    <x v="0"/>
    <x v="0"/>
    <x v="0"/>
    <x v="0"/>
    <x v="0"/>
    <x v="0"/>
    <x v="0"/>
    <x v="0"/>
    <x v="0"/>
    <x v="0"/>
    <x v="0"/>
    <x v="0"/>
    <x v="0"/>
    <x v="0"/>
    <x v="0"/>
    <x v="0"/>
    <x v="0"/>
    <x v="0"/>
    <x v="0"/>
    <n v="11720140.85"/>
    <n v="164740188.61000001"/>
    <n v="-15956292.880000001"/>
    <n v="180696481.49000001"/>
  </r>
  <r>
    <x v="0"/>
    <x v="22"/>
    <x v="22"/>
    <x v="0"/>
    <x v="0"/>
    <n v="30996.83"/>
    <n v="704468.84"/>
    <n v="80472.95"/>
    <n v="275797.83"/>
    <n v="495876.44"/>
    <n v="1366.17"/>
    <n v="1383.72"/>
    <n v="2130.2399999999998"/>
    <n v="4433.8599999999997"/>
    <n v="19701"/>
    <n v="0"/>
    <n v="1322.51"/>
    <n v="1944.9"/>
    <n v="3757.19"/>
    <n v="9982.2099999999991"/>
    <n v="2770640.57"/>
    <n v="4755516.91"/>
    <n v="7035218.2000000002"/>
    <n v="44147595.719999999"/>
    <n v="197578.4"/>
    <n v="256070.36"/>
    <n v="323218.88"/>
    <n v="1293185.92"/>
    <n v="82696.570000000007"/>
    <n v="187668.5"/>
    <n v="178544.09"/>
    <n v="879434.58"/>
    <n v="174987.48"/>
    <n v="286725.05"/>
    <n v="1244081.1200000001"/>
    <n v="8693465.3200000003"/>
    <n v="5737.81"/>
    <n v="8676.23"/>
    <n v="22179.8"/>
    <n v="83420.42"/>
    <n v="0"/>
    <n v="2744.74"/>
    <n v="4729.04"/>
    <n v="21"/>
    <n v="6096497.1299999999"/>
    <n v="10060727.380000001"/>
    <n v="14783527.390000001"/>
    <n v="25756325.59"/>
    <n v="61756009.079999998"/>
    <n v="826105.02"/>
    <n v="996337.69"/>
    <n v="1319536.3899999999"/>
    <n v="1979959.76"/>
    <n v="3111361.26"/>
    <n v="255162.99"/>
    <n v="792026.06"/>
    <n v="704298.4"/>
    <n v="857969.24"/>
    <n v="1572898.34"/>
    <n v="0"/>
    <n v="0"/>
    <n v="0"/>
    <n v="0"/>
    <n v="0"/>
    <x v="0"/>
    <x v="0"/>
    <x v="0"/>
    <x v="0"/>
    <x v="0"/>
    <x v="0"/>
    <x v="0"/>
    <x v="0"/>
    <x v="0"/>
    <x v="0"/>
    <n v="0"/>
    <n v="0"/>
    <n v="0"/>
    <n v="0"/>
    <n v="0"/>
    <x v="0"/>
    <x v="0"/>
    <x v="0"/>
    <x v="0"/>
    <x v="0"/>
    <x v="0"/>
    <x v="0"/>
    <x v="0"/>
    <x v="0"/>
    <x v="0"/>
    <n v="29226.36"/>
    <n v="38008.400000000001"/>
    <n v="78236.259999999995"/>
    <n v="170813.37"/>
    <n v="601394.91"/>
    <n v="0"/>
    <n v="0"/>
    <n v="0"/>
    <n v="0"/>
    <n v="0"/>
    <x v="0"/>
    <n v="0"/>
    <n v="0"/>
    <x v="0"/>
    <x v="0"/>
    <x v="0"/>
    <x v="0"/>
    <x v="0"/>
    <x v="0"/>
    <x v="0"/>
    <x v="0"/>
    <x v="0"/>
    <x v="0"/>
    <x v="0"/>
    <x v="0"/>
    <x v="0"/>
    <x v="0"/>
    <x v="0"/>
    <x v="0"/>
    <x v="0"/>
    <x v="0"/>
    <x v="0"/>
    <x v="0"/>
    <x v="0"/>
    <x v="0"/>
    <x v="0"/>
    <x v="0"/>
    <x v="0"/>
    <x v="0"/>
    <x v="0"/>
    <x v="0"/>
    <x v="0"/>
    <n v="15987583.289999999"/>
    <n v="189986224.22"/>
    <n v="-16067968.199999999"/>
    <n v="206054192.41999999"/>
  </r>
  <r>
    <x v="0"/>
    <x v="22"/>
    <x v="22"/>
    <x v="1"/>
    <x v="1"/>
    <n v="681932.57"/>
    <n v="52800.22"/>
    <n v="80121.05"/>
    <n v="274338.26"/>
    <n v="471851.64"/>
    <n v="1370.69"/>
    <n v="1405.32"/>
    <n v="2150.4699999999998"/>
    <n v="4469.97"/>
    <n v="18938.68"/>
    <n v="0"/>
    <n v="1344.34"/>
    <n v="1963.98"/>
    <n v="3794.03"/>
    <n v="10847.64"/>
    <n v="2623194.46"/>
    <n v="4612792.51"/>
    <n v="6894314.4299999997"/>
    <n v="43426001.609999999"/>
    <n v="223236.07"/>
    <n v="269291.14"/>
    <n v="346336.31"/>
    <n v="1405961.61"/>
    <n v="82659.23"/>
    <n v="199608.22"/>
    <n v="187525.39"/>
    <n v="844060.82"/>
    <n v="168078.52"/>
    <n v="275127.38"/>
    <n v="1242756.79"/>
    <n v="8501303.3000000007"/>
    <n v="5789.17"/>
    <n v="7791.64"/>
    <n v="22584.16"/>
    <n v="127754.97"/>
    <n v="0"/>
    <n v="2222.73"/>
    <n v="4439.8500000000004"/>
    <n v="76.53"/>
    <n v="6144084.71"/>
    <n v="9772154.0399999991"/>
    <n v="14491851.859999999"/>
    <n v="25845559.469999999"/>
    <n v="62088439.560000002"/>
    <n v="871023.67"/>
    <n v="1019089.52"/>
    <n v="1331899.7"/>
    <n v="2033368.6"/>
    <n v="3159321.06"/>
    <n v="272945.25"/>
    <n v="823049.22"/>
    <n v="744770.29"/>
    <n v="887829.14"/>
    <n v="1596119.82"/>
    <n v="0"/>
    <n v="0"/>
    <n v="0"/>
    <n v="0"/>
    <n v="0"/>
    <x v="0"/>
    <x v="0"/>
    <x v="0"/>
    <x v="0"/>
    <x v="0"/>
    <x v="0"/>
    <x v="0"/>
    <x v="0"/>
    <x v="0"/>
    <x v="0"/>
    <n v="0"/>
    <n v="0"/>
    <n v="0"/>
    <n v="0"/>
    <n v="0"/>
    <x v="0"/>
    <x v="0"/>
    <x v="0"/>
    <x v="0"/>
    <x v="0"/>
    <x v="0"/>
    <x v="0"/>
    <x v="0"/>
    <x v="0"/>
    <x v="0"/>
    <n v="25380.49"/>
    <n v="59804.23"/>
    <n v="139218.87"/>
    <n v="172597.34"/>
    <n v="851244.48"/>
    <n v="0"/>
    <n v="0"/>
    <n v="0"/>
    <n v="0"/>
    <n v="0"/>
    <x v="0"/>
    <n v="0"/>
    <n v="0"/>
    <x v="0"/>
    <x v="0"/>
    <x v="0"/>
    <x v="0"/>
    <x v="0"/>
    <x v="0"/>
    <x v="0"/>
    <x v="0"/>
    <x v="0"/>
    <x v="0"/>
    <x v="0"/>
    <x v="0"/>
    <x v="0"/>
    <x v="0"/>
    <x v="0"/>
    <x v="0"/>
    <x v="0"/>
    <x v="0"/>
    <x v="0"/>
    <x v="0"/>
    <x v="0"/>
    <x v="0"/>
    <x v="0"/>
    <x v="0"/>
    <x v="0"/>
    <x v="0"/>
    <x v="0"/>
    <x v="0"/>
    <x v="0"/>
    <n v="16515039.23"/>
    <n v="189594865.91999999"/>
    <n v="-15815121.1"/>
    <n v="205409987.02000001"/>
  </r>
  <r>
    <x v="0"/>
    <x v="22"/>
    <x v="22"/>
    <x v="2"/>
    <x v="2"/>
    <n v="25244.22"/>
    <n v="46272.63"/>
    <n v="68390.41"/>
    <n v="265548.93"/>
    <n v="984642.8"/>
    <n v="1383.72"/>
    <n v="1410.86"/>
    <n v="2164.4"/>
    <n v="4538.3100000000004"/>
    <n v="18151.53"/>
    <n v="0"/>
    <n v="1366.17"/>
    <n v="1992.91"/>
    <n v="3789.08"/>
    <n v="11487.14"/>
    <n v="2600524.63"/>
    <n v="4595504.96"/>
    <n v="6730252"/>
    <n v="42579627.909999996"/>
    <n v="224649.45"/>
    <n v="283371.28000000003"/>
    <n v="356543.88"/>
    <n v="1529193.71"/>
    <n v="97471.09"/>
    <n v="207477.34"/>
    <n v="189871.85"/>
    <n v="785909.4"/>
    <n v="171120.49"/>
    <n v="288309.52"/>
    <n v="1245817.3700000001"/>
    <n v="8552730.2400000002"/>
    <n v="4260.57"/>
    <n v="5787.63"/>
    <n v="14136.73"/>
    <n v="61563.27"/>
    <n v="0"/>
    <n v="1839.45"/>
    <n v="4026.17"/>
    <n v="428.88"/>
    <n v="5827372.4000000004"/>
    <n v="9822715.7799999993"/>
    <n v="14275403.99"/>
    <n v="26159557.73"/>
    <n v="61682712.490000002"/>
    <n v="884293.88"/>
    <n v="1081796.54"/>
    <n v="1408348.7"/>
    <n v="2216018.73"/>
    <n v="3377783.26"/>
    <n v="299036.86"/>
    <n v="896602.88"/>
    <n v="793235.61"/>
    <n v="937542.22"/>
    <n v="1607874.9"/>
    <n v="0"/>
    <n v="0"/>
    <n v="0"/>
    <n v="0"/>
    <n v="0"/>
    <x v="0"/>
    <x v="0"/>
    <x v="0"/>
    <x v="0"/>
    <x v="0"/>
    <x v="0"/>
    <x v="0"/>
    <x v="0"/>
    <x v="0"/>
    <x v="0"/>
    <n v="0"/>
    <n v="0"/>
    <n v="0"/>
    <n v="0"/>
    <n v="0"/>
    <x v="0"/>
    <x v="0"/>
    <x v="0"/>
    <x v="0"/>
    <x v="0"/>
    <x v="0"/>
    <x v="0"/>
    <x v="0"/>
    <x v="0"/>
    <x v="0"/>
    <n v="60039.69"/>
    <n v="94654.63"/>
    <n v="160181.57"/>
    <n v="267132.78999999998"/>
    <n v="1050379.28"/>
    <n v="0"/>
    <n v="0"/>
    <n v="0"/>
    <n v="0"/>
    <n v="0"/>
    <x v="0"/>
    <n v="0"/>
    <n v="0"/>
    <x v="0"/>
    <x v="0"/>
    <x v="0"/>
    <x v="0"/>
    <x v="0"/>
    <x v="0"/>
    <x v="0"/>
    <x v="0"/>
    <x v="0"/>
    <x v="0"/>
    <x v="0"/>
    <x v="0"/>
    <x v="0"/>
    <x v="0"/>
    <x v="0"/>
    <x v="0"/>
    <x v="0"/>
    <x v="0"/>
    <x v="0"/>
    <x v="0"/>
    <x v="0"/>
    <x v="0"/>
    <x v="0"/>
    <x v="0"/>
    <x v="0"/>
    <x v="0"/>
    <x v="0"/>
    <x v="0"/>
    <x v="0"/>
    <n v="17315348.399999999"/>
    <n v="188756172.78"/>
    <n v="-16113312.08"/>
    <n v="204869484.86000001"/>
  </r>
  <r>
    <x v="0"/>
    <x v="22"/>
    <x v="22"/>
    <x v="3"/>
    <x v="3"/>
    <n v="18600.04"/>
    <n v="31899.83"/>
    <n v="50754.02"/>
    <n v="721596.92"/>
    <n v="462548.53"/>
    <n v="946.2"/>
    <n v="956.23"/>
    <n v="1473.37"/>
    <n v="3084.31"/>
    <n v="7824.99"/>
    <n v="1405.32"/>
    <n v="3181.85"/>
    <n v="4187.33"/>
    <n v="8421.06"/>
    <n v="28986.27"/>
    <n v="2503620.11"/>
    <n v="4634175.3"/>
    <n v="6340645.7000000002"/>
    <n v="41261895.039999999"/>
    <n v="227448.42"/>
    <n v="287708.71999999997"/>
    <n v="372451.12"/>
    <n v="1610089.25"/>
    <n v="123250.5"/>
    <n v="251653.23"/>
    <n v="219692.3"/>
    <n v="889404.15"/>
    <n v="165757.35999999999"/>
    <n v="283517.37"/>
    <n v="1217156.8500000001"/>
    <n v="8283296.8499999996"/>
    <n v="5675.32"/>
    <n v="8510.2000000000007"/>
    <n v="19722.400000000001"/>
    <n v="117240.79"/>
    <n v="3093.04"/>
    <n v="8697.75"/>
    <n v="16086.31"/>
    <n v="64778.83"/>
    <n v="5859488.8099999996"/>
    <n v="9834478.1999999993"/>
    <n v="13849294.6"/>
    <n v="25682207.530000001"/>
    <n v="60252822.039999999"/>
    <n v="897567.7"/>
    <n v="1070407.73"/>
    <n v="1358650.95"/>
    <n v="2206933.85"/>
    <n v="3395884.89"/>
    <n v="424986.86"/>
    <n v="1114290.1000000001"/>
    <n v="997682.53"/>
    <n v="1203254.3400000001"/>
    <n v="2019231.62"/>
    <n v="0"/>
    <n v="0"/>
    <n v="0"/>
    <n v="0"/>
    <n v="0"/>
    <x v="0"/>
    <x v="0"/>
    <x v="0"/>
    <x v="0"/>
    <x v="0"/>
    <x v="0"/>
    <x v="0"/>
    <x v="0"/>
    <x v="0"/>
    <x v="0"/>
    <n v="0"/>
    <n v="0"/>
    <n v="0"/>
    <n v="0"/>
    <n v="0"/>
    <x v="0"/>
    <x v="0"/>
    <x v="0"/>
    <x v="0"/>
    <x v="0"/>
    <x v="0"/>
    <x v="0"/>
    <x v="0"/>
    <x v="0"/>
    <x v="0"/>
    <n v="44277.49"/>
    <n v="167405.49"/>
    <n v="181474.59"/>
    <n v="350280.61"/>
    <n v="1462357.08"/>
    <n v="0"/>
    <n v="0"/>
    <n v="0"/>
    <n v="0"/>
    <n v="0"/>
    <x v="0"/>
    <n v="0"/>
    <n v="0"/>
    <x v="0"/>
    <x v="0"/>
    <x v="0"/>
    <x v="0"/>
    <x v="0"/>
    <x v="0"/>
    <x v="0"/>
    <x v="0"/>
    <x v="0"/>
    <x v="0"/>
    <x v="0"/>
    <x v="0"/>
    <x v="0"/>
    <x v="0"/>
    <x v="0"/>
    <x v="0"/>
    <x v="0"/>
    <x v="0"/>
    <x v="0"/>
    <x v="0"/>
    <x v="0"/>
    <x v="0"/>
    <x v="0"/>
    <x v="0"/>
    <x v="0"/>
    <x v="0"/>
    <x v="0"/>
    <x v="0"/>
    <x v="0"/>
    <n v="18974859.829999998"/>
    <n v="186333143.94"/>
    <n v="-16301266.25"/>
    <n v="202634410.19"/>
  </r>
  <r>
    <x v="0"/>
    <x v="22"/>
    <x v="22"/>
    <x v="4"/>
    <x v="4"/>
    <n v="23491.46"/>
    <n v="38141.949999999997"/>
    <n v="72031.83"/>
    <n v="766028.39"/>
    <n v="520951.08"/>
    <n v="951.41"/>
    <n v="965.9"/>
    <n v="1491.59"/>
    <n v="3114.55"/>
    <n v="7295.06"/>
    <n v="1410.86"/>
    <n v="3238.86"/>
    <n v="4222.96"/>
    <n v="8510.51"/>
    <n v="28821.29"/>
    <n v="2456944.12"/>
    <n v="4537940.3600000003"/>
    <n v="6403702.6100000003"/>
    <n v="40885531.289999999"/>
    <n v="225988.45"/>
    <n v="280088.06"/>
    <n v="363037.55"/>
    <n v="1501984.58"/>
    <n v="115405.36"/>
    <n v="272109.53999999998"/>
    <n v="234739.75"/>
    <n v="946356.62"/>
    <n v="168536.95"/>
    <n v="279715.53000000003"/>
    <n v="1218002.48"/>
    <n v="8236566.5999999996"/>
    <n v="3929.59"/>
    <n v="4619.75"/>
    <n v="11646.08"/>
    <n v="55081.16"/>
    <n v="3111.64"/>
    <n v="7713.58"/>
    <n v="18430.669999999998"/>
    <n v="64209.9"/>
    <n v="5695757.9500000002"/>
    <n v="9636615.2100000009"/>
    <n v="13732159.32"/>
    <n v="26022868.809999999"/>
    <n v="60032358.700000003"/>
    <n v="871646"/>
    <n v="1033810.75"/>
    <n v="1346534.66"/>
    <n v="2203123.56"/>
    <n v="3159262.05"/>
    <n v="437870.91"/>
    <n v="1142410.53"/>
    <n v="1080992.25"/>
    <n v="1315004.5"/>
    <n v="2149856.13"/>
    <n v="0"/>
    <n v="0"/>
    <n v="0"/>
    <n v="0"/>
    <n v="0"/>
    <x v="0"/>
    <x v="0"/>
    <x v="0"/>
    <x v="0"/>
    <x v="0"/>
    <x v="0"/>
    <x v="0"/>
    <x v="0"/>
    <x v="0"/>
    <x v="0"/>
    <n v="0"/>
    <n v="0"/>
    <n v="0"/>
    <n v="0"/>
    <n v="0"/>
    <x v="0"/>
    <x v="0"/>
    <x v="0"/>
    <x v="0"/>
    <x v="0"/>
    <x v="0"/>
    <x v="0"/>
    <x v="0"/>
    <x v="0"/>
    <x v="0"/>
    <n v="111220.56"/>
    <n v="191808.72"/>
    <n v="203736.62"/>
    <n v="525879.81999999995"/>
    <n v="1991783.9"/>
    <n v="0"/>
    <n v="0"/>
    <n v="0"/>
    <n v="0"/>
    <n v="0"/>
    <x v="0"/>
    <n v="0"/>
    <n v="0"/>
    <x v="0"/>
    <x v="0"/>
    <x v="0"/>
    <x v="0"/>
    <x v="0"/>
    <x v="0"/>
    <x v="0"/>
    <x v="0"/>
    <x v="0"/>
    <x v="0"/>
    <x v="0"/>
    <x v="0"/>
    <x v="0"/>
    <x v="0"/>
    <x v="0"/>
    <x v="0"/>
    <x v="0"/>
    <x v="0"/>
    <x v="0"/>
    <x v="0"/>
    <x v="0"/>
    <x v="0"/>
    <x v="0"/>
    <x v="0"/>
    <x v="0"/>
    <x v="0"/>
    <x v="0"/>
    <x v="0"/>
    <x v="0"/>
    <n v="18908986.609999999"/>
    <n v="185890740.43000001"/>
    <n v="-16770020.439999999"/>
    <n v="202660760.87"/>
  </r>
  <r>
    <x v="0"/>
    <x v="22"/>
    <x v="22"/>
    <x v="5"/>
    <x v="5"/>
    <n v="21164.69"/>
    <n v="34655.17"/>
    <n v="204928.41"/>
    <n v="625358.39"/>
    <n v="519138.92"/>
    <n v="1998.86"/>
    <n v="2058.9299999999998"/>
    <n v="3146.38"/>
    <n v="6566.08"/>
    <n v="23430.23"/>
    <n v="1424.26"/>
    <n v="3032.99"/>
    <n v="4284.47"/>
    <n v="8565.68"/>
    <n v="28409.86"/>
    <n v="2518569.67"/>
    <n v="4324495.88"/>
    <n v="6424931.1100000003"/>
    <n v="40159419.149999999"/>
    <n v="222692.59"/>
    <n v="281448.96999999997"/>
    <n v="368410.68"/>
    <n v="1411853.02"/>
    <n v="118336.52"/>
    <n v="272501.28999999998"/>
    <n v="248971.17"/>
    <n v="997890.55"/>
    <n v="167817.12"/>
    <n v="277479.82"/>
    <n v="1199039.52"/>
    <n v="8158509.0099999998"/>
    <n v="3475.25"/>
    <n v="3363.87"/>
    <n v="9899.5400000000009"/>
    <n v="44327.3"/>
    <n v="3159.85"/>
    <n v="8282.18"/>
    <n v="19839.97"/>
    <n v="63626.25"/>
    <n v="5767557.2599999998"/>
    <n v="9407174.2300000004"/>
    <n v="13982104.029999999"/>
    <n v="25421955.510000002"/>
    <n v="60342371.960000001"/>
    <n v="847143.83"/>
    <n v="984469.45"/>
    <n v="1321153.1299999999"/>
    <n v="2041731.02"/>
    <n v="2930530.23"/>
    <n v="426919.21"/>
    <n v="1183587.3400000001"/>
    <n v="1163961.95"/>
    <n v="1404210.5"/>
    <n v="2314297.34"/>
    <n v="0"/>
    <n v="0"/>
    <n v="0"/>
    <n v="0"/>
    <n v="0"/>
    <x v="0"/>
    <x v="0"/>
    <x v="0"/>
    <x v="0"/>
    <x v="0"/>
    <x v="0"/>
    <x v="0"/>
    <x v="0"/>
    <x v="0"/>
    <x v="0"/>
    <n v="0"/>
    <n v="0"/>
    <n v="0"/>
    <n v="0"/>
    <n v="0"/>
    <x v="0"/>
    <x v="0"/>
    <x v="0"/>
    <x v="0"/>
    <x v="0"/>
    <x v="0"/>
    <x v="0"/>
    <x v="0"/>
    <x v="0"/>
    <x v="0"/>
    <n v="99642.22"/>
    <n v="204464.28"/>
    <n v="257830.71"/>
    <n v="616138.34"/>
    <n v="2389969.17"/>
    <n v="0"/>
    <n v="0"/>
    <n v="0"/>
    <n v="0"/>
    <n v="0"/>
    <x v="0"/>
    <n v="0"/>
    <n v="0"/>
    <x v="0"/>
    <x v="0"/>
    <x v="0"/>
    <x v="0"/>
    <x v="0"/>
    <x v="0"/>
    <x v="0"/>
    <x v="0"/>
    <x v="0"/>
    <x v="0"/>
    <x v="0"/>
    <x v="0"/>
    <x v="0"/>
    <x v="0"/>
    <x v="0"/>
    <x v="0"/>
    <x v="0"/>
    <x v="0"/>
    <x v="0"/>
    <x v="0"/>
    <x v="0"/>
    <x v="0"/>
    <x v="0"/>
    <x v="0"/>
    <x v="0"/>
    <x v="0"/>
    <x v="0"/>
    <x v="0"/>
    <x v="0"/>
    <n v="18779000.739999998"/>
    <n v="184887443.38"/>
    <n v="-17016271.93"/>
    <n v="201903715.31"/>
  </r>
  <r>
    <x v="0"/>
    <x v="22"/>
    <x v="22"/>
    <x v="6"/>
    <x v="6"/>
    <n v="21206.32"/>
    <n v="40288"/>
    <n v="195832.44"/>
    <n v="621127.01"/>
    <n v="520988.91"/>
    <n v="965.9"/>
    <n v="991.9"/>
    <n v="1520.05"/>
    <n v="3174.01"/>
    <n v="6215.24"/>
    <n v="1445.59"/>
    <n v="3341.41"/>
    <n v="4318.93"/>
    <n v="8663.35"/>
    <n v="28237.13"/>
    <n v="2500150"/>
    <n v="4357283.62"/>
    <n v="6531507.8200000003"/>
    <n v="39691965.380000003"/>
    <n v="233241.57"/>
    <n v="217192.44"/>
    <n v="273083.17"/>
    <n v="925756.49"/>
    <n v="28659.84"/>
    <n v="252620.47"/>
    <n v="260462.97"/>
    <n v="1033180.1"/>
    <n v="168042.96"/>
    <n v="279756.71000000002"/>
    <n v="1190799.99"/>
    <n v="8065251.4199999999"/>
    <n v="2884.68"/>
    <n v="5018.79"/>
    <n v="11723.89"/>
    <n v="43182.94"/>
    <n v="3202.09"/>
    <n v="6354.52"/>
    <n v="19534.740000000002"/>
    <n v="63381.54"/>
    <n v="5979707.5999999996"/>
    <n v="9799556.2799999993"/>
    <n v="14159908.41"/>
    <n v="26025688.699999999"/>
    <n v="61029477.939999998"/>
    <n v="881843.05"/>
    <n v="867618.83"/>
    <n v="1017943.96"/>
    <n v="1585754.48"/>
    <n v="2051546.91"/>
    <n v="168625.84"/>
    <n v="1096055.23"/>
    <n v="1271897.3400000001"/>
    <n v="1487071.83"/>
    <n v="2423937.88"/>
    <n v="0"/>
    <n v="0"/>
    <n v="0"/>
    <n v="0"/>
    <n v="0"/>
    <x v="0"/>
    <x v="0"/>
    <x v="0"/>
    <x v="0"/>
    <x v="0"/>
    <x v="0"/>
    <x v="0"/>
    <x v="0"/>
    <x v="0"/>
    <x v="0"/>
    <n v="0"/>
    <n v="0"/>
    <n v="0"/>
    <n v="0"/>
    <n v="0"/>
    <x v="0"/>
    <x v="0"/>
    <x v="0"/>
    <x v="0"/>
    <x v="0"/>
    <x v="0"/>
    <x v="0"/>
    <x v="0"/>
    <x v="0"/>
    <x v="0"/>
    <n v="118378.87"/>
    <n v="202707.19"/>
    <n v="348904.31"/>
    <n v="734309.2"/>
    <n v="2954740.51"/>
    <n v="0"/>
    <n v="0"/>
    <n v="0"/>
    <n v="0"/>
    <n v="0"/>
    <x v="0"/>
    <n v="0"/>
    <n v="0"/>
    <x v="0"/>
    <x v="0"/>
    <x v="0"/>
    <x v="0"/>
    <x v="0"/>
    <x v="0"/>
    <x v="0"/>
    <x v="0"/>
    <x v="0"/>
    <x v="0"/>
    <x v="0"/>
    <x v="0"/>
    <x v="0"/>
    <x v="0"/>
    <x v="0"/>
    <x v="0"/>
    <x v="0"/>
    <x v="0"/>
    <x v="0"/>
    <x v="0"/>
    <x v="0"/>
    <x v="0"/>
    <x v="0"/>
    <x v="0"/>
    <x v="0"/>
    <x v="0"/>
    <x v="0"/>
    <x v="0"/>
    <x v="0"/>
    <n v="16290649.1"/>
    <n v="184468106.28"/>
    <n v="-17360122.41"/>
    <n v="201828228.69"/>
  </r>
  <r>
    <x v="0"/>
    <x v="22"/>
    <x v="22"/>
    <x v="7"/>
    <x v="7"/>
    <n v="27282.73"/>
    <n v="47779.38"/>
    <n v="212687.16"/>
    <n v="658583.02"/>
    <n v="579432.5"/>
    <n v="975.08"/>
    <n v="997.98"/>
    <n v="1532.08"/>
    <n v="3208.01"/>
    <n v="5669.52"/>
    <n v="1445.02"/>
    <n v="3848.72"/>
    <n v="4367.3599999999997"/>
    <n v="8752.3700000000008"/>
    <n v="28072.1"/>
    <n v="2526275.36"/>
    <n v="4399797.16"/>
    <n v="6596856.7699999996"/>
    <n v="38982417.189999998"/>
    <n v="236459.21"/>
    <n v="211047.65"/>
    <n v="273868.34999999998"/>
    <n v="941795.06"/>
    <n v="29853.01"/>
    <n v="249273.76"/>
    <n v="276325.32"/>
    <n v="892420.23"/>
    <n v="174088.45"/>
    <n v="274548.24"/>
    <n v="1189068.3799999999"/>
    <n v="7937270.04"/>
    <n v="2536.73"/>
    <n v="4677.1000000000004"/>
    <n v="11827.34"/>
    <n v="42024.79"/>
    <n v="3735.51"/>
    <n v="5401.96"/>
    <n v="22072.36"/>
    <n v="62640.15"/>
    <n v="5897838.9000000004"/>
    <n v="9608173.9499999993"/>
    <n v="13961356.140000001"/>
    <n v="25871786.16"/>
    <n v="60206570.890000001"/>
    <n v="918288.76"/>
    <n v="853153.79"/>
    <n v="1051322.6100000001"/>
    <n v="1630289.23"/>
    <n v="2247295.06"/>
    <n v="166557.76999999999"/>
    <n v="1077318.6000000001"/>
    <n v="1285265.25"/>
    <n v="1583856.08"/>
    <n v="2124448.7599999998"/>
    <n v="0"/>
    <n v="0"/>
    <n v="0"/>
    <n v="0"/>
    <n v="0"/>
    <x v="0"/>
    <x v="0"/>
    <x v="0"/>
    <x v="0"/>
    <x v="0"/>
    <x v="0"/>
    <x v="0"/>
    <x v="0"/>
    <x v="0"/>
    <x v="0"/>
    <n v="0"/>
    <n v="0"/>
    <n v="0"/>
    <n v="0"/>
    <n v="0"/>
    <x v="0"/>
    <x v="0"/>
    <x v="0"/>
    <x v="0"/>
    <x v="0"/>
    <x v="0"/>
    <x v="0"/>
    <x v="0"/>
    <x v="0"/>
    <x v="0"/>
    <n v="127927.33"/>
    <n v="242998.12"/>
    <n v="468551"/>
    <n v="832100.42"/>
    <n v="3298772.73"/>
    <n v="0"/>
    <n v="0"/>
    <n v="0"/>
    <n v="0"/>
    <n v="0"/>
    <x v="0"/>
    <n v="0"/>
    <n v="0"/>
    <x v="0"/>
    <x v="0"/>
    <x v="0"/>
    <x v="0"/>
    <x v="0"/>
    <x v="0"/>
    <x v="0"/>
    <x v="0"/>
    <x v="0"/>
    <x v="0"/>
    <x v="0"/>
    <x v="0"/>
    <x v="0"/>
    <x v="0"/>
    <x v="0"/>
    <x v="0"/>
    <x v="0"/>
    <x v="0"/>
    <x v="0"/>
    <x v="0"/>
    <x v="0"/>
    <x v="0"/>
    <x v="0"/>
    <x v="0"/>
    <x v="0"/>
    <x v="0"/>
    <x v="0"/>
    <x v="0"/>
    <x v="0"/>
    <n v="16262622.68"/>
    <n v="183283871.88"/>
    <n v="-17100912.82"/>
    <n v="200384784.69999999"/>
  </r>
  <r>
    <x v="0"/>
    <x v="22"/>
    <x v="22"/>
    <x v="8"/>
    <x v="8"/>
    <n v="31497.7"/>
    <n v="289183.25"/>
    <n v="81276.25"/>
    <n v="650291.34"/>
    <n v="573999.57999999996"/>
    <n v="991.9"/>
    <n v="1007.46"/>
    <n v="1552.06"/>
    <n v="3231.33"/>
    <n v="5118.45"/>
    <n v="0"/>
    <n v="965.9"/>
    <n v="447.94"/>
    <n v="0"/>
    <n v="5"/>
    <n v="2407411.23"/>
    <n v="4593520.55"/>
    <n v="6685782.7199999997"/>
    <n v="38236533.850000001"/>
    <n v="226673.22"/>
    <n v="221564.84"/>
    <n v="275613.83"/>
    <n v="959592.44"/>
    <n v="28021.46"/>
    <n v="255235.63"/>
    <n v="281272.03000000003"/>
    <n v="929062.74"/>
    <n v="156002.51999999999"/>
    <n v="282895.69"/>
    <n v="1166996.1299999999"/>
    <n v="7758609.25"/>
    <n v="3153.7"/>
    <n v="7026.85"/>
    <n v="18105.490000000002"/>
    <n v="65203.040000000001"/>
    <n v="3242.88"/>
    <n v="7171.8"/>
    <n v="26689.71"/>
    <n v="61866.13"/>
    <n v="5791587.9500000002"/>
    <n v="9684088.3800000008"/>
    <n v="14326014.439999999"/>
    <n v="24958819.699999999"/>
    <n v="59922082.539999999"/>
    <n v="909815.83"/>
    <n v="904729.53"/>
    <n v="1100633.93"/>
    <n v="1589571.58"/>
    <n v="2220503.77"/>
    <n v="149494.16"/>
    <n v="1073703.99"/>
    <n v="1331265.1399999999"/>
    <n v="1642057.07"/>
    <n v="2186046.12"/>
    <n v="0"/>
    <n v="0"/>
    <n v="0"/>
    <n v="0"/>
    <n v="0"/>
    <x v="0"/>
    <x v="0"/>
    <x v="0"/>
    <x v="0"/>
    <x v="0"/>
    <x v="0"/>
    <x v="0"/>
    <x v="0"/>
    <x v="0"/>
    <x v="0"/>
    <n v="0"/>
    <n v="0"/>
    <n v="0"/>
    <n v="0"/>
    <n v="0"/>
    <x v="0"/>
    <x v="0"/>
    <x v="0"/>
    <x v="0"/>
    <x v="0"/>
    <x v="0"/>
    <x v="0"/>
    <x v="0"/>
    <x v="0"/>
    <x v="0"/>
    <n v="143643.62"/>
    <n v="307260.17"/>
    <n v="567141.41"/>
    <n v="938359.47"/>
    <n v="3712179.05"/>
    <n v="0"/>
    <n v="0"/>
    <n v="0"/>
    <n v="0"/>
    <n v="0"/>
    <x v="0"/>
    <n v="0"/>
    <n v="0"/>
    <x v="0"/>
    <x v="0"/>
    <x v="0"/>
    <x v="0"/>
    <x v="0"/>
    <x v="0"/>
    <x v="0"/>
    <x v="0"/>
    <x v="0"/>
    <x v="0"/>
    <x v="0"/>
    <x v="0"/>
    <x v="0"/>
    <x v="0"/>
    <x v="0"/>
    <x v="0"/>
    <x v="0"/>
    <x v="0"/>
    <x v="0"/>
    <x v="0"/>
    <x v="0"/>
    <x v="0"/>
    <x v="0"/>
    <x v="0"/>
    <x v="0"/>
    <x v="0"/>
    <x v="0"/>
    <x v="0"/>
    <x v="0"/>
    <n v="16490636.949999999"/>
    <n v="182375637.56999999"/>
    <n v="-17380176.170000002"/>
    <n v="199755813.74000001"/>
  </r>
  <r>
    <x v="0"/>
    <x v="22"/>
    <x v="22"/>
    <x v="9"/>
    <x v="9"/>
    <n v="139614.82"/>
    <n v="182219.61"/>
    <n v="591378.63"/>
    <n v="145276.9"/>
    <n v="550493.1"/>
    <n v="997.98"/>
    <n v="1020.36"/>
    <n v="1564.26"/>
    <n v="3266.14"/>
    <n v="4558.8500000000004"/>
    <n v="0"/>
    <n v="975.08"/>
    <n v="404.15"/>
    <n v="0"/>
    <n v="5"/>
    <n v="2552289.81"/>
    <n v="4412740.45"/>
    <n v="6724171.8700000001"/>
    <n v="37839866.560000002"/>
    <n v="236319.11"/>
    <n v="235772.23"/>
    <n v="289215.28999999998"/>
    <n v="1025645.51"/>
    <n v="33523.85"/>
    <n v="269668.46000000002"/>
    <n v="294001.84000000003"/>
    <n v="1007686.71"/>
    <n v="161219.85"/>
    <n v="260706.44"/>
    <n v="1135391.77"/>
    <n v="7533817.96"/>
    <n v="5412.18"/>
    <n v="8140.1"/>
    <n v="26312.02"/>
    <n v="124865.01"/>
    <n v="3407.13"/>
    <n v="9759.2099999999991"/>
    <n v="30356.16"/>
    <n v="74752.639999999999"/>
    <n v="5804264.04"/>
    <n v="9414573.0199999996"/>
    <n v="14387388.060000001"/>
    <n v="25021693.629999999"/>
    <n v="59621175.689999998"/>
    <n v="896104.36"/>
    <n v="914713.36"/>
    <n v="1104105.04"/>
    <n v="1548427.57"/>
    <n v="2127297.14"/>
    <n v="149376.99"/>
    <n v="1051600.1299999999"/>
    <n v="1321604.77"/>
    <n v="1752360.24"/>
    <n v="2293515.0099999998"/>
    <n v="0"/>
    <n v="0"/>
    <n v="0"/>
    <n v="0"/>
    <n v="0"/>
    <x v="0"/>
    <x v="0"/>
    <x v="0"/>
    <x v="0"/>
    <x v="0"/>
    <x v="0"/>
    <x v="0"/>
    <x v="0"/>
    <x v="0"/>
    <x v="0"/>
    <n v="0"/>
    <n v="0"/>
    <n v="0"/>
    <n v="0"/>
    <n v="0"/>
    <x v="0"/>
    <x v="0"/>
    <x v="0"/>
    <x v="0"/>
    <x v="0"/>
    <x v="0"/>
    <x v="0"/>
    <x v="0"/>
    <x v="0"/>
    <x v="0"/>
    <n v="162789.70000000001"/>
    <n v="390629.83"/>
    <n v="617414.5"/>
    <n v="1080258.6200000001"/>
    <n v="4129174.97"/>
    <n v="0"/>
    <n v="0"/>
    <n v="0"/>
    <n v="0"/>
    <n v="0"/>
    <x v="0"/>
    <n v="0"/>
    <n v="0"/>
    <x v="0"/>
    <x v="0"/>
    <x v="0"/>
    <x v="0"/>
    <x v="0"/>
    <x v="0"/>
    <x v="0"/>
    <x v="0"/>
    <x v="0"/>
    <x v="0"/>
    <x v="0"/>
    <x v="0"/>
    <x v="0"/>
    <x v="0"/>
    <x v="0"/>
    <x v="0"/>
    <x v="0"/>
    <x v="0"/>
    <x v="0"/>
    <x v="0"/>
    <x v="0"/>
    <x v="0"/>
    <x v="0"/>
    <x v="0"/>
    <x v="0"/>
    <x v="0"/>
    <x v="0"/>
    <x v="0"/>
    <x v="0"/>
    <n v="16846733.879999999"/>
    <n v="181527792.91"/>
    <n v="-18177490.800000001"/>
    <n v="199705283.71000001"/>
  </r>
  <r>
    <x v="0"/>
    <x v="22"/>
    <x v="22"/>
    <x v="10"/>
    <x v="10"/>
    <n v="169908.11"/>
    <n v="66158.3"/>
    <n v="593911.68999999994"/>
    <n v="156131.51"/>
    <n v="594155.21"/>
    <n v="1007.46"/>
    <n v="1024.31"/>
    <n v="1582.47"/>
    <n v="3296.77"/>
    <n v="3998.29"/>
    <n v="0"/>
    <n v="991.9"/>
    <n v="847.79"/>
    <n v="0"/>
    <n v="5"/>
    <n v="2605678.5"/>
    <n v="4553298.46"/>
    <n v="6531004.1900000004"/>
    <n v="37474492.490000002"/>
    <n v="251854.7"/>
    <n v="230482"/>
    <n v="286520.7"/>
    <n v="969103.14"/>
    <n v="37996.25"/>
    <n v="277194.65000000002"/>
    <n v="304169.7"/>
    <n v="1066624.32"/>
    <n v="162210.38"/>
    <n v="252525.56"/>
    <n v="1101081.8400000001"/>
    <n v="7436948.1900000004"/>
    <n v="6946.6"/>
    <n v="9463.2999999999993"/>
    <n v="28802.2"/>
    <n v="73042.33"/>
    <n v="3966.62"/>
    <n v="8669.66"/>
    <n v="33066.99"/>
    <n v="73608.17"/>
    <n v="5827503.0899999999"/>
    <n v="9695848.7200000007"/>
    <n v="13970982.710000001"/>
    <n v="24620809.969999999"/>
    <n v="59272583.770000003"/>
    <n v="923464.04"/>
    <n v="900210.58"/>
    <n v="1061134.96"/>
    <n v="1494412.75"/>
    <n v="2078071.55"/>
    <n v="166378.75"/>
    <n v="1104556.21"/>
    <n v="1335032.8799999999"/>
    <n v="1853579.65"/>
    <n v="2452023.42"/>
    <n v="0"/>
    <n v="0"/>
    <n v="0"/>
    <n v="0"/>
    <n v="0"/>
    <x v="0"/>
    <x v="0"/>
    <x v="0"/>
    <x v="0"/>
    <x v="0"/>
    <x v="0"/>
    <x v="0"/>
    <x v="0"/>
    <x v="0"/>
    <x v="0"/>
    <n v="0"/>
    <n v="0"/>
    <n v="0"/>
    <n v="0"/>
    <n v="0"/>
    <x v="0"/>
    <x v="0"/>
    <x v="0"/>
    <x v="0"/>
    <x v="0"/>
    <x v="0"/>
    <x v="0"/>
    <x v="0"/>
    <x v="0"/>
    <x v="0"/>
    <n v="212367.18"/>
    <n v="483104.73"/>
    <n v="620572.68000000005"/>
    <n v="1237412.45"/>
    <n v="4485687.6900000004"/>
    <n v="0"/>
    <n v="0"/>
    <n v="0"/>
    <n v="0"/>
    <n v="0"/>
    <x v="0"/>
    <n v="0"/>
    <n v="0"/>
    <x v="0"/>
    <x v="0"/>
    <x v="0"/>
    <x v="0"/>
    <x v="0"/>
    <x v="0"/>
    <x v="0"/>
    <x v="0"/>
    <x v="0"/>
    <x v="0"/>
    <x v="0"/>
    <x v="0"/>
    <x v="0"/>
    <x v="0"/>
    <x v="0"/>
    <x v="0"/>
    <x v="0"/>
    <x v="0"/>
    <x v="0"/>
    <x v="0"/>
    <x v="0"/>
    <x v="0"/>
    <x v="0"/>
    <x v="0"/>
    <x v="0"/>
    <x v="0"/>
    <x v="0"/>
    <x v="0"/>
    <x v="0"/>
    <n v="17043130.109999999"/>
    <n v="180171809.78999999"/>
    <n v="-18995697.739999998"/>
    <n v="199167507.53"/>
  </r>
  <r>
    <x v="0"/>
    <x v="22"/>
    <x v="22"/>
    <x v="11"/>
    <x v="11"/>
    <n v="30846.14"/>
    <n v="61734.14"/>
    <n v="593480.25"/>
    <n v="174511.57"/>
    <n v="711423.12"/>
    <n v="1020.36"/>
    <n v="1039.47"/>
    <n v="1592.08"/>
    <n v="3328.09"/>
    <n v="3429.61"/>
    <n v="0"/>
    <n v="997.74"/>
    <n v="0"/>
    <n v="0"/>
    <n v="5"/>
    <n v="2543295.04"/>
    <n v="4633242.7699999996"/>
    <n v="6308806.1299999999"/>
    <n v="37037415.270000003"/>
    <n v="184947.94"/>
    <n v="177290.98"/>
    <n v="200881.53"/>
    <n v="605453.37"/>
    <n v="55924.84"/>
    <n v="270324.87"/>
    <n v="326745.31"/>
    <n v="1112878.99"/>
    <n v="154711.28"/>
    <n v="266979.01"/>
    <n v="1091625.99"/>
    <n v="7374372.1600000001"/>
    <n v="5670.8"/>
    <n v="8272.4"/>
    <n v="26603.29"/>
    <n v="51361.67"/>
    <n v="3807.66"/>
    <n v="9824.94"/>
    <n v="38563.99"/>
    <n v="90653.75"/>
    <n v="5730636.5499999998"/>
    <n v="9995001.5899999999"/>
    <n v="13868839.99"/>
    <n v="24596360.93"/>
    <n v="58959810.609999999"/>
    <n v="742846.54"/>
    <n v="757935.78"/>
    <n v="825547.8"/>
    <n v="1140152.77"/>
    <n v="1441348.87"/>
    <n v="217591.18"/>
    <n v="1115106.52"/>
    <n v="1402694.15"/>
    <n v="2041442.74"/>
    <n v="2615395.6800000002"/>
    <n v="0"/>
    <n v="0"/>
    <n v="0"/>
    <n v="0"/>
    <n v="0"/>
    <x v="0"/>
    <x v="0"/>
    <x v="0"/>
    <x v="0"/>
    <x v="0"/>
    <x v="0"/>
    <x v="0"/>
    <x v="0"/>
    <x v="0"/>
    <x v="0"/>
    <n v="0"/>
    <n v="0"/>
    <n v="0"/>
    <n v="0"/>
    <n v="0"/>
    <x v="0"/>
    <x v="0"/>
    <x v="0"/>
    <x v="0"/>
    <x v="0"/>
    <x v="0"/>
    <x v="0"/>
    <x v="0"/>
    <x v="0"/>
    <x v="0"/>
    <n v="240572.29"/>
    <n v="522713.52"/>
    <n v="642285.68999999994"/>
    <n v="1352357.67"/>
    <n v="4780571.0199999996"/>
    <n v="235.8"/>
    <n v="243.75"/>
    <n v="375.37"/>
    <n v="798.26"/>
    <n v="566.26"/>
    <x v="0"/>
    <n v="115.04"/>
    <n v="0"/>
    <x v="0"/>
    <x v="0"/>
    <x v="0"/>
    <x v="0"/>
    <x v="0"/>
    <x v="0"/>
    <x v="0"/>
    <x v="0"/>
    <x v="0"/>
    <x v="0"/>
    <x v="0"/>
    <x v="0"/>
    <x v="0"/>
    <x v="0"/>
    <x v="0"/>
    <x v="0"/>
    <x v="0"/>
    <x v="0"/>
    <x v="0"/>
    <x v="0"/>
    <x v="0"/>
    <x v="0"/>
    <x v="0"/>
    <x v="0"/>
    <x v="0"/>
    <x v="0"/>
    <x v="0"/>
    <x v="0"/>
    <x v="0"/>
    <n v="15483015.189999999"/>
    <n v="176411483.72"/>
    <n v="-20743124.199999999"/>
    <n v="197154607.91999999"/>
  </r>
  <r>
    <x v="0"/>
    <x v="23"/>
    <x v="23"/>
    <x v="0"/>
    <x v="0"/>
    <n v="395807.99"/>
    <n v="1241698.44"/>
    <n v="436855.71"/>
    <n v="672189.84"/>
    <n v="2301531.4300000002"/>
    <n v="6745.3"/>
    <n v="6212.86"/>
    <n v="8540.5300000000007"/>
    <n v="8964.85"/>
    <n v="0"/>
    <n v="0"/>
    <n v="4803.5"/>
    <n v="5859.23"/>
    <n v="10361.64"/>
    <n v="8349.8799999999992"/>
    <n v="1599118.69"/>
    <n v="2948819.56"/>
    <n v="4322843.4000000004"/>
    <n v="30187673.030000001"/>
    <n v="86825.02"/>
    <n v="94877.54"/>
    <n v="110749.59"/>
    <n v="305707.19"/>
    <n v="33246.639999999999"/>
    <n v="101867.55"/>
    <n v="115353.9"/>
    <n v="431247.63"/>
    <n v="209069.79"/>
    <n v="375379.32"/>
    <n v="1684227.95"/>
    <n v="19103537.100000001"/>
    <n v="4698.46"/>
    <n v="7103.07"/>
    <n v="21200.65"/>
    <n v="239441.52"/>
    <n v="0"/>
    <n v="2297.29"/>
    <n v="14480.43"/>
    <n v="5943.55"/>
    <n v="1086755.97"/>
    <n v="1858733.4"/>
    <n v="2723118.8"/>
    <n v="5124912.7"/>
    <n v="16373264.689999999"/>
    <n v="176097.27"/>
    <n v="211029.35"/>
    <n v="248060.74"/>
    <n v="338561.72"/>
    <n v="392534.38"/>
    <n v="57275.96"/>
    <n v="195382.96"/>
    <n v="243043.99"/>
    <n v="411220.72"/>
    <n v="759305.79"/>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667390.7"/>
    <n v="91532194.620000005"/>
    <n v="-5780733.8899999997"/>
    <n v="97312928.510000005"/>
  </r>
  <r>
    <x v="0"/>
    <x v="23"/>
    <x v="23"/>
    <x v="1"/>
    <x v="1"/>
    <n v="820181.8"/>
    <n v="878508.25"/>
    <n v="351651.06"/>
    <n v="683862.44"/>
    <n v="2344585.44"/>
    <n v="6808.22"/>
    <n v="5610.95"/>
    <n v="7933.07"/>
    <n v="6754.02"/>
    <n v="0"/>
    <n v="0"/>
    <n v="6167.34"/>
    <n v="5918.72"/>
    <n v="11221.82"/>
    <n v="9289.61"/>
    <n v="1602984"/>
    <n v="2965752.18"/>
    <n v="4325108.96"/>
    <n v="29766180.18"/>
    <n v="89859.26"/>
    <n v="103573.22"/>
    <n v="117856.97"/>
    <n v="440553.65"/>
    <n v="33117.4"/>
    <n v="106642.21"/>
    <n v="121230.51"/>
    <n v="463421.31"/>
    <n v="214185.96"/>
    <n v="365191.39"/>
    <n v="1678425.44"/>
    <n v="18890298.649999999"/>
    <n v="7193.05"/>
    <n v="10861.79"/>
    <n v="32383.89"/>
    <n v="257291.34"/>
    <n v="0"/>
    <n v="3421.89"/>
    <n v="15142.15"/>
    <n v="6946.83"/>
    <n v="1078535.69"/>
    <n v="1835096.82"/>
    <n v="2698664.89"/>
    <n v="5001472.96"/>
    <n v="16253962.93"/>
    <n v="192221.66"/>
    <n v="215934.81"/>
    <n v="263037.09999999998"/>
    <n v="363014.48"/>
    <n v="491190.05"/>
    <n v="62968.639999999999"/>
    <n v="199016.83"/>
    <n v="250350.56"/>
    <n v="418364.18"/>
    <n v="821052.88"/>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146350.41"/>
    <n v="90894007.629999995"/>
    <n v="-6006991.8200000003"/>
    <n v="96900999.450000003"/>
  </r>
  <r>
    <x v="0"/>
    <x v="23"/>
    <x v="23"/>
    <x v="2"/>
    <x v="2"/>
    <n v="451191.29"/>
    <n v="1020083.7"/>
    <n v="506541.82"/>
    <n v="658889.6"/>
    <n v="2301433.36"/>
    <n v="4816.01"/>
    <n v="4222.67"/>
    <n v="5103.6099999999997"/>
    <n v="3008.62"/>
    <n v="0"/>
    <n v="0"/>
    <n v="3166.55"/>
    <n v="3948.91"/>
    <n v="7951.35"/>
    <n v="10506.45"/>
    <n v="1618866.2"/>
    <n v="2870967.84"/>
    <n v="4238852.21"/>
    <n v="30010067.129999999"/>
    <n v="85071.08"/>
    <n v="98697.58"/>
    <n v="113254.38"/>
    <n v="395710.11"/>
    <n v="35837.71"/>
    <n v="101269.85"/>
    <n v="126146.06"/>
    <n v="473107.91"/>
    <n v="210662.56"/>
    <n v="361838.14"/>
    <n v="1686330.09"/>
    <n v="18544754.129999999"/>
    <n v="6898.57"/>
    <n v="9917.89"/>
    <n v="29108.080000000002"/>
    <n v="275894.71000000002"/>
    <n v="0"/>
    <n v="3202.56"/>
    <n v="15588.64"/>
    <n v="7964.13"/>
    <n v="1054945.3899999999"/>
    <n v="1764523.71"/>
    <n v="2643407.15"/>
    <n v="5093471.87"/>
    <n v="15943656.75"/>
    <n v="189612.4"/>
    <n v="204349.6"/>
    <n v="255928.48"/>
    <n v="373151.68"/>
    <n v="487464.67"/>
    <n v="61395.27"/>
    <n v="209767.69"/>
    <n v="241392.03"/>
    <n v="411507.88"/>
    <n v="766198.21"/>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021161.34"/>
    <n v="90385774.260000005"/>
    <n v="-5615870.0199999996"/>
    <n v="96001644.280000001"/>
  </r>
  <r>
    <x v="0"/>
    <x v="23"/>
    <x v="23"/>
    <x v="3"/>
    <x v="3"/>
    <n v="461644.4"/>
    <n v="1020451.27"/>
    <n v="508291.34"/>
    <n v="645635.81000000006"/>
    <n v="2278898"/>
    <n v="4268.1000000000004"/>
    <n v="3587.68"/>
    <n v="2258.87"/>
    <n v="0"/>
    <n v="0"/>
    <n v="0"/>
    <n v="3623.03"/>
    <n v="3988.85"/>
    <n v="7847.77"/>
    <n v="11735.2"/>
    <n v="1591016.68"/>
    <n v="3011784.2"/>
    <n v="4124843.91"/>
    <n v="30288438"/>
    <n v="91381.7"/>
    <n v="97974.11"/>
    <n v="115658.4"/>
    <n v="364134.09"/>
    <n v="29048.97"/>
    <n v="98246.87"/>
    <n v="126864.4"/>
    <n v="495313.73"/>
    <n v="209261.5"/>
    <n v="367587.9"/>
    <n v="1674315.7"/>
    <n v="18394285.530000001"/>
    <n v="6056.53"/>
    <n v="9170.5"/>
    <n v="26065.99"/>
    <n v="254483.58"/>
    <n v="0"/>
    <n v="2951.24"/>
    <n v="16860.22"/>
    <n v="9205.68"/>
    <n v="1045268.3"/>
    <n v="1778465.9"/>
    <n v="2546626.83"/>
    <n v="4956934.29"/>
    <n v="15360091.289999999"/>
    <n v="185832.26"/>
    <n v="204779.01"/>
    <n v="258301.78"/>
    <n v="378936.16"/>
    <n v="578461.38"/>
    <n v="59782.43"/>
    <n v="218247.89"/>
    <n v="249015.66"/>
    <n v="418451.91"/>
    <n v="822928.32"/>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155462.3099999996"/>
    <n v="89587939.109999999"/>
    <n v="-5831364.0499999998"/>
    <n v="95419303.159999996"/>
  </r>
  <r>
    <x v="0"/>
    <x v="23"/>
    <x v="23"/>
    <x v="4"/>
    <x v="4"/>
    <n v="603797.64"/>
    <n v="887430.9"/>
    <n v="573887.13"/>
    <n v="666761.84"/>
    <n v="2266718.19"/>
    <n v="7698.02"/>
    <n v="4850.21"/>
    <n v="5637.27"/>
    <n v="662.19"/>
    <n v="0"/>
    <n v="0"/>
    <n v="4595.8999999999996"/>
    <n v="4025.87"/>
    <n v="7924.58"/>
    <n v="12975.34"/>
    <n v="1576729.43"/>
    <n v="2943989.83"/>
    <n v="4180722.8"/>
    <n v="30249121.539999999"/>
    <n v="98342.47"/>
    <n v="111826.26"/>
    <n v="141443.16"/>
    <n v="472495.6"/>
    <n v="35238.85"/>
    <n v="104247"/>
    <n v="120341.64"/>
    <n v="531446.91"/>
    <n v="207726.44"/>
    <n v="364939.68"/>
    <n v="1695117.01"/>
    <n v="18591107.109999999"/>
    <n v="6546.51"/>
    <n v="9631.19"/>
    <n v="27136.720000000001"/>
    <n v="235926.58"/>
    <n v="0"/>
    <n v="3281.67"/>
    <n v="17871.09"/>
    <n v="10458.31"/>
    <n v="988495.87"/>
    <n v="1699478.57"/>
    <n v="2498745.46"/>
    <n v="4876247.49"/>
    <n v="14799394.189999999"/>
    <n v="181627.36"/>
    <n v="207391.25"/>
    <n v="267172.95"/>
    <n v="396136.36"/>
    <n v="615369.5"/>
    <n v="61315.97"/>
    <n v="224700.46"/>
    <n v="254377.77"/>
    <n v="431637.1"/>
    <n v="882392.37"/>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496724.4299999997"/>
    <n v="89208465.200000003"/>
    <n v="-5958670.3499999996"/>
    <n v="95167135.549999997"/>
  </r>
  <r>
    <x v="0"/>
    <x v="23"/>
    <x v="23"/>
    <x v="5"/>
    <x v="5"/>
    <n v="445205.31"/>
    <n v="1155653.08"/>
    <n v="427639.39"/>
    <n v="600041.18999999994"/>
    <n v="2344652.87"/>
    <n v="6975.08"/>
    <n v="5725.53"/>
    <n v="6490.27"/>
    <n v="0"/>
    <n v="0"/>
    <n v="0"/>
    <n v="5429.62"/>
    <n v="4063.61"/>
    <n v="8001.8"/>
    <n v="14227.7"/>
    <n v="1743080.28"/>
    <n v="2789274.61"/>
    <n v="4287707.41"/>
    <n v="29951974.649999999"/>
    <n v="94834.27"/>
    <n v="85533.83"/>
    <n v="101123.81"/>
    <n v="343016.28"/>
    <n v="0"/>
    <n v="92147.31"/>
    <n v="117202.88"/>
    <n v="507312.3"/>
    <n v="211882.06"/>
    <n v="355708.11"/>
    <n v="1702499.12"/>
    <n v="18739805.199999999"/>
    <n v="9380.77"/>
    <n v="13463.71"/>
    <n v="35149.32"/>
    <n v="288966.27"/>
    <n v="0"/>
    <n v="3976.73"/>
    <n v="19306.64"/>
    <n v="11846.58"/>
    <n v="1024381.25"/>
    <n v="1636576.81"/>
    <n v="2509777.58"/>
    <n v="4746291.95"/>
    <n v="14378319.48"/>
    <n v="205794.68"/>
    <n v="191115.69"/>
    <n v="228349.43"/>
    <n v="324109.8"/>
    <n v="513707.24"/>
    <n v="0"/>
    <n v="192169.43"/>
    <n v="263557.53000000003"/>
    <n v="428452.95"/>
    <n v="825494.55"/>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946925.6100000003"/>
    <n v="88249400.189999998"/>
    <n v="-5747995.7699999996"/>
    <n v="93997395.959999993"/>
  </r>
  <r>
    <x v="0"/>
    <x v="23"/>
    <x v="23"/>
    <x v="6"/>
    <x v="6"/>
    <n v="450855.83"/>
    <n v="1015527.62"/>
    <n v="571470.69999999995"/>
    <n v="607457.26"/>
    <n v="2438949.0299999998"/>
    <n v="2167.6"/>
    <n v="1513.29"/>
    <n v="0"/>
    <n v="0"/>
    <n v="0"/>
    <n v="0"/>
    <n v="2802.56"/>
    <n v="4102.09"/>
    <n v="7857.97"/>
    <n v="15713.85"/>
    <n v="1511587.57"/>
    <n v="2875389.5"/>
    <n v="4154353.36"/>
    <n v="29379087.390000001"/>
    <n v="100969.2"/>
    <n v="95997.57"/>
    <n v="111117.05"/>
    <n v="466333.99"/>
    <n v="0"/>
    <n v="93266.52"/>
    <n v="117492.52"/>
    <n v="530119.34"/>
    <n v="205487.42"/>
    <n v="373304.63"/>
    <n v="1717705.6"/>
    <n v="19146796.829999998"/>
    <n v="8472.99"/>
    <n v="11951.31"/>
    <n v="33256.519999999997"/>
    <n v="281250.8"/>
    <n v="0"/>
    <n v="3451.85"/>
    <n v="21005.75"/>
    <n v="13651.16"/>
    <n v="961654.23"/>
    <n v="1713464.76"/>
    <n v="2399073.73"/>
    <n v="4687607.34"/>
    <n v="14010053.210000001"/>
    <n v="201538.34"/>
    <n v="195222.77"/>
    <n v="222939.77"/>
    <n v="317035.09999999998"/>
    <n v="483020.45"/>
    <n v="0"/>
    <n v="184963.81"/>
    <n v="272916.71000000002"/>
    <n v="430106.93"/>
    <n v="859221.21"/>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089459.0199999996"/>
    <n v="87421814.719999999"/>
    <n v="-5887470.3099999996"/>
    <n v="93309285.030000001"/>
  </r>
  <r>
    <x v="0"/>
    <x v="23"/>
    <x v="23"/>
    <x v="7"/>
    <x v="7"/>
    <n v="737167.37"/>
    <n v="953928.16"/>
    <n v="357880.79"/>
    <n v="649937.1"/>
    <n v="2545501.88"/>
    <n v="2961.02"/>
    <n v="2251.85"/>
    <n v="756.8"/>
    <n v="0"/>
    <n v="0"/>
    <n v="0"/>
    <n v="3441.84"/>
    <n v="4142.53"/>
    <n v="7934.86"/>
    <n v="16769.48"/>
    <n v="1530494.94"/>
    <n v="2819694.98"/>
    <n v="4209349.5999999996"/>
    <n v="28964252.66"/>
    <n v="99227.07"/>
    <n v="92705.11"/>
    <n v="114312.64"/>
    <n v="451178.93"/>
    <n v="0"/>
    <n v="92090.83"/>
    <n v="118532.21"/>
    <n v="560236.43999999994"/>
    <n v="211483.78"/>
    <n v="365768.2"/>
    <n v="1736232.81"/>
    <n v="19430994.289999999"/>
    <n v="8946.4599999999991"/>
    <n v="13600.99"/>
    <n v="35794.43"/>
    <n v="282590.09000000003"/>
    <n v="0"/>
    <n v="3613.55"/>
    <n v="22203.8"/>
    <n v="15765.25"/>
    <n v="955228.74"/>
    <n v="1628167.74"/>
    <n v="2380668.11"/>
    <n v="4573550.72"/>
    <n v="13767499.310000001"/>
    <n v="215457.93"/>
    <n v="204017.78"/>
    <n v="238708.29"/>
    <n v="340390.27"/>
    <n v="518879.89"/>
    <n v="0"/>
    <n v="189390.67"/>
    <n v="267366.59999999998"/>
    <n v="436345.69"/>
    <n v="918750.05"/>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278363.3499999996"/>
    <n v="87006302.120000005"/>
    <n v="-6089862.4100000001"/>
    <n v="93096164.530000001"/>
  </r>
  <r>
    <x v="0"/>
    <x v="23"/>
    <x v="23"/>
    <x v="8"/>
    <x v="8"/>
    <n v="527058.11"/>
    <n v="1099502.53"/>
    <n v="486924.21"/>
    <n v="645153.06999999995"/>
    <n v="2775976.99"/>
    <n v="1513.29"/>
    <n v="0"/>
    <n v="0"/>
    <n v="0"/>
    <n v="0"/>
    <n v="0"/>
    <n v="2167.6"/>
    <n v="4183.3599999999997"/>
    <n v="8012.52"/>
    <n v="18059.14"/>
    <n v="1523697.4"/>
    <n v="2917909.11"/>
    <n v="4360160.1100000003"/>
    <n v="28845571.829999998"/>
    <n v="108546.66"/>
    <n v="104186.1"/>
    <n v="126487.93"/>
    <n v="455350.4"/>
    <n v="0"/>
    <n v="92451.33"/>
    <n v="119454.33"/>
    <n v="554963.13"/>
    <n v="212757.98"/>
    <n v="372684.72"/>
    <n v="1741513.89"/>
    <n v="19719776.02"/>
    <n v="8694.64"/>
    <n v="13395.47"/>
    <n v="35223.919999999998"/>
    <n v="278906.33"/>
    <n v="0"/>
    <n v="3991.64"/>
    <n v="24269.33"/>
    <n v="17603.48"/>
    <n v="954611.69"/>
    <n v="1612327.51"/>
    <n v="2405708.9500000002"/>
    <n v="4373790.96"/>
    <n v="13763116.35"/>
    <n v="204201.47"/>
    <n v="188739.61"/>
    <n v="230174.65"/>
    <n v="308211.74"/>
    <n v="482069.26"/>
    <n v="0"/>
    <n v="183879.44"/>
    <n v="261096.54"/>
    <n v="427943.55"/>
    <n v="854913.23"/>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118690.09"/>
    <n v="87417086.269999996"/>
    <n v="-6039845.25"/>
    <n v="93456931.519999996"/>
  </r>
  <r>
    <x v="0"/>
    <x v="23"/>
    <x v="23"/>
    <x v="9"/>
    <x v="9"/>
    <n v="489035.21"/>
    <n v="1127839.68"/>
    <n v="496556.11"/>
    <n v="674381.27"/>
    <n v="2865488.16"/>
    <n v="3766.1"/>
    <n v="756.8"/>
    <n v="0"/>
    <n v="0"/>
    <n v="0"/>
    <n v="0"/>
    <n v="2939.34"/>
    <n v="4224.58"/>
    <n v="8090.94"/>
    <n v="19361.52"/>
    <n v="1576640.68"/>
    <n v="2896110.26"/>
    <n v="4337825.67"/>
    <n v="28409579.690000001"/>
    <n v="107306.72"/>
    <n v="103993.38"/>
    <n v="128905.9"/>
    <n v="439550.87"/>
    <n v="0"/>
    <n v="95447.360000000001"/>
    <n v="119470.02"/>
    <n v="580027.81999999995"/>
    <n v="211617.37"/>
    <n v="368161.43"/>
    <n v="1745403.76"/>
    <n v="19931301.579999998"/>
    <n v="9518.4699999999993"/>
    <n v="14402.59"/>
    <n v="37881.31"/>
    <n v="328923.32"/>
    <n v="0"/>
    <n v="4226.3999999999996"/>
    <n v="26921.84"/>
    <n v="19459.27"/>
    <n v="924369.36"/>
    <n v="1576146.17"/>
    <n v="2419879.4900000002"/>
    <n v="4268990.71"/>
    <n v="13657549.52"/>
    <n v="201270.52"/>
    <n v="193066.31"/>
    <n v="234444.78"/>
    <n v="310362.34000000003"/>
    <n v="486166.45"/>
    <n v="0"/>
    <n v="178279.06"/>
    <n v="257397.38"/>
    <n v="428884.41"/>
    <n v="915840.96"/>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260886.76"/>
    <n v="86969815.640000001"/>
    <n v="-6267947.2400000002"/>
    <n v="93237762.879999995"/>
  </r>
  <r>
    <x v="0"/>
    <x v="23"/>
    <x v="23"/>
    <x v="10"/>
    <x v="10"/>
    <n v="641190.66"/>
    <n v="848259.82"/>
    <n v="610644.74"/>
    <n v="675687.52"/>
    <n v="2857186.31"/>
    <n v="760.85"/>
    <n v="0"/>
    <n v="0"/>
    <n v="0"/>
    <n v="0"/>
    <n v="0"/>
    <n v="2394.19"/>
    <n v="3575.75"/>
    <n v="8168.4"/>
    <n v="20678.47"/>
    <n v="1562353.01"/>
    <n v="2909770.21"/>
    <n v="4170824.17"/>
    <n v="28108228.07"/>
    <n v="107387.57"/>
    <n v="101883.89"/>
    <n v="121503.01"/>
    <n v="431941.97"/>
    <n v="0"/>
    <n v="97224.78"/>
    <n v="119383.65"/>
    <n v="604359.81000000006"/>
    <n v="216445.88"/>
    <n v="375941.13"/>
    <n v="1742993.61"/>
    <n v="20066650.100000001"/>
    <n v="9296.35"/>
    <n v="14006.86"/>
    <n v="36060.82"/>
    <n v="336095.09"/>
    <n v="0"/>
    <n v="3993.13"/>
    <n v="28793.67"/>
    <n v="21330.560000000001"/>
    <n v="888975.92"/>
    <n v="1638198.93"/>
    <n v="2254104.9300000002"/>
    <n v="4212887.8600000003"/>
    <n v="13463571.470000001"/>
    <n v="194986.48"/>
    <n v="191876.57"/>
    <n v="211699.89"/>
    <n v="312845.89"/>
    <n v="479540.15"/>
    <n v="0"/>
    <n v="181688.27"/>
    <n v="254960.82"/>
    <n v="432937.12"/>
    <n v="964178.97"/>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293552.9800000004"/>
    <n v="86158268.659999996"/>
    <n v="-6379198.6600000001"/>
    <n v="92537467.319999993"/>
  </r>
  <r>
    <x v="0"/>
    <x v="23"/>
    <x v="23"/>
    <x v="11"/>
    <x v="11"/>
    <n v="492091.3"/>
    <n v="1116611.69"/>
    <n v="432431.09"/>
    <n v="708875.72"/>
    <n v="2998438.25"/>
    <n v="0"/>
    <n v="0"/>
    <n v="0"/>
    <n v="0"/>
    <n v="0"/>
    <n v="0"/>
    <n v="760.36"/>
    <n v="2236.8000000000002"/>
    <n v="4281.8900000000003"/>
    <n v="6967.77"/>
    <n v="1431884.66"/>
    <n v="2963873.38"/>
    <n v="4010342.05"/>
    <n v="28104597.539999999"/>
    <n v="95951.65"/>
    <n v="94897.57"/>
    <n v="108436"/>
    <n v="380624.55"/>
    <n v="0"/>
    <n v="83578.86"/>
    <n v="112905.94"/>
    <n v="578416.47"/>
    <n v="198518.11"/>
    <n v="391191.81"/>
    <n v="1730957.5"/>
    <n v="19902571.550000001"/>
    <n v="9375.56"/>
    <n v="14219.88"/>
    <n v="35491.29"/>
    <n v="322203.18"/>
    <n v="0"/>
    <n v="3484.6"/>
    <n v="30890.58"/>
    <n v="23687.54"/>
    <n v="842967.34"/>
    <n v="1631306.8"/>
    <n v="2195612.13"/>
    <n v="4156493.23"/>
    <n v="13371723.07"/>
    <n v="181846.01"/>
    <n v="183563.72"/>
    <n v="193661.58"/>
    <n v="308074.95"/>
    <n v="444622.49"/>
    <n v="0"/>
    <n v="168238.1"/>
    <n v="241856.35"/>
    <n v="425443.81"/>
    <n v="800130.2"/>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855847.7"/>
    <n v="85479486.890000001"/>
    <n v="-6056848.0300000003"/>
    <n v="91536334.920000002"/>
  </r>
  <r>
    <x v="0"/>
    <x v="24"/>
    <x v="24"/>
    <x v="0"/>
    <x v="0"/>
    <n v="31590.92"/>
    <n v="50167.8"/>
    <n v="104063.79"/>
    <n v="184776.92"/>
    <n v="1050104.99"/>
    <n v="0"/>
    <n v="0"/>
    <n v="0"/>
    <n v="0"/>
    <n v="0"/>
    <n v="0"/>
    <n v="0"/>
    <n v="0"/>
    <n v="0"/>
    <n v="1"/>
    <n v="1218454.71"/>
    <n v="2273414.1"/>
    <n v="2831742.67"/>
    <n v="28130384.170000002"/>
    <n v="125367.78"/>
    <n v="151139.04999999999"/>
    <n v="194474.18"/>
    <n v="1699243.73"/>
    <n v="30055.96"/>
    <n v="112067.05"/>
    <n v="68858.039999999994"/>
    <n v="131824.03"/>
    <n v="157399.49"/>
    <n v="255198.38"/>
    <n v="1141694.3899999999"/>
    <n v="13134280.039999999"/>
    <n v="5332.43"/>
    <n v="4045.08"/>
    <n v="21897.71"/>
    <n v="362428.01"/>
    <n v="0"/>
    <n v="3540.01"/>
    <n v="2549.2600000000002"/>
    <n v="0"/>
    <n v="1520163.76"/>
    <n v="2477833.25"/>
    <n v="3584310.95"/>
    <n v="6892481.5899999999"/>
    <n v="22877495.420000002"/>
    <n v="203377.15"/>
    <n v="247926.67"/>
    <n v="317444.59000000003"/>
    <n v="608869.65"/>
    <n v="1745709.26"/>
    <n v="57401.5"/>
    <n v="200755.55"/>
    <n v="129944.66"/>
    <n v="99085.66"/>
    <n v="233949.99"/>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6757288"/>
    <n v="91403935.099999994"/>
    <n v="-3268910.24"/>
    <n v="94672845.340000004"/>
  </r>
  <r>
    <x v="0"/>
    <x v="24"/>
    <x v="24"/>
    <x v="1"/>
    <x v="1"/>
    <n v="28153.93"/>
    <n v="68321.94"/>
    <n v="94707.19"/>
    <n v="192537.59"/>
    <n v="1142367.25"/>
    <n v="0"/>
    <n v="0"/>
    <n v="0"/>
    <n v="0"/>
    <n v="0"/>
    <n v="0"/>
    <n v="0"/>
    <n v="0"/>
    <n v="0"/>
    <n v="1"/>
    <n v="1297874.24"/>
    <n v="2029129.6"/>
    <n v="2904850.91"/>
    <n v="28210427.489999998"/>
    <n v="130853.88"/>
    <n v="157065.57"/>
    <n v="225698.4"/>
    <n v="1871482.23"/>
    <n v="50562.879999999997"/>
    <n v="108590.41"/>
    <n v="79914.06"/>
    <n v="144831.48000000001"/>
    <n v="152134.99"/>
    <n v="236768.23"/>
    <n v="1148964.44"/>
    <n v="13029485.039999999"/>
    <n v="6457.2"/>
    <n v="3291.86"/>
    <n v="25432.73"/>
    <n v="410727.74"/>
    <n v="0"/>
    <n v="2417.83"/>
    <n v="6007.06"/>
    <n v="0"/>
    <n v="1405369.15"/>
    <n v="2357200.92"/>
    <n v="3643186.76"/>
    <n v="6789253.0300000003"/>
    <n v="21978125.91"/>
    <n v="222104.26"/>
    <n v="253070.09"/>
    <n v="363050.1"/>
    <n v="683778.1"/>
    <n v="1979471.07"/>
    <n v="82088.87"/>
    <n v="201384.52"/>
    <n v="139255.70000000001"/>
    <n v="110637.2"/>
    <n v="205575.11"/>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7463749.3499999996"/>
    <n v="90944405.069999993"/>
    <n v="-3228202.89"/>
    <n v="94172607.959999993"/>
  </r>
  <r>
    <x v="0"/>
    <x v="24"/>
    <x v="24"/>
    <x v="2"/>
    <x v="2"/>
    <n v="24669.46"/>
    <n v="63262.2"/>
    <n v="88505.34"/>
    <n v="211669.35"/>
    <n v="1242842.8600000001"/>
    <n v="0"/>
    <n v="0"/>
    <n v="0"/>
    <n v="0"/>
    <n v="0"/>
    <n v="0"/>
    <n v="1179.8599999999999"/>
    <n v="0"/>
    <n v="0"/>
    <n v="1"/>
    <n v="1234839.22"/>
    <n v="1781431.34"/>
    <n v="3090422.79"/>
    <n v="29691303.010000002"/>
    <n v="121535.76"/>
    <n v="124196.67"/>
    <n v="182499.88"/>
    <n v="1199948.29"/>
    <n v="27609.87"/>
    <n v="112363.21"/>
    <n v="91824.69"/>
    <n v="151774.31"/>
    <n v="141667.78"/>
    <n v="232078.67"/>
    <n v="1152242.8700000001"/>
    <n v="13702829.039999999"/>
    <n v="2524.59"/>
    <n v="4393.42"/>
    <n v="10224.56"/>
    <n v="250581.17"/>
    <n v="0"/>
    <n v="458.04"/>
    <n v="6918.66"/>
    <n v="110.76"/>
    <n v="1385046.48"/>
    <n v="2298342.42"/>
    <n v="3429411.63"/>
    <n v="6937630.6200000001"/>
    <n v="22245147.940000001"/>
    <n v="205544.75"/>
    <n v="205213.27"/>
    <n v="303174.94"/>
    <n v="582336.23"/>
    <n v="1367894.29"/>
    <n v="43554.22"/>
    <n v="194866.08"/>
    <n v="156532.41"/>
    <n v="127319.79"/>
    <n v="190027.02"/>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664607.7400000002"/>
    <n v="91423227.439999998"/>
    <n v="-3194723.32"/>
    <n v="94617950.760000005"/>
  </r>
  <r>
    <x v="0"/>
    <x v="24"/>
    <x v="24"/>
    <x v="3"/>
    <x v="3"/>
    <n v="48764.59"/>
    <n v="52929.94"/>
    <n v="91177.84"/>
    <n v="210376.33"/>
    <n v="1194701.8899999999"/>
    <n v="0"/>
    <n v="0"/>
    <n v="0"/>
    <n v="0"/>
    <n v="0"/>
    <n v="0"/>
    <n v="0"/>
    <n v="0"/>
    <n v="0"/>
    <n v="1"/>
    <n v="1119005.8899999999"/>
    <n v="1926147.3"/>
    <n v="3092830.77"/>
    <n v="29811460.239999998"/>
    <n v="95377.66"/>
    <n v="107867.93"/>
    <n v="158642.82"/>
    <n v="1043295.68"/>
    <n v="35480.199999999997"/>
    <n v="96095.7"/>
    <n v="73255.31"/>
    <n v="157993.85999999999"/>
    <n v="136931.09"/>
    <n v="239651.62"/>
    <n v="1161015.6599999999"/>
    <n v="13615221.300000001"/>
    <n v="4035.38"/>
    <n v="2520.86"/>
    <n v="12575.31"/>
    <n v="233074.01"/>
    <n v="0"/>
    <n v="952.15"/>
    <n v="4479.79"/>
    <n v="204.99"/>
    <n v="1357340.53"/>
    <n v="2358311.58"/>
    <n v="3522118.06"/>
    <n v="6822646.8600000003"/>
    <n v="22457502.09"/>
    <n v="147645.73000000001"/>
    <n v="174293.45"/>
    <n v="246743.45"/>
    <n v="466793.4"/>
    <n v="1085740.43"/>
    <n v="51345.45"/>
    <n v="151228.07"/>
    <n v="130174.15"/>
    <n v="130196.81"/>
    <n v="181505.11"/>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791518.7"/>
    <n v="90808540.140000001"/>
    <n v="-3201112.14"/>
    <n v="94009652.280000001"/>
  </r>
  <r>
    <x v="0"/>
    <x v="24"/>
    <x v="24"/>
    <x v="4"/>
    <x v="4"/>
    <n v="43013.5"/>
    <n v="54043.69"/>
    <n v="101669.95"/>
    <n v="216084.75"/>
    <n v="1163015.3600000001"/>
    <n v="0"/>
    <n v="0"/>
    <n v="0"/>
    <n v="0"/>
    <n v="0"/>
    <n v="0"/>
    <n v="0"/>
    <n v="0"/>
    <n v="0"/>
    <n v="1"/>
    <n v="1125491.25"/>
    <n v="1851260.08"/>
    <n v="3133322.21"/>
    <n v="30463546.050000001"/>
    <n v="94734.96"/>
    <n v="92490.99"/>
    <n v="154724.29"/>
    <n v="915064.16"/>
    <n v="23952.67"/>
    <n v="104067.19"/>
    <n v="74601.42"/>
    <n v="154089.1"/>
    <n v="164381.94"/>
    <n v="208620.53"/>
    <n v="1165877.04"/>
    <n v="13885218.49"/>
    <n v="3420.43"/>
    <n v="1250.9000000000001"/>
    <n v="10524.62"/>
    <n v="200481.38"/>
    <n v="0"/>
    <n v="1567.11"/>
    <n v="3900.14"/>
    <n v="308.77"/>
    <n v="1483491"/>
    <n v="2137445.31"/>
    <n v="3442785.97"/>
    <n v="6869092.3600000003"/>
    <n v="22215802.620000001"/>
    <n v="163820.37"/>
    <n v="167756.03"/>
    <n v="267892.83"/>
    <n v="492675.77"/>
    <n v="1143755.6000000001"/>
    <n v="48426.89"/>
    <n v="170288.01"/>
    <n v="142905.32999999999"/>
    <n v="144713.63"/>
    <n v="180004.59"/>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757418.18"/>
    <n v="91130976.459999993"/>
    <n v="-3350603.82"/>
    <n v="94481580.280000001"/>
  </r>
  <r>
    <x v="0"/>
    <x v="24"/>
    <x v="24"/>
    <x v="5"/>
    <x v="5"/>
    <n v="35481.31"/>
    <n v="56718.28"/>
    <n v="108681.57"/>
    <n v="219961.52"/>
    <n v="1158954.17"/>
    <n v="0"/>
    <n v="0"/>
    <n v="0"/>
    <n v="0"/>
    <n v="0"/>
    <n v="0"/>
    <n v="0"/>
    <n v="0"/>
    <n v="0"/>
    <n v="1"/>
    <n v="1198857.75"/>
    <n v="1982262.27"/>
    <n v="3042853.34"/>
    <n v="30753458.350000001"/>
    <n v="80243.87"/>
    <n v="93465.84"/>
    <n v="146056.14000000001"/>
    <n v="912672.21"/>
    <n v="28405.22"/>
    <n v="98908.14"/>
    <n v="77112.39"/>
    <n v="155996.91"/>
    <n v="131180.10999999999"/>
    <n v="217482.6"/>
    <n v="1234173.1599999999"/>
    <n v="14062593.810000001"/>
    <n v="3631.87"/>
    <n v="2904.94"/>
    <n v="15247.15"/>
    <n v="296262.56"/>
    <n v="0"/>
    <n v="4051.9"/>
    <n v="4808.2299999999996"/>
    <n v="967.79"/>
    <n v="1330074.8899999999"/>
    <n v="2127275.7599999998"/>
    <n v="3472884.34"/>
    <n v="6895767.9800000004"/>
    <n v="22494593.09"/>
    <n v="139361.06"/>
    <n v="150838.32999999999"/>
    <n v="239991.74"/>
    <n v="437592.09"/>
    <n v="1039973.1"/>
    <n v="41044.370000000003"/>
    <n v="154601.47"/>
    <n v="146245.85999999999"/>
    <n v="164240.17000000001"/>
    <n v="173875.38"/>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608499.7300000004"/>
    <n v="91798849.540000007"/>
    <n v="-3332904.49"/>
    <n v="95131754.030000001"/>
  </r>
  <r>
    <x v="0"/>
    <x v="24"/>
    <x v="24"/>
    <x v="6"/>
    <x v="6"/>
    <n v="43521.35"/>
    <n v="57290.12"/>
    <n v="105534.08"/>
    <n v="215992.07"/>
    <n v="1122955.0900000001"/>
    <n v="0"/>
    <n v="0"/>
    <n v="0"/>
    <n v="0"/>
    <n v="0"/>
    <n v="0"/>
    <n v="0"/>
    <n v="0"/>
    <n v="0"/>
    <n v="1"/>
    <n v="1247505.6599999999"/>
    <n v="2001920.92"/>
    <n v="3087131.11"/>
    <n v="31480951.710000001"/>
    <n v="91445.83"/>
    <n v="74320.86"/>
    <n v="112645.16"/>
    <n v="804600.99"/>
    <n v="0"/>
    <n v="79779.98"/>
    <n v="87780.25"/>
    <n v="153405.38"/>
    <n v="138830.53"/>
    <n v="249607.23"/>
    <n v="1217389.95"/>
    <n v="14332920.08"/>
    <n v="1528.45"/>
    <n v="1339.11"/>
    <n v="4597.97"/>
    <n v="159148.53"/>
    <n v="0"/>
    <n v="0"/>
    <n v="4099.57"/>
    <n v="1073.3"/>
    <n v="1489960.02"/>
    <n v="2288455.52"/>
    <n v="3464505.1"/>
    <n v="6964435.9299999997"/>
    <n v="22504803.16"/>
    <n v="162566.78"/>
    <n v="128165.22"/>
    <n v="185239.1"/>
    <n v="345398.07"/>
    <n v="841300.74"/>
    <n v="0"/>
    <n v="125429.81"/>
    <n v="154547.79999999999"/>
    <n v="186743.28"/>
    <n v="181617.05"/>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3886774.23"/>
    <n v="92556302.900000006"/>
    <n v="-3344180.96"/>
    <n v="95900483.859999999"/>
  </r>
  <r>
    <x v="0"/>
    <x v="24"/>
    <x v="24"/>
    <x v="7"/>
    <x v="7"/>
    <n v="43979.87"/>
    <n v="64269.919999999998"/>
    <n v="78369.39"/>
    <n v="208027.8"/>
    <n v="1116231.5"/>
    <n v="4314.71"/>
    <n v="4403.04"/>
    <n v="6746.92"/>
    <n v="14062.35"/>
    <n v="11521.52"/>
    <n v="0"/>
    <n v="2141.04"/>
    <n v="0"/>
    <n v="0"/>
    <n v="1"/>
    <n v="1310704.82"/>
    <n v="1852399.01"/>
    <n v="3239335.59"/>
    <n v="31672867.789999999"/>
    <n v="129489.74"/>
    <n v="95312.02"/>
    <n v="146927.25"/>
    <n v="970952.98"/>
    <n v="0"/>
    <n v="96489.99"/>
    <n v="104845.96"/>
    <n v="168488.31"/>
    <n v="165290.75"/>
    <n v="222778.88"/>
    <n v="1227832.93"/>
    <n v="14310560.92"/>
    <n v="3873.85"/>
    <n v="1476.43"/>
    <n v="10215.209999999999"/>
    <n v="188592.68"/>
    <n v="0"/>
    <n v="1248.81"/>
    <n v="4116.3900000000003"/>
    <n v="1171.1099999999999"/>
    <n v="1492359.16"/>
    <n v="2165678.13"/>
    <n v="3396015.56"/>
    <n v="6844150.7999999998"/>
    <n v="21988821.91"/>
    <n v="209506.13"/>
    <n v="155424.21"/>
    <n v="238507.79"/>
    <n v="452915.3"/>
    <n v="1054914.1100000001"/>
    <n v="0"/>
    <n v="166006.79999999999"/>
    <n v="165504.46"/>
    <n v="193378.76"/>
    <n v="189503.3"/>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792052.17"/>
    <n v="92839114.010000005"/>
    <n v="-3352612.89"/>
    <n v="96191726.900000006"/>
  </r>
  <r>
    <x v="0"/>
    <x v="24"/>
    <x v="24"/>
    <x v="8"/>
    <x v="8"/>
    <n v="42170.57"/>
    <n v="74107.58"/>
    <n v="106856.83"/>
    <n v="204960.51"/>
    <n v="1107350.79"/>
    <n v="375.37"/>
    <n v="382.01"/>
    <n v="588.61"/>
    <n v="1217.32"/>
    <n v="5317.53"/>
    <n v="0"/>
    <n v="184.09"/>
    <n v="0"/>
    <n v="0"/>
    <n v="1"/>
    <n v="1136708.56"/>
    <n v="2142279.63"/>
    <n v="3428219.54"/>
    <n v="32423831.289999999"/>
    <n v="115350.07"/>
    <n v="91087.92"/>
    <n v="132151.84"/>
    <n v="912373.97"/>
    <n v="0"/>
    <n v="88769.22"/>
    <n v="118924.81"/>
    <n v="178098.97"/>
    <n v="164398.69"/>
    <n v="224279.52"/>
    <n v="1228418.3400000001"/>
    <n v="14353577.85"/>
    <n v="2081.9"/>
    <n v="1756.42"/>
    <n v="5704.07"/>
    <n v="170932.06"/>
    <n v="0"/>
    <n v="172.3"/>
    <n v="4381.1000000000004"/>
    <n v="2266.63"/>
    <n v="1406777.57"/>
    <n v="2279588.19"/>
    <n v="3475573.2"/>
    <n v="6666070.1699999999"/>
    <n v="21881148.210000001"/>
    <n v="194724.22"/>
    <n v="151842.29999999999"/>
    <n v="223286.71"/>
    <n v="412457.48"/>
    <n v="1053744.73"/>
    <n v="0"/>
    <n v="161688.07999999999"/>
    <n v="196133.35"/>
    <n v="212924.81"/>
    <n v="191528.07"/>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630446.96"/>
    <n v="93637559.609999999"/>
    <n v="-3339204.39"/>
    <n v="96976764"/>
  </r>
  <r>
    <x v="0"/>
    <x v="24"/>
    <x v="24"/>
    <x v="9"/>
    <x v="9"/>
    <n v="60418.83"/>
    <n v="56102.78"/>
    <n v="118097.74"/>
    <n v="195706.16"/>
    <n v="1069995.76"/>
    <n v="378.73"/>
    <n v="385.44"/>
    <n v="593.88"/>
    <n v="1229.75"/>
    <n v="5107.3"/>
    <n v="0"/>
    <n v="369.83"/>
    <n v="0"/>
    <n v="0"/>
    <n v="1"/>
    <n v="1244553.8400000001"/>
    <n v="2001416.49"/>
    <n v="3577331.37"/>
    <n v="33045254.25"/>
    <n v="141135.12"/>
    <n v="94508.25"/>
    <n v="153119.29"/>
    <n v="973415.68"/>
    <n v="0"/>
    <n v="80604.12"/>
    <n v="122723.79"/>
    <n v="208872.75"/>
    <n v="158954.91"/>
    <n v="205505.69"/>
    <n v="1250639.52"/>
    <n v="14287098.57"/>
    <n v="3264.14"/>
    <n v="2573.5"/>
    <n v="10110.469999999999"/>
    <n v="230234.08"/>
    <n v="0"/>
    <n v="554.52"/>
    <n v="4561.83"/>
    <n v="2374.7600000000002"/>
    <n v="1418139.39"/>
    <n v="2108263.84"/>
    <n v="3547985.07"/>
    <n v="6499984.8899999997"/>
    <n v="21901199.02"/>
    <n v="212828.97"/>
    <n v="140892.87"/>
    <n v="234385.93"/>
    <n v="415460.31"/>
    <n v="1030742.4"/>
    <n v="0"/>
    <n v="152886.34"/>
    <n v="199927.02"/>
    <n v="222133.58"/>
    <n v="196161.02"/>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841536.67"/>
    <n v="94248650.159999996"/>
    <n v="-3339534.63"/>
    <n v="97588184.790000007"/>
  </r>
  <r>
    <x v="0"/>
    <x v="24"/>
    <x v="24"/>
    <x v="10"/>
    <x v="10"/>
    <n v="40364.959999999999"/>
    <n v="73654.05"/>
    <n v="116750.52"/>
    <n v="187859.35"/>
    <n v="1031537.22"/>
    <n v="382.01"/>
    <n v="386.78"/>
    <n v="601.03"/>
    <n v="1238.93"/>
    <n v="4896.72"/>
    <n v="0"/>
    <n v="375.37"/>
    <n v="184.09"/>
    <n v="0"/>
    <n v="1"/>
    <n v="1223842.57"/>
    <n v="2519822.11"/>
    <n v="3395601.85"/>
    <n v="33464539.079999998"/>
    <n v="141179.43"/>
    <n v="127294.25"/>
    <n v="153927.51"/>
    <n v="989978.74"/>
    <n v="0"/>
    <n v="102702.82"/>
    <n v="118850.63"/>
    <n v="226558.8"/>
    <n v="136773.01"/>
    <n v="242643.32"/>
    <n v="1226892.48"/>
    <n v="14229520.460000001"/>
    <n v="2107.77"/>
    <n v="237.98"/>
    <n v="4689.9799999999996"/>
    <n v="157406.72"/>
    <n v="0"/>
    <n v="643.16"/>
    <n v="4226.0200000000004"/>
    <n v="2475.3000000000002"/>
    <n v="1447923.34"/>
    <n v="2431839.38"/>
    <n v="3380433.66"/>
    <n v="6381034.1399999997"/>
    <n v="22029529.039999999"/>
    <n v="203358.81"/>
    <n v="176564.23"/>
    <n v="231988.53"/>
    <n v="404712.01"/>
    <n v="1010719.98"/>
    <n v="0"/>
    <n v="157784.19"/>
    <n v="205597.18"/>
    <n v="233538.18"/>
    <n v="220249.86"/>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884858.01"/>
    <n v="95091458.730000004"/>
    <n v="-3353959.82"/>
    <n v="98445418.549999997"/>
  </r>
  <r>
    <x v="0"/>
    <x v="24"/>
    <x v="24"/>
    <x v="11"/>
    <x v="11"/>
    <n v="24645.72"/>
    <n v="88134.78"/>
    <n v="99489.34"/>
    <n v="188818.67"/>
    <n v="1076808.25"/>
    <n v="947.9"/>
    <n v="782.19"/>
    <n v="991.1"/>
    <n v="2464.23"/>
    <n v="6853.95"/>
    <n v="0"/>
    <n v="504.84"/>
    <n v="0"/>
    <n v="0"/>
    <n v="1"/>
    <n v="1234731.83"/>
    <n v="2635896.5099999998"/>
    <n v="3517231.99"/>
    <n v="34694568.530000001"/>
    <n v="94922.37"/>
    <n v="86468.36"/>
    <n v="105043.01"/>
    <n v="685861.51"/>
    <n v="0"/>
    <n v="78432.7"/>
    <n v="99538.73"/>
    <n v="227390.82"/>
    <n v="129053.16"/>
    <n v="300819.92"/>
    <n v="1179475.8700000001"/>
    <n v="14185394.949999999"/>
    <n v="2853.48"/>
    <n v="2369.75"/>
    <n v="13184.01"/>
    <n v="269920.55"/>
    <n v="0"/>
    <n v="408.05"/>
    <n v="8852.65"/>
    <n v="3648.98"/>
    <n v="1343783.51"/>
    <n v="2555015.29"/>
    <n v="3368231.08"/>
    <n v="6426086.21"/>
    <n v="22270865.449999999"/>
    <n v="152598.81"/>
    <n v="142933.32"/>
    <n v="181655.52"/>
    <n v="299327.58"/>
    <n v="742076.29"/>
    <n v="0"/>
    <n v="120955.76"/>
    <n v="169980.68"/>
    <n v="229267.74"/>
    <n v="215216.16"/>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3945452.04"/>
    <n v="95629475.560000002"/>
    <n v="-3635027.54"/>
    <n v="99264503.099999994"/>
  </r>
  <r>
    <x v="0"/>
    <x v="25"/>
    <x v="25"/>
    <x v="0"/>
    <x v="0"/>
    <n v="113926.01"/>
    <n v="161012.14000000001"/>
    <n v="246584.71"/>
    <n v="496756.75"/>
    <n v="2796400.1"/>
    <n v="13374.44"/>
    <n v="10874.44"/>
    <n v="17878.330000000002"/>
    <n v="37623.32"/>
    <n v="200671.7"/>
    <n v="0"/>
    <n v="12959.44"/>
    <n v="5472.22"/>
    <n v="0"/>
    <n v="0"/>
    <n v="1160442.23"/>
    <n v="1834488.77"/>
    <n v="2322399.36"/>
    <n v="13273994.720000001"/>
    <n v="105935.03999999999"/>
    <n v="88963.12"/>
    <n v="122129.03"/>
    <n v="662521.92000000004"/>
    <n v="38882.68"/>
    <n v="85870.13"/>
    <n v="29267.040000000001"/>
    <n v="98719.91"/>
    <n v="0"/>
    <n v="0"/>
    <n v="0"/>
    <n v="0"/>
    <n v="0"/>
    <n v="0"/>
    <n v="0"/>
    <n v="0"/>
    <n v="0"/>
    <n v="0"/>
    <n v="0"/>
    <n v="0"/>
    <n v="5625560.0599999996"/>
    <n v="9274269.9900000002"/>
    <n v="11765507.67"/>
    <n v="20271724.620000001"/>
    <n v="46338542.439999998"/>
    <n v="714792.95"/>
    <n v="969930.87"/>
    <n v="1281091.3400000001"/>
    <n v="2110629.87"/>
    <n v="4379354.97"/>
    <n v="361410.95"/>
    <n v="673170.51"/>
    <n v="635333.96"/>
    <n v="1002888.48"/>
    <n v="2600795.81"/>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6260542.470000001"/>
    <n v="116774703.93000001"/>
    <n v="-15167448.109999999"/>
    <n v="131942152.04000001"/>
  </r>
  <r>
    <x v="0"/>
    <x v="25"/>
    <x v="25"/>
    <x v="1"/>
    <x v="1"/>
    <n v="93416.94"/>
    <n v="152305.04999999999"/>
    <n v="245605.29"/>
    <n v="497836.78"/>
    <n v="2857198.46"/>
    <n v="7987.78"/>
    <n v="12987.78"/>
    <n v="15241.67"/>
    <n v="28963.34"/>
    <n v="175241.08"/>
    <n v="0"/>
    <n v="9582.7800000000007"/>
    <n v="5311.11"/>
    <n v="0"/>
    <n v="0"/>
    <n v="1190578.8400000001"/>
    <n v="1625880.78"/>
    <n v="2340266.7400000002"/>
    <n v="13059079.34"/>
    <n v="51407.98"/>
    <n v="67829.67"/>
    <n v="91436.51"/>
    <n v="515594.57"/>
    <n v="24851.360000000001"/>
    <n v="37035.870000000003"/>
    <n v="29519.54"/>
    <n v="101618.74"/>
    <n v="0"/>
    <n v="0"/>
    <n v="0"/>
    <n v="0"/>
    <n v="0"/>
    <n v="0"/>
    <n v="0"/>
    <n v="0"/>
    <n v="0"/>
    <n v="0"/>
    <n v="0"/>
    <n v="0"/>
    <n v="5450887.6200000001"/>
    <n v="9355123.6500000004"/>
    <n v="12148146.779999999"/>
    <n v="20729532.16"/>
    <n v="47513562.409999996"/>
    <n v="617375.94999999995"/>
    <n v="738705.38"/>
    <n v="1020179.96"/>
    <n v="1674086.64"/>
    <n v="3352658.83"/>
    <n v="275684.42"/>
    <n v="637481.75"/>
    <n v="619958.92000000004"/>
    <n v="981645.98"/>
    <n v="2702172.24"/>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3794559.85"/>
    <n v="115869675.93000001"/>
    <n v="-15184304.76"/>
    <n v="131053980.69"/>
  </r>
  <r>
    <x v="0"/>
    <x v="25"/>
    <x v="25"/>
    <x v="2"/>
    <x v="2"/>
    <n v="90211.24"/>
    <n v="155162.92000000001"/>
    <n v="258925.14"/>
    <n v="524035.29"/>
    <n v="2994005.77"/>
    <n v="6617.78"/>
    <n v="6617.78"/>
    <n v="9436.67"/>
    <n v="19853.34"/>
    <n v="91707.19"/>
    <n v="0"/>
    <n v="5147.78"/>
    <n v="4101.58"/>
    <n v="0"/>
    <n v="0"/>
    <n v="955368.38"/>
    <n v="1626024.86"/>
    <n v="2267855.73"/>
    <n v="12487617.130000001"/>
    <n v="53470.35"/>
    <n v="78190.880000000005"/>
    <n v="109711.65"/>
    <n v="635119.89"/>
    <n v="30436.75"/>
    <n v="41649.4"/>
    <n v="29669.45"/>
    <n v="95265.85"/>
    <n v="0"/>
    <n v="0"/>
    <n v="0"/>
    <n v="0"/>
    <n v="0"/>
    <n v="0"/>
    <n v="0"/>
    <n v="0"/>
    <n v="0"/>
    <n v="0"/>
    <n v="0"/>
    <n v="0"/>
    <n v="5178307.3499999996"/>
    <n v="9230373.0600000005"/>
    <n v="12056679.359999999"/>
    <n v="20818454.960000001"/>
    <n v="47405078.450000003"/>
    <n v="588093.63"/>
    <n v="786372.84"/>
    <n v="1061268.8999999999"/>
    <n v="1755901.67"/>
    <n v="3345444.36"/>
    <n v="300835.06"/>
    <n v="658911.94999999995"/>
    <n v="649189.26"/>
    <n v="978730.27"/>
    <n v="2645021.96"/>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3986766.24"/>
    <n v="115030392.73"/>
    <n v="-15004473.15"/>
    <n v="130034865.88"/>
  </r>
  <r>
    <x v="0"/>
    <x v="25"/>
    <x v="25"/>
    <x v="3"/>
    <x v="3"/>
    <n v="100633.58"/>
    <n v="159185.60999999999"/>
    <n v="256236.34"/>
    <n v="520800.55"/>
    <n v="2906422.43"/>
    <n v="6314.48"/>
    <n v="6314.48"/>
    <n v="8981.7199999999993"/>
    <n v="18943.439999999999"/>
    <n v="80978.850000000006"/>
    <n v="0"/>
    <n v="4498.76"/>
    <n v="3468.25"/>
    <n v="972.22"/>
    <n v="0"/>
    <n v="860546.62"/>
    <n v="1716898.79"/>
    <n v="2070378.53"/>
    <n v="12046320.880000001"/>
    <n v="57592.59"/>
    <n v="73351.05"/>
    <n v="103608.55"/>
    <n v="640176.24"/>
    <n v="21112.5"/>
    <n v="47719.98"/>
    <n v="31059.09"/>
    <n v="99866.48"/>
    <n v="0"/>
    <n v="0"/>
    <n v="0"/>
    <n v="0"/>
    <n v="0"/>
    <n v="0"/>
    <n v="0"/>
    <n v="0"/>
    <n v="0"/>
    <n v="0"/>
    <n v="0"/>
    <n v="0"/>
    <n v="5332302.5199999996"/>
    <n v="9022918.0899999999"/>
    <n v="11952733.52"/>
    <n v="20691187.050000001"/>
    <n v="47508671.420000002"/>
    <n v="648696.96"/>
    <n v="795700.38"/>
    <n v="1090416.67"/>
    <n v="1805143.18"/>
    <n v="3630882.17"/>
    <n v="246373.58"/>
    <n v="700547.68"/>
    <n v="675112.85"/>
    <n v="977725.91"/>
    <n v="2755675.07"/>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4531233.130000001"/>
    <n v="114212558.7"/>
    <n v="-15463910.359999999"/>
    <n v="129676469.06"/>
  </r>
  <r>
    <x v="0"/>
    <x v="25"/>
    <x v="25"/>
    <x v="4"/>
    <x v="4"/>
    <n v="100959.95"/>
    <n v="152000.4"/>
    <n v="253184.46"/>
    <n v="515297.73"/>
    <n v="2913173.13"/>
    <n v="6184.48"/>
    <n v="11184.48"/>
    <n v="13786.72"/>
    <n v="28553.439999999999"/>
    <n v="136741.60999999999"/>
    <n v="0"/>
    <n v="9641.7800000000007"/>
    <n v="3834.92"/>
    <n v="1944.44"/>
    <n v="0"/>
    <n v="896586.73"/>
    <n v="1710030.43"/>
    <n v="1920750.66"/>
    <n v="11387879.560000001"/>
    <n v="51370.720000000001"/>
    <n v="76374.23"/>
    <n v="108528.63"/>
    <n v="704622.65"/>
    <n v="31306.23"/>
    <n v="41935.53"/>
    <n v="38234.26"/>
    <n v="108173.06"/>
    <n v="0"/>
    <n v="0"/>
    <n v="0"/>
    <n v="0"/>
    <n v="0"/>
    <n v="0"/>
    <n v="0"/>
    <n v="0"/>
    <n v="0"/>
    <n v="0"/>
    <n v="0"/>
    <n v="0"/>
    <n v="5152711.92"/>
    <n v="8903227.6899999995"/>
    <n v="11945486.01"/>
    <n v="20690127.25"/>
    <n v="47820473.270000003"/>
    <n v="629747.23"/>
    <n v="825773.08"/>
    <n v="1143424.55"/>
    <n v="1882297.33"/>
    <n v="3713060.64"/>
    <n v="328941.58"/>
    <n v="674808.95"/>
    <n v="710182.94"/>
    <n v="987188.82"/>
    <n v="2869122.68"/>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5136964.98"/>
    <n v="113626018.67"/>
    <n v="-15872835.5"/>
    <n v="129498854.17"/>
  </r>
  <r>
    <x v="0"/>
    <x v="25"/>
    <x v="25"/>
    <x v="5"/>
    <x v="5"/>
    <n v="97760.01"/>
    <n v="144876.45000000001"/>
    <n v="244499.84"/>
    <n v="498821.15"/>
    <n v="2745145.5"/>
    <n v="9517.7800000000007"/>
    <n v="13308.43"/>
    <n v="20077.32"/>
    <n v="41134.639999999999"/>
    <n v="231175.27"/>
    <n v="0"/>
    <n v="18308.43"/>
    <n v="4446.67"/>
    <n v="3101.58"/>
    <n v="0"/>
    <n v="940439.59"/>
    <n v="1579686.36"/>
    <n v="1855302.33"/>
    <n v="11155095.310000001"/>
    <n v="59850.080000000002"/>
    <n v="76148.42"/>
    <n v="111327.24"/>
    <n v="664506.1"/>
    <n v="23560.16"/>
    <n v="49157.58"/>
    <n v="40980.699999999997"/>
    <n v="115320.61"/>
    <n v="0"/>
    <n v="0"/>
    <n v="0"/>
    <n v="0"/>
    <n v="0"/>
    <n v="0"/>
    <n v="0"/>
    <n v="0"/>
    <n v="0"/>
    <n v="0"/>
    <n v="0"/>
    <n v="0"/>
    <n v="5108743.4800000004"/>
    <n v="8986584"/>
    <n v="12074846.52"/>
    <n v="20670605.379999999"/>
    <n v="48554026.020000003"/>
    <n v="675604.5"/>
    <n v="804493.45"/>
    <n v="1134275.0900000001"/>
    <n v="1843274.08"/>
    <n v="3752886.54"/>
    <n v="246732.55"/>
    <n v="717413.27"/>
    <n v="692068.92"/>
    <n v="1007009.22"/>
    <n v="2994590.48"/>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5350269.109999999"/>
    <n v="114516155.59"/>
    <n v="-15490545.460000001"/>
    <n v="130006701.05"/>
  </r>
  <r>
    <x v="0"/>
    <x v="25"/>
    <x v="25"/>
    <x v="6"/>
    <x v="6"/>
    <n v="89254.57"/>
    <n v="150628.82999999999"/>
    <n v="242153.36"/>
    <n v="485074.86"/>
    <n v="2591291.1800000002"/>
    <n v="22805.13"/>
    <n v="13524.48"/>
    <n v="26087.37"/>
    <n v="53154.74"/>
    <n v="285621.88"/>
    <n v="0"/>
    <n v="14821.78"/>
    <n v="9881.1200000000008"/>
    <n v="4440.47"/>
    <n v="0"/>
    <n v="962674.81"/>
    <n v="1345573.66"/>
    <n v="1900871.82"/>
    <n v="10915730.189999999"/>
    <n v="70091.59"/>
    <n v="59600.959999999999"/>
    <n v="83579.94"/>
    <n v="533525.35"/>
    <n v="0"/>
    <n v="47503.39"/>
    <n v="46560.73"/>
    <n v="122697.72"/>
    <n v="0"/>
    <n v="0"/>
    <n v="0"/>
    <n v="0"/>
    <n v="0"/>
    <n v="0"/>
    <n v="0"/>
    <n v="0"/>
    <n v="0"/>
    <n v="0"/>
    <n v="0"/>
    <n v="0"/>
    <n v="5554791.0800000001"/>
    <n v="9151014.0899999999"/>
    <n v="12280541.800000001"/>
    <n v="21312850.5"/>
    <n v="50421863.170000002"/>
    <n v="799661.03"/>
    <n v="632853.78"/>
    <n v="876185.64"/>
    <n v="1421588.17"/>
    <n v="2785248.86"/>
    <n v="0"/>
    <n v="611159.02"/>
    <n v="738193.54"/>
    <n v="1022011.27"/>
    <n v="3111477.19"/>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3392275.15"/>
    <n v="115202411.81999999"/>
    <n v="-15594177.25"/>
    <n v="130796589.06999999"/>
  </r>
  <r>
    <x v="0"/>
    <x v="25"/>
    <x v="25"/>
    <x v="7"/>
    <x v="7"/>
    <n v="93614.71"/>
    <n v="146336.20000000001"/>
    <n v="235683.38"/>
    <n v="471548.23"/>
    <n v="2439347.0299999998"/>
    <n v="17676.78"/>
    <n v="21685.11"/>
    <n v="25890.67"/>
    <n v="53764.68"/>
    <n v="283626.69"/>
    <n v="0"/>
    <n v="11823.2"/>
    <n v="12236.32"/>
    <n v="5779.36"/>
    <n v="0"/>
    <n v="893116.14"/>
    <n v="1279265.8"/>
    <n v="1922969.51"/>
    <n v="10501015.720000001"/>
    <n v="68057.34"/>
    <n v="55973.03"/>
    <n v="84057.26"/>
    <n v="527601.28"/>
    <n v="0"/>
    <n v="50548.03"/>
    <n v="48759.79"/>
    <n v="124345.59"/>
    <n v="0"/>
    <n v="0"/>
    <n v="0"/>
    <n v="0"/>
    <n v="0"/>
    <n v="0"/>
    <n v="0"/>
    <n v="0"/>
    <n v="0"/>
    <n v="0"/>
    <n v="0"/>
    <n v="0"/>
    <n v="5406970.7699999996"/>
    <n v="9098507.9700000007"/>
    <n v="12378699.939999999"/>
    <n v="21401847.780000001"/>
    <n v="51340746.100000001"/>
    <n v="790685.43"/>
    <n v="628254.9"/>
    <n v="878730.42"/>
    <n v="1443194.43"/>
    <n v="2915849.28"/>
    <n v="0"/>
    <n v="611906.49"/>
    <n v="711212.19"/>
    <n v="1024742.85"/>
    <n v="2803493.57"/>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3199894.689999999"/>
    <n v="115406343.51000001"/>
    <n v="-15403220.460000001"/>
    <n v="130809563.97"/>
  </r>
  <r>
    <x v="0"/>
    <x v="25"/>
    <x v="25"/>
    <x v="8"/>
    <x v="8"/>
    <n v="101815.3"/>
    <n v="138692.39000000001"/>
    <n v="234154.18"/>
    <n v="450776.83"/>
    <n v="2304843.2200000002"/>
    <n v="20799.490000000002"/>
    <n v="21098.47"/>
    <n v="33502.379999999997"/>
    <n v="66013.09"/>
    <n v="337711.69"/>
    <n v="0"/>
    <n v="21452.74"/>
    <n v="12940.52"/>
    <n v="7548.25"/>
    <n v="0"/>
    <n v="704700.28"/>
    <n v="1341095.06"/>
    <n v="1899456.28"/>
    <n v="10215469.49"/>
    <n v="63315.839999999997"/>
    <n v="52429.4"/>
    <n v="79111.14"/>
    <n v="491985.55"/>
    <n v="0"/>
    <n v="47281.62"/>
    <n v="52399.95"/>
    <n v="134260.71"/>
    <n v="0"/>
    <n v="0"/>
    <n v="0"/>
    <n v="0"/>
    <n v="0"/>
    <n v="0"/>
    <n v="0"/>
    <n v="0"/>
    <n v="0"/>
    <n v="0"/>
    <n v="0"/>
    <n v="0"/>
    <n v="5396798.9800000004"/>
    <n v="9226139.0299999993"/>
    <n v="12608354.65"/>
    <n v="21191859.870000001"/>
    <n v="51665351.850000001"/>
    <n v="814058.79"/>
    <n v="654550.93999999994"/>
    <n v="923630.39"/>
    <n v="1463588.27"/>
    <n v="3143468.06"/>
    <n v="0"/>
    <n v="615786.35"/>
    <n v="735511.93"/>
    <n v="1043777.45"/>
    <n v="2921066.59"/>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3757289.609999999"/>
    <n v="115423093.34"/>
    <n v="-15813703.68"/>
    <n v="131236797.02"/>
  </r>
  <r>
    <x v="0"/>
    <x v="25"/>
    <x v="25"/>
    <x v="9"/>
    <x v="9"/>
    <n v="84473.69"/>
    <n v="138064.54999999999"/>
    <n v="218737.88"/>
    <n v="428023.81"/>
    <n v="2169942.84"/>
    <n v="24980.1"/>
    <n v="18187.78"/>
    <n v="31072.32"/>
    <n v="61642.97"/>
    <n v="312464.09999999998"/>
    <n v="0"/>
    <n v="15885.05"/>
    <n v="16145.5"/>
    <n v="7484.92"/>
    <n v="972.22"/>
    <n v="692691.13"/>
    <n v="1469916.46"/>
    <n v="1878623.25"/>
    <n v="10222851.99"/>
    <n v="67820.23"/>
    <n v="56021.39"/>
    <n v="82930.850000000006"/>
    <n v="473976.74"/>
    <n v="0"/>
    <n v="46795.57"/>
    <n v="53883.83"/>
    <n v="146790.41"/>
    <n v="1083.3399999999999"/>
    <n v="2833.34"/>
    <n v="12750.03"/>
    <n v="143333.29"/>
    <n v="0"/>
    <n v="0"/>
    <n v="0"/>
    <n v="0"/>
    <n v="0"/>
    <n v="0"/>
    <n v="0"/>
    <n v="0"/>
    <n v="5477778.9199999999"/>
    <n v="9125756.3100000005"/>
    <n v="12606187.199999999"/>
    <n v="21201789.670000002"/>
    <n v="51937975.420000002"/>
    <n v="836919.87"/>
    <n v="659718.6"/>
    <n v="932981.97"/>
    <n v="1476575.85"/>
    <n v="3134056.05"/>
    <n v="0"/>
    <n v="629808.92000000004"/>
    <n v="736480.41"/>
    <n v="1069157.31"/>
    <n v="3040795.77"/>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3933548.73"/>
    <n v="115748365.04000001"/>
    <n v="-15997996.810000001"/>
    <n v="131746361.84999999"/>
  </r>
  <r>
    <x v="0"/>
    <x v="25"/>
    <x v="25"/>
    <x v="10"/>
    <x v="10"/>
    <n v="86851.87"/>
    <n v="148083.71"/>
    <n v="209464.57"/>
    <n v="423320.66"/>
    <n v="2132031.02"/>
    <n v="19615.099999999999"/>
    <n v="24113.43"/>
    <n v="30524.82"/>
    <n v="60547.97"/>
    <n v="276687.88"/>
    <n v="0"/>
    <n v="11841.09"/>
    <n v="11647.17"/>
    <n v="13957.32"/>
    <n v="2129.36"/>
    <n v="828892.39"/>
    <n v="1483351.73"/>
    <n v="1751916.62"/>
    <n v="9816960.3499999996"/>
    <n v="65523.5"/>
    <n v="58152.24"/>
    <n v="75975.41"/>
    <n v="464631.92"/>
    <n v="0"/>
    <n v="47373.35"/>
    <n v="50524.38"/>
    <n v="153865.85999999999"/>
    <n v="1916.67"/>
    <n v="3833.34"/>
    <n v="17250.03"/>
    <n v="195916.62"/>
    <n v="0"/>
    <n v="0"/>
    <n v="0"/>
    <n v="0"/>
    <n v="0"/>
    <n v="0"/>
    <n v="0"/>
    <n v="0"/>
    <n v="5433360.7699999996"/>
    <n v="9560714.8800000008"/>
    <n v="11988990.300000001"/>
    <n v="20937990.02"/>
    <n v="51754115.210000001"/>
    <n v="854519.1"/>
    <n v="693371.61"/>
    <n v="891288.7"/>
    <n v="1477572.91"/>
    <n v="3165651.24"/>
    <n v="0"/>
    <n v="641350.41"/>
    <n v="753677.3"/>
    <n v="1092506.98"/>
    <n v="3163984.25"/>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4101033.300000001"/>
    <n v="114547238.3"/>
    <n v="-16328755.76"/>
    <n v="130875994.06"/>
  </r>
  <r>
    <x v="0"/>
    <x v="25"/>
    <x v="25"/>
    <x v="11"/>
    <x v="11"/>
    <n v="92948.71"/>
    <n v="140048.62"/>
    <n v="206721.34"/>
    <n v="424541.81"/>
    <n v="2058621.38"/>
    <n v="19680.060000000001"/>
    <n v="19614.39"/>
    <n v="30421.61"/>
    <n v="62050.85"/>
    <n v="283081.11"/>
    <n v="0"/>
    <n v="18049.84"/>
    <n v="12148.11"/>
    <n v="14293.83"/>
    <n v="3468.25"/>
    <n v="814712.21"/>
    <n v="1324151.22"/>
    <n v="1711596.51"/>
    <n v="9357748.0700000003"/>
    <n v="62047.22"/>
    <n v="54279.11"/>
    <n v="69158.720000000001"/>
    <n v="402161.28"/>
    <n v="0"/>
    <n v="41244.339999999997"/>
    <n v="49128.06"/>
    <n v="156595.73000000001"/>
    <n v="2379.67"/>
    <n v="5083.34"/>
    <n v="22875.03"/>
    <n v="246499.95"/>
    <n v="0"/>
    <n v="0"/>
    <n v="0"/>
    <n v="0"/>
    <n v="0"/>
    <n v="0"/>
    <n v="0"/>
    <n v="0"/>
    <n v="5380915.4400000004"/>
    <n v="9506987.6899999995"/>
    <n v="11960512.4"/>
    <n v="21034397.09"/>
    <n v="51691542.18"/>
    <n v="757814.2"/>
    <n v="626035.31999999995"/>
    <n v="783114"/>
    <n v="1324867.26"/>
    <n v="2774032.66"/>
    <n v="0"/>
    <n v="572150.75"/>
    <n v="733737.34"/>
    <n v="1073434.3700000001"/>
    <n v="2835433.81"/>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2778042.220000001"/>
    <n v="112802074.36"/>
    <n v="-15958250.52"/>
    <n v="128760324.88"/>
  </r>
  <r>
    <x v="0"/>
    <x v="26"/>
    <x v="26"/>
    <x v="0"/>
    <x v="0"/>
    <n v="3924219.85"/>
    <n v="6338319.46"/>
    <n v="7195395.2699999996"/>
    <n v="13459128.119999999"/>
    <n v="73144097.170000002"/>
    <n v="330083.76"/>
    <n v="354839.57"/>
    <n v="465141.16"/>
    <n v="810049.17"/>
    <n v="3218261.73"/>
    <n v="21905.02"/>
    <n v="419223.1"/>
    <n v="478747.79"/>
    <n v="466984.06"/>
    <n v="686707.51"/>
    <n v="76674578.530000001"/>
    <n v="132688444.48999999"/>
    <n v="183905351.91"/>
    <n v="1789374799.25"/>
    <n v="6176965.4299999997"/>
    <n v="7558784.71"/>
    <n v="10073892.91"/>
    <n v="65563929.409999996"/>
    <n v="2665570.7200000002"/>
    <n v="6381679.6799999997"/>
    <n v="5907918.9199999999"/>
    <n v="23665813.989999998"/>
    <n v="3719944.3"/>
    <n v="6473723.9199999999"/>
    <n v="29458788.48"/>
    <n v="236031570.94"/>
    <n v="290865.08"/>
    <n v="227562.29"/>
    <n v="826672.97"/>
    <n v="5274944.26"/>
    <n v="269743.35999999999"/>
    <n v="135944.1"/>
    <n v="500735.4"/>
    <n v="566544.34"/>
    <n v="61055527.189999998"/>
    <n v="104031756.31999999"/>
    <n v="152338001.66"/>
    <n v="281184315.11000001"/>
    <n v="852759777.20000005"/>
    <n v="7682561.5899999999"/>
    <n v="9484862.0500000007"/>
    <n v="12762813.310000001"/>
    <n v="20486048.609999999"/>
    <n v="40587362.810000002"/>
    <n v="3151267.43"/>
    <n v="8511294.2100000009"/>
    <n v="7850904.5199999996"/>
    <n v="11191743.25"/>
    <n v="19574417.449999999"/>
    <n v="510.78"/>
    <n v="8723.6299999999992"/>
    <n v="14420.67"/>
    <n v="29988.880000000001"/>
    <n v="236356.04"/>
    <x v="0"/>
    <x v="0"/>
    <x v="0"/>
    <x v="0"/>
    <x v="0"/>
    <x v="0"/>
    <x v="0"/>
    <x v="0"/>
    <x v="0"/>
    <x v="0"/>
    <n v="2962.23"/>
    <n v="8336.31"/>
    <n v="12658"/>
    <n v="27159.16"/>
    <n v="139184.24"/>
    <x v="0"/>
    <x v="0"/>
    <x v="0"/>
    <x v="0"/>
    <x v="0"/>
    <x v="0"/>
    <x v="0"/>
    <x v="0"/>
    <x v="0"/>
    <x v="0"/>
    <n v="420070.14"/>
    <n v="817733.98"/>
    <n v="1340371.53"/>
    <n v="2713006.48"/>
    <n v="18888950.789999999"/>
    <n v="4855.34"/>
    <n v="7082.12"/>
    <n v="10468.42"/>
    <n v="17798.810000000001"/>
    <n v="123085.62"/>
    <x v="23"/>
    <n v="1701.87"/>
    <n v="562.45000000000005"/>
    <x v="0"/>
    <x v="4"/>
    <x v="0"/>
    <x v="0"/>
    <x v="0"/>
    <x v="0"/>
    <x v="0"/>
    <x v="0"/>
    <x v="0"/>
    <x v="0"/>
    <x v="0"/>
    <x v="0"/>
    <x v="0"/>
    <x v="0"/>
    <x v="0"/>
    <x v="0"/>
    <x v="0"/>
    <x v="0"/>
    <x v="0"/>
    <x v="0"/>
    <x v="0"/>
    <x v="0"/>
    <x v="0"/>
    <x v="0"/>
    <x v="0"/>
    <x v="0"/>
    <x v="0"/>
    <x v="0"/>
    <x v="0"/>
    <n v="284791139.75"/>
    <n v="4057758130.3199992"/>
    <n v="-265451181.46000001"/>
    <n v="4323209311.7799988"/>
  </r>
  <r>
    <x v="0"/>
    <x v="26"/>
    <x v="26"/>
    <x v="1"/>
    <x v="1"/>
    <n v="4076787.37"/>
    <n v="5291487.5199999996"/>
    <n v="7127365.1600000001"/>
    <n v="13320706.880000001"/>
    <n v="71888174.510000005"/>
    <n v="339587.48"/>
    <n v="379033.84"/>
    <n v="504182.59"/>
    <n v="755936.29"/>
    <n v="3287954.61"/>
    <n v="17442.400000000001"/>
    <n v="355697.2"/>
    <n v="519364.52"/>
    <n v="564341.92000000004"/>
    <n v="683903.51"/>
    <n v="73623902.989999995"/>
    <n v="126418193.20999999"/>
    <n v="190880307.58000001"/>
    <n v="1767773853.1500001"/>
    <n v="6329694.0700000003"/>
    <n v="7676695.3200000003"/>
    <n v="10803028.789999999"/>
    <n v="68032090.840000004"/>
    <n v="3186238.03"/>
    <n v="6200366.6799999997"/>
    <n v="6117409.8700000001"/>
    <n v="24476344.969999999"/>
    <n v="3748839"/>
    <n v="6352657.8399999999"/>
    <n v="29405744.129999999"/>
    <n v="234222750.33000001"/>
    <n v="300555.46999999997"/>
    <n v="235334.78"/>
    <n v="871149.53"/>
    <n v="5257200.92"/>
    <n v="12052.06"/>
    <n v="402742.88"/>
    <n v="499367.38"/>
    <n v="574131.06000000006"/>
    <n v="59641374.43"/>
    <n v="102165911.41"/>
    <n v="153584255.88999999"/>
    <n v="280192799.80000001"/>
    <n v="850420875.77999997"/>
    <n v="7938372.7800000003"/>
    <n v="9297587.5099999998"/>
    <n v="12976277.380000001"/>
    <n v="20777545.309999999"/>
    <n v="42134478.149999999"/>
    <n v="3779807.74"/>
    <n v="8575502.5500000007"/>
    <n v="8282279.1299999999"/>
    <n v="11553578.949999999"/>
    <n v="20051790.600000001"/>
    <n v="6094.35"/>
    <n v="28466.07"/>
    <n v="34525.1"/>
    <n v="72545.14"/>
    <n v="587858.56000000006"/>
    <x v="0"/>
    <x v="0"/>
    <x v="0"/>
    <x v="0"/>
    <x v="0"/>
    <x v="0"/>
    <x v="0"/>
    <x v="0"/>
    <x v="0"/>
    <x v="0"/>
    <n v="4583.46"/>
    <n v="9382.43"/>
    <n v="14368.26"/>
    <n v="29975.21"/>
    <n v="161473.57"/>
    <x v="0"/>
    <x v="0"/>
    <x v="0"/>
    <x v="0"/>
    <x v="0"/>
    <x v="0"/>
    <x v="0"/>
    <x v="0"/>
    <x v="0"/>
    <x v="0"/>
    <n v="520561.97"/>
    <n v="1107507.3899999999"/>
    <n v="1766330.3"/>
    <n v="3468707.79"/>
    <n v="24151869.5"/>
    <n v="6024.01"/>
    <n v="9677.99"/>
    <n v="14111.42"/>
    <n v="25343.25"/>
    <n v="164376.73000000001"/>
    <x v="24"/>
    <n v="2558.1"/>
    <n v="375.47"/>
    <x v="0"/>
    <x v="4"/>
    <x v="0"/>
    <x v="0"/>
    <x v="0"/>
    <x v="0"/>
    <x v="0"/>
    <x v="0"/>
    <x v="0"/>
    <x v="0"/>
    <x v="0"/>
    <x v="0"/>
    <x v="0"/>
    <x v="0"/>
    <x v="0"/>
    <x v="0"/>
    <x v="0"/>
    <x v="0"/>
    <x v="0"/>
    <x v="0"/>
    <x v="0"/>
    <x v="0"/>
    <x v="0"/>
    <x v="0"/>
    <x v="0"/>
    <x v="0"/>
    <x v="0"/>
    <x v="0"/>
    <x v="0"/>
    <n v="293974853.32999998"/>
    <n v="4036240340.29"/>
    <n v="-269834749.12"/>
    <n v="4306075089.4100008"/>
  </r>
  <r>
    <x v="0"/>
    <x v="26"/>
    <x v="26"/>
    <x v="2"/>
    <x v="2"/>
    <n v="2949246.09"/>
    <n v="5534087.3399999999"/>
    <n v="7253331.1100000003"/>
    <n v="13455590.060000001"/>
    <n v="73139607.010000005"/>
    <n v="348377.02"/>
    <n v="354259.51"/>
    <n v="512424.76"/>
    <n v="793095.33"/>
    <n v="3554693.47"/>
    <n v="5258.1"/>
    <n v="329688.09999999998"/>
    <n v="403538.59"/>
    <n v="625164.17000000004"/>
    <n v="748124.59"/>
    <n v="74468197.319999993"/>
    <n v="122684262.87"/>
    <n v="190040178.53999999"/>
    <n v="1757577671.4200001"/>
    <n v="6209849.2699999996"/>
    <n v="8090890.5"/>
    <n v="11086885.720000001"/>
    <n v="70000607.709999993"/>
    <n v="3234919.37"/>
    <n v="6834267.6600000001"/>
    <n v="6149825.9699999997"/>
    <n v="24731738.77"/>
    <n v="3560742.69"/>
    <n v="6398784.7699999996"/>
    <n v="29486632.489999998"/>
    <n v="233879080.61000001"/>
    <n v="295540.07"/>
    <n v="246592.22"/>
    <n v="855397.51"/>
    <n v="5178379.5599999996"/>
    <n v="18566.91"/>
    <n v="387506.62"/>
    <n v="490371.04"/>
    <n v="646212.87"/>
    <n v="57229289.439999998"/>
    <n v="103272400.36"/>
    <n v="152785557.37"/>
    <n v="284297502.94999999"/>
    <n v="847256027.07000005"/>
    <n v="7867661.7400000002"/>
    <n v="9817074.4900000002"/>
    <n v="13397367.970000001"/>
    <n v="21796519.039999999"/>
    <n v="42716830.359999999"/>
    <n v="3410641.24"/>
    <n v="9329430.2899999991"/>
    <n v="8552086.2599999998"/>
    <n v="11951131.23"/>
    <n v="19995076.219999999"/>
    <n v="6786.28"/>
    <n v="28624.15"/>
    <n v="34658.49"/>
    <n v="73318.77"/>
    <n v="580007.18000000005"/>
    <x v="0"/>
    <x v="0"/>
    <x v="0"/>
    <x v="0"/>
    <x v="0"/>
    <x v="0"/>
    <x v="0"/>
    <x v="0"/>
    <x v="0"/>
    <x v="0"/>
    <n v="6948.74"/>
    <n v="13428.12"/>
    <n v="21217.53"/>
    <n v="44451.88"/>
    <n v="202750.97"/>
    <x v="0"/>
    <x v="0"/>
    <x v="0"/>
    <x v="0"/>
    <x v="0"/>
    <x v="0"/>
    <x v="0"/>
    <x v="0"/>
    <x v="0"/>
    <x v="0"/>
    <n v="688575.8"/>
    <n v="1514166.95"/>
    <n v="2221589.5499999998"/>
    <n v="4567294.8099999996"/>
    <n v="30224456.719999999"/>
    <n v="14861.5"/>
    <n v="28062.29"/>
    <n v="43209.77"/>
    <n v="86715.75"/>
    <n v="589047.81000000006"/>
    <x v="25"/>
    <n v="3417.2"/>
    <n v="866.93"/>
    <x v="0"/>
    <x v="4"/>
    <x v="0"/>
    <x v="0"/>
    <x v="0"/>
    <x v="0"/>
    <x v="0"/>
    <x v="0"/>
    <x v="0"/>
    <x v="0"/>
    <x v="0"/>
    <x v="0"/>
    <x v="0"/>
    <x v="0"/>
    <x v="0"/>
    <x v="0"/>
    <x v="0"/>
    <x v="0"/>
    <x v="0"/>
    <x v="0"/>
    <x v="0"/>
    <x v="0"/>
    <x v="0"/>
    <x v="0"/>
    <x v="0"/>
    <x v="0"/>
    <x v="0"/>
    <x v="0"/>
    <x v="0"/>
    <n v="301744935.88"/>
    <n v="4035922165.420001"/>
    <n v="-271327938.5"/>
    <n v="4307250103.9200001"/>
  </r>
  <r>
    <x v="0"/>
    <x v="26"/>
    <x v="26"/>
    <x v="3"/>
    <x v="3"/>
    <n v="3006365.42"/>
    <n v="5377318.8600000003"/>
    <n v="7152992.4100000001"/>
    <n v="13571526.83"/>
    <n v="71003706.489999995"/>
    <n v="361398.88"/>
    <n v="376670.19"/>
    <n v="500753.85"/>
    <n v="832969.41"/>
    <n v="3676352.32"/>
    <n v="36063.39"/>
    <n v="325591.69"/>
    <n v="405844.44"/>
    <n v="642638.89"/>
    <n v="823599.24"/>
    <n v="69770066.010000005"/>
    <n v="125705223.55"/>
    <n v="187927980.75"/>
    <n v="1737943446.77"/>
    <n v="6396018.7000000002"/>
    <n v="8301737.2699999996"/>
    <n v="11310992"/>
    <n v="71930186.530000001"/>
    <n v="3006580.15"/>
    <n v="7606067.6100000003"/>
    <n v="6506564.5800000001"/>
    <n v="25458733.25"/>
    <n v="3625713.53"/>
    <n v="6382887.9100000001"/>
    <n v="29382324.43"/>
    <n v="231918943.05000001"/>
    <n v="304334.11"/>
    <n v="245597.84"/>
    <n v="866034.65"/>
    <n v="5497326.7999999998"/>
    <n v="17988.82"/>
    <n v="154724"/>
    <n v="782268.74"/>
    <n v="800557.94"/>
    <n v="58506562.25"/>
    <n v="103630095.88"/>
    <n v="151268648.81"/>
    <n v="282308575.43000001"/>
    <n v="845970069.51999998"/>
    <n v="8247629.5300000003"/>
    <n v="10107321.02"/>
    <n v="13853081.539999999"/>
    <n v="22635083.989999998"/>
    <n v="44645698.5"/>
    <n v="3700928.83"/>
    <n v="10070547.199999999"/>
    <n v="9097441.4100000001"/>
    <n v="12404598.109999999"/>
    <n v="20659641.739999998"/>
    <n v="21679.79"/>
    <n v="17091.349999999999"/>
    <n v="40267.379999999997"/>
    <n v="85548.38"/>
    <n v="702021.69"/>
    <x v="0"/>
    <x v="0"/>
    <x v="0"/>
    <x v="0"/>
    <x v="0"/>
    <x v="0"/>
    <x v="0"/>
    <x v="0"/>
    <x v="0"/>
    <x v="0"/>
    <n v="7481.11"/>
    <n v="13971.42"/>
    <n v="21410.29"/>
    <n v="44799.49"/>
    <n v="195148.87"/>
    <x v="0"/>
    <x v="0"/>
    <x v="0"/>
    <x v="0"/>
    <x v="0"/>
    <x v="0"/>
    <x v="0"/>
    <x v="0"/>
    <x v="0"/>
    <x v="0"/>
    <n v="883483.21"/>
    <n v="1904320.51"/>
    <n v="2704378.81"/>
    <n v="5645871.6600000001"/>
    <n v="36903492.229999997"/>
    <n v="7066.25"/>
    <n v="10887.54"/>
    <n v="16887.060000000001"/>
    <n v="30313.03"/>
    <n v="156112.13"/>
    <x v="26"/>
    <n v="3634.78"/>
    <n v="1515.01"/>
    <x v="0"/>
    <x v="4"/>
    <x v="0"/>
    <x v="0"/>
    <x v="0"/>
    <x v="0"/>
    <x v="0"/>
    <x v="0"/>
    <x v="0"/>
    <x v="0"/>
    <x v="0"/>
    <x v="0"/>
    <x v="0"/>
    <x v="0"/>
    <x v="0"/>
    <x v="0"/>
    <x v="0"/>
    <x v="0"/>
    <x v="0"/>
    <x v="0"/>
    <x v="0"/>
    <x v="0"/>
    <x v="0"/>
    <x v="0"/>
    <x v="0"/>
    <x v="0"/>
    <x v="0"/>
    <x v="0"/>
    <x v="0"/>
    <n v="312820091.73000002"/>
    <n v="4021032384.29"/>
    <n v="-275458505.29000002"/>
    <n v="4296490889.5799999"/>
  </r>
  <r>
    <x v="0"/>
    <x v="26"/>
    <x v="26"/>
    <x v="4"/>
    <x v="4"/>
    <n v="3075621.05"/>
    <n v="5557859.54"/>
    <n v="7010281.1399999997"/>
    <n v="13770822.560000001"/>
    <n v="70003915.019999996"/>
    <n v="386358.38"/>
    <n v="405743.67"/>
    <n v="470908.2"/>
    <n v="861516.66"/>
    <n v="3763107.47"/>
    <n v="4025.46"/>
    <n v="353622.36"/>
    <n v="320266.11"/>
    <n v="734342.63"/>
    <n v="819219.57"/>
    <n v="71999214.620000005"/>
    <n v="121709784.48999999"/>
    <n v="189323875.36000001"/>
    <n v="1729864512.73"/>
    <n v="6631785.5599999996"/>
    <n v="8120337.5599999996"/>
    <n v="11501439.32"/>
    <n v="72602009.370000005"/>
    <n v="2855433.45"/>
    <n v="7324116.75"/>
    <n v="6989726.1600000001"/>
    <n v="26626033.829999998"/>
    <n v="3573945.8"/>
    <n v="6339777.54"/>
    <n v="29394046.829999998"/>
    <n v="231106721.06999999"/>
    <n v="321136.78000000003"/>
    <n v="244214.46"/>
    <n v="895033"/>
    <n v="5751181.3099999996"/>
    <n v="19409.27"/>
    <n v="149129.91"/>
    <n v="817083.26"/>
    <n v="791940.85"/>
    <n v="57971944.100000001"/>
    <n v="102431292.54000001"/>
    <n v="151626449.97"/>
    <n v="282889957.88999999"/>
    <n v="845976678.04999995"/>
    <n v="8421430.6199999992"/>
    <n v="10172531.07"/>
    <n v="14149705.34"/>
    <n v="23404174.949999999"/>
    <n v="46996398.710000001"/>
    <n v="3683371.8"/>
    <n v="9751371.3399999999"/>
    <n v="9676509.8300000001"/>
    <n v="13197592.689999999"/>
    <n v="21872995.280000001"/>
    <n v="8136.52"/>
    <n v="41311.910000000003"/>
    <n v="60083.18"/>
    <n v="126738.34"/>
    <n v="1108658.8500000001"/>
    <x v="0"/>
    <x v="0"/>
    <x v="0"/>
    <x v="0"/>
    <x v="0"/>
    <x v="0"/>
    <x v="0"/>
    <x v="0"/>
    <x v="0"/>
    <x v="0"/>
    <n v="8210.7199999999993"/>
    <n v="18697.189999999999"/>
    <n v="30459.82"/>
    <n v="63927.99"/>
    <n v="331037.67"/>
    <x v="0"/>
    <x v="0"/>
    <x v="0"/>
    <x v="0"/>
    <x v="0"/>
    <x v="0"/>
    <x v="0"/>
    <x v="0"/>
    <x v="0"/>
    <x v="0"/>
    <n v="1096708.42"/>
    <n v="2149302.87"/>
    <n v="3221733.1"/>
    <n v="6874759.4500000002"/>
    <n v="43859732.710000001"/>
    <n v="14678.94"/>
    <n v="11574.54"/>
    <n v="17310.759999999998"/>
    <n v="28231.18"/>
    <n v="139656"/>
    <x v="27"/>
    <n v="3628.02"/>
    <n v="1696.47"/>
    <x v="13"/>
    <x v="4"/>
    <x v="0"/>
    <x v="0"/>
    <x v="0"/>
    <x v="0"/>
    <x v="0"/>
    <x v="0"/>
    <x v="0"/>
    <x v="0"/>
    <x v="0"/>
    <x v="0"/>
    <x v="0"/>
    <x v="0"/>
    <x v="0"/>
    <x v="0"/>
    <x v="0"/>
    <x v="0"/>
    <x v="0"/>
    <x v="0"/>
    <x v="0"/>
    <x v="0"/>
    <x v="0"/>
    <x v="0"/>
    <x v="0"/>
    <x v="0"/>
    <x v="0"/>
    <x v="0"/>
    <x v="0"/>
    <n v="321307046.29000002"/>
    <n v="4021324609.650001"/>
    <n v="-282647092.86000001"/>
    <n v="4303971702.5100002"/>
  </r>
  <r>
    <x v="0"/>
    <x v="26"/>
    <x v="26"/>
    <x v="5"/>
    <x v="5"/>
    <n v="3083512.41"/>
    <n v="5506314.1900000004"/>
    <n v="6993525.0199999996"/>
    <n v="13390843.699999999"/>
    <n v="69765530.129999995"/>
    <n v="336708.28"/>
    <n v="364270.18"/>
    <n v="448891.79"/>
    <n v="775870.47"/>
    <n v="3214716.3"/>
    <n v="21543.56"/>
    <n v="339996.29"/>
    <n v="284181.67"/>
    <n v="681485.11"/>
    <n v="793821.22"/>
    <n v="69677228.920000002"/>
    <n v="125609176.12"/>
    <n v="189873671.94999999"/>
    <n v="1736366479.5899999"/>
    <n v="6237956.3600000003"/>
    <n v="7525194.1399999997"/>
    <n v="10428483.689999999"/>
    <n v="66104796.210000001"/>
    <n v="2588210.56"/>
    <n v="6832795.1399999997"/>
    <n v="6787336.0300000003"/>
    <n v="25934497.420000002"/>
    <n v="3663041.78"/>
    <n v="6318482.0599999996"/>
    <n v="29493092.850000001"/>
    <n v="231872281.44"/>
    <n v="312835.18"/>
    <n v="244347.6"/>
    <n v="884122.68"/>
    <n v="5505136.0700000003"/>
    <n v="9052.35"/>
    <n v="138247.1"/>
    <n v="840855.23"/>
    <n v="770297.78"/>
    <n v="58631201.869999997"/>
    <n v="102817652.09"/>
    <n v="155146572.75999999"/>
    <n v="283461318.05000001"/>
    <n v="860262534.35000002"/>
    <n v="8136492.6299999999"/>
    <n v="9519047.0199999996"/>
    <n v="13056588.939999999"/>
    <n v="20990725.510000002"/>
    <n v="42069999.200000003"/>
    <n v="3000351.54"/>
    <n v="9519637.6799999997"/>
    <n v="9648016.2599999998"/>
    <n v="12893921.24"/>
    <n v="21591878.170000002"/>
    <n v="12930.38"/>
    <n v="54022.41"/>
    <n v="79550.03"/>
    <n v="166278.78"/>
    <n v="1444010.68"/>
    <x v="0"/>
    <x v="0"/>
    <x v="0"/>
    <x v="0"/>
    <x v="0"/>
    <x v="0"/>
    <x v="0"/>
    <x v="0"/>
    <x v="0"/>
    <x v="0"/>
    <n v="10398.51"/>
    <n v="25855.77"/>
    <n v="40641.97"/>
    <n v="84781.43"/>
    <n v="442239.68"/>
    <x v="0"/>
    <x v="0"/>
    <x v="0"/>
    <x v="0"/>
    <x v="0"/>
    <x v="0"/>
    <x v="0"/>
    <x v="0"/>
    <x v="0"/>
    <x v="0"/>
    <n v="1219043.26"/>
    <n v="2435228.5299999998"/>
    <n v="3852124.18"/>
    <n v="7944005.7800000003"/>
    <n v="50477500.030000001"/>
    <n v="13879.76"/>
    <n v="8597.11"/>
    <n v="12342.83"/>
    <n v="23403.84"/>
    <n v="133670.38"/>
    <x v="28"/>
    <n v="4132.1099999999997"/>
    <n v="2311.91"/>
    <x v="14"/>
    <x v="5"/>
    <x v="0"/>
    <x v="0"/>
    <x v="0"/>
    <x v="0"/>
    <x v="0"/>
    <x v="0"/>
    <x v="0"/>
    <x v="0"/>
    <x v="0"/>
    <x v="0"/>
    <x v="0"/>
    <x v="0"/>
    <x v="0"/>
    <x v="0"/>
    <x v="0"/>
    <x v="0"/>
    <x v="0"/>
    <x v="0"/>
    <x v="0"/>
    <x v="0"/>
    <x v="0"/>
    <x v="0"/>
    <x v="0"/>
    <x v="0"/>
    <x v="0"/>
    <x v="0"/>
    <x v="0"/>
    <n v="299033358.12"/>
    <n v="4039999581.8800001"/>
    <n v="-279292700.83999997"/>
    <n v="4319292282.7199993"/>
  </r>
  <r>
    <x v="0"/>
    <x v="26"/>
    <x v="26"/>
    <x v="6"/>
    <x v="6"/>
    <n v="3111593.68"/>
    <n v="5225947.26"/>
    <n v="6891171.3099999996"/>
    <n v="13235906.25"/>
    <n v="68142531.209999993"/>
    <n v="409864.35"/>
    <n v="351776.55"/>
    <n v="494316.68"/>
    <n v="876143.76"/>
    <n v="3604867.38"/>
    <n v="13273.5"/>
    <n v="332432.7"/>
    <n v="316048.65999999997"/>
    <n v="649164.06000000006"/>
    <n v="810174.25"/>
    <n v="71902612.069999993"/>
    <n v="127212703.87"/>
    <n v="192121932.97"/>
    <n v="1755688743.3099999"/>
    <n v="6491587.4400000004"/>
    <n v="6168440.8600000003"/>
    <n v="8363205.6200000001"/>
    <n v="50610645.549999997"/>
    <n v="846766.75"/>
    <n v="6561244.6500000004"/>
    <n v="7265191.0599999996"/>
    <n v="26816042.739999998"/>
    <n v="3538481.22"/>
    <n v="6404598.21"/>
    <n v="29507289.16"/>
    <n v="231773734.59"/>
    <n v="319208.26"/>
    <n v="259523.07"/>
    <n v="903939.32"/>
    <n v="5560493.75"/>
    <n v="17903"/>
    <n v="124938.85"/>
    <n v="845855.27"/>
    <n v="764979.38"/>
    <n v="61915049.82"/>
    <n v="105352764.90000001"/>
    <n v="157325316.66999999"/>
    <n v="289213153.88"/>
    <n v="865049451.82000005"/>
    <n v="9321461.2300000004"/>
    <n v="8583353.9199999999"/>
    <n v="11229042.58"/>
    <n v="18063436.890000001"/>
    <n v="32790029.829999998"/>
    <n v="1180198.19"/>
    <n v="9335600.2799999993"/>
    <n v="10763899.890000001"/>
    <n v="13671176.1"/>
    <n v="22746311.859999999"/>
    <n v="32946.160000000003"/>
    <n v="42075.81"/>
    <n v="80149.55"/>
    <n v="167801.14"/>
    <n v="1420889.24"/>
    <x v="0"/>
    <x v="0"/>
    <x v="0"/>
    <x v="0"/>
    <x v="0"/>
    <x v="0"/>
    <x v="0"/>
    <x v="0"/>
    <x v="0"/>
    <x v="0"/>
    <n v="13490.83"/>
    <n v="29262.720000000001"/>
    <n v="42757.279999999999"/>
    <n v="93541.47"/>
    <n v="421393.89"/>
    <x v="0"/>
    <x v="0"/>
    <x v="0"/>
    <x v="0"/>
    <x v="0"/>
    <x v="0"/>
    <x v="0"/>
    <x v="0"/>
    <x v="0"/>
    <x v="0"/>
    <n v="1369166.47"/>
    <n v="2775078.8"/>
    <n v="4417229.1399999997"/>
    <n v="9094953.8100000005"/>
    <n v="56832516.649999999"/>
    <n v="6675.27"/>
    <n v="7556.92"/>
    <n v="10341.75"/>
    <n v="20153.59"/>
    <n v="85325.67"/>
    <x v="0"/>
    <n v="12414.08"/>
    <n v="3543.44"/>
    <x v="21"/>
    <x v="5"/>
    <x v="0"/>
    <x v="0"/>
    <x v="0"/>
    <x v="0"/>
    <x v="0"/>
    <x v="0"/>
    <x v="0"/>
    <x v="0"/>
    <x v="0"/>
    <x v="0"/>
    <x v="0"/>
    <x v="0"/>
    <x v="0"/>
    <x v="0"/>
    <x v="0"/>
    <x v="0"/>
    <x v="0"/>
    <x v="0"/>
    <x v="0"/>
    <x v="0"/>
    <x v="0"/>
    <x v="0"/>
    <x v="0"/>
    <x v="0"/>
    <x v="0"/>
    <x v="0"/>
    <x v="0"/>
    <n v="267609658.59"/>
    <n v="4052817610.4099998"/>
    <n v="-285292856.5"/>
    <n v="4338110466.9100008"/>
  </r>
  <r>
    <x v="0"/>
    <x v="26"/>
    <x v="26"/>
    <x v="7"/>
    <x v="7"/>
    <n v="3168849.05"/>
    <n v="5369888.1299999999"/>
    <n v="6734247.4900000002"/>
    <n v="13205589.6"/>
    <n v="66432471.609999999"/>
    <n v="428440.22"/>
    <n v="387619.52"/>
    <n v="532131.51"/>
    <n v="954230.12"/>
    <n v="4159949.27"/>
    <n v="4793.2299999999996"/>
    <n v="411336.53"/>
    <n v="332824.86"/>
    <n v="611724.64"/>
    <n v="889930.3"/>
    <n v="74411074.120000005"/>
    <n v="124241235.28"/>
    <n v="193315370.08000001"/>
    <n v="1765042795.97"/>
    <n v="7021775.2999999998"/>
    <n v="6134950.21"/>
    <n v="8291835.5599999996"/>
    <n v="49497148.170000002"/>
    <n v="612727.93000000005"/>
    <n v="6539874.8200000003"/>
    <n v="6808043.4400000004"/>
    <n v="28048363.789999999"/>
    <n v="3603194.73"/>
    <n v="6370400.2000000002"/>
    <n v="29632995.77"/>
    <n v="232812370.03"/>
    <n v="311710.84999999998"/>
    <n v="243043.16"/>
    <n v="857498.55"/>
    <n v="5289921"/>
    <n v="8586.2999999999993"/>
    <n v="118963.37"/>
    <n v="874237.49"/>
    <n v="794683.68"/>
    <n v="60904756.509999998"/>
    <n v="105123856.09999999"/>
    <n v="155692485.75999999"/>
    <n v="289006821.31999999"/>
    <n v="864597756.44000006"/>
    <n v="9775906.0500000007"/>
    <n v="8701511.5199999996"/>
    <n v="11548285.779999999"/>
    <n v="18669654.050000001"/>
    <n v="34753637.710000001"/>
    <n v="937580.13"/>
    <n v="10062457.32"/>
    <n v="10715315.51"/>
    <n v="14715632.029999999"/>
    <n v="23144176.57"/>
    <n v="21076.25"/>
    <n v="57350.5"/>
    <n v="80857.33"/>
    <n v="170243.45"/>
    <n v="1381388.21"/>
    <x v="0"/>
    <x v="0"/>
    <x v="0"/>
    <x v="0"/>
    <x v="0"/>
    <x v="0"/>
    <x v="0"/>
    <x v="0"/>
    <x v="0"/>
    <x v="0"/>
    <n v="15724.07"/>
    <n v="30053.33"/>
    <n v="46637.58"/>
    <n v="96709.36"/>
    <n v="450332.89"/>
    <x v="0"/>
    <x v="0"/>
    <x v="0"/>
    <x v="0"/>
    <x v="0"/>
    <x v="0"/>
    <x v="0"/>
    <x v="0"/>
    <x v="0"/>
    <x v="0"/>
    <n v="1567703.66"/>
    <n v="3207133.51"/>
    <n v="5025024.75"/>
    <n v="10401725.25"/>
    <n v="64070590.520000003"/>
    <n v="5733.26"/>
    <n v="6442.17"/>
    <n v="8637.9599999999991"/>
    <n v="16316.7"/>
    <n v="64150.07"/>
    <x v="0"/>
    <n v="11631.53"/>
    <n v="3419.47"/>
    <x v="22"/>
    <x v="6"/>
    <x v="0"/>
    <x v="0"/>
    <x v="0"/>
    <x v="0"/>
    <x v="0"/>
    <x v="0"/>
    <x v="0"/>
    <x v="0"/>
    <x v="0"/>
    <x v="0"/>
    <x v="0"/>
    <x v="0"/>
    <x v="0"/>
    <x v="0"/>
    <x v="0"/>
    <x v="0"/>
    <x v="0"/>
    <x v="0"/>
    <x v="0"/>
    <x v="0"/>
    <x v="0"/>
    <x v="0"/>
    <x v="0"/>
    <x v="0"/>
    <x v="0"/>
    <x v="0"/>
    <x v="0"/>
    <n v="273308582.61000001"/>
    <n v="4069053842.8000011"/>
    <n v="-290605629.47000003"/>
    <n v="4359659472.2700014"/>
  </r>
  <r>
    <x v="0"/>
    <x v="26"/>
    <x v="26"/>
    <x v="8"/>
    <x v="8"/>
    <n v="3041370.66"/>
    <n v="5581183.5899999999"/>
    <n v="6823088.4299999997"/>
    <n v="13009709.949999999"/>
    <n v="66286522.759999998"/>
    <n v="374924.06"/>
    <n v="380212.78"/>
    <n v="512123.14"/>
    <n v="961561.23"/>
    <n v="3859022.83"/>
    <n v="82373.58"/>
    <n v="430535.95"/>
    <n v="352687.47"/>
    <n v="499078.22"/>
    <n v="930207.82"/>
    <n v="70829095.150000006"/>
    <n v="130162030.08"/>
    <n v="197052725.59999999"/>
    <n v="1772004030.1200011"/>
    <n v="6918949.8200000003"/>
    <n v="5858943.4800000004"/>
    <n v="8026110.5300000003"/>
    <n v="46679510.090000004"/>
    <n v="558787.15"/>
    <n v="6241907.75"/>
    <n v="6862765.9100000001"/>
    <n v="27505223.920000002"/>
    <n v="3546668.46"/>
    <n v="6460995.25"/>
    <n v="29593217.100000001"/>
    <n v="233426745.58000001"/>
    <n v="313438.42"/>
    <n v="255963.17"/>
    <n v="903277.02"/>
    <n v="5330592.21"/>
    <n v="38954.03"/>
    <n v="121120.79"/>
    <n v="869506.39"/>
    <n v="782578.17"/>
    <n v="60393881.289999999"/>
    <n v="107224085.61"/>
    <n v="157862905.13999999"/>
    <n v="284100458.47000003"/>
    <n v="867268180.08000004"/>
    <n v="9512431.9199999999"/>
    <n v="8547311.0800000001"/>
    <n v="11337023.84"/>
    <n v="17672307.370000001"/>
    <n v="33570364.299999997"/>
    <n v="699049.51"/>
    <n v="9601971.5700000003"/>
    <n v="10557630.1"/>
    <n v="14344005.01"/>
    <n v="22594367.960000001"/>
    <n v="20999.56"/>
    <n v="60313.48"/>
    <n v="86039.4"/>
    <n v="178128.21"/>
    <n v="1441858.84"/>
    <x v="0"/>
    <x v="0"/>
    <x v="0"/>
    <x v="0"/>
    <x v="0"/>
    <x v="0"/>
    <x v="0"/>
    <x v="0"/>
    <x v="0"/>
    <x v="0"/>
    <n v="17199.02"/>
    <n v="30624.85"/>
    <n v="47420.81"/>
    <n v="95566.61"/>
    <n v="435209.22"/>
    <x v="0"/>
    <x v="0"/>
    <x v="0"/>
    <x v="0"/>
    <x v="0"/>
    <x v="0"/>
    <x v="0"/>
    <x v="0"/>
    <x v="0"/>
    <x v="0"/>
    <n v="1720394.44"/>
    <n v="3661308.23"/>
    <n v="5673859.8700000001"/>
    <n v="11524439.73"/>
    <n v="70362233.280000001"/>
    <n v="14126.25"/>
    <n v="14266.33"/>
    <n v="20981.4"/>
    <n v="40237.019999999997"/>
    <n v="142588.51"/>
    <x v="0"/>
    <n v="8055.97"/>
    <n v="11340.48"/>
    <x v="23"/>
    <x v="7"/>
    <x v="0"/>
    <x v="0"/>
    <x v="0"/>
    <x v="0"/>
    <x v="0"/>
    <x v="0"/>
    <x v="0"/>
    <x v="0"/>
    <x v="0"/>
    <x v="0"/>
    <x v="0"/>
    <x v="0"/>
    <x v="0"/>
    <x v="0"/>
    <x v="0"/>
    <x v="0"/>
    <x v="0"/>
    <x v="0"/>
    <x v="0"/>
    <x v="0"/>
    <x v="0"/>
    <x v="0"/>
    <x v="0"/>
    <x v="0"/>
    <x v="0"/>
    <x v="0"/>
    <x v="0"/>
    <n v="264341080.05000001"/>
    <n v="4082525327.2900009"/>
    <n v="-291922711.38999999"/>
    <n v="4374448038.6800013"/>
  </r>
  <r>
    <x v="0"/>
    <x v="26"/>
    <x v="26"/>
    <x v="9"/>
    <x v="9"/>
    <n v="3175962.67"/>
    <n v="5289092.8899999997"/>
    <n v="7229242.8499999996"/>
    <n v="12306663.17"/>
    <n v="64849466.079999998"/>
    <n v="397017.56"/>
    <n v="394271.4"/>
    <n v="543024.11"/>
    <n v="1012042.48"/>
    <n v="4055246.51"/>
    <n v="130432"/>
    <n v="409763.02"/>
    <n v="342653.2"/>
    <n v="538242.36"/>
    <n v="947392.4"/>
    <n v="75220487.650000006"/>
    <n v="125985729.40000001"/>
    <n v="197745262.43000001"/>
    <n v="1778581035.1700001"/>
    <n v="7301843.5599999996"/>
    <n v="5881092.1299999999"/>
    <n v="8277490.0899999999"/>
    <n v="46594518.149999999"/>
    <n v="529293.82999999996"/>
    <n v="6274972.8300000001"/>
    <n v="6914317.2000000002"/>
    <n v="27994532.370000001"/>
    <n v="3557194.67"/>
    <n v="6327183.7699999996"/>
    <n v="29553845.359999999"/>
    <n v="233164574.03999999"/>
    <n v="352260.84"/>
    <n v="275107.82"/>
    <n v="999525.33"/>
    <n v="6004829.4800000004"/>
    <n v="20129.96"/>
    <n v="152250.62"/>
    <n v="910675.59"/>
    <n v="851236.91"/>
    <n v="61715398.530000001"/>
    <n v="104554801.61"/>
    <n v="157508106.25999999"/>
    <n v="284218899.39999998"/>
    <n v="868057146.82000005"/>
    <n v="9733585.75"/>
    <n v="8542381.4700000007"/>
    <n v="11508091.25"/>
    <n v="17872111.969999999"/>
    <n v="33781972.159999996"/>
    <n v="542043.07999999996"/>
    <n v="9457430.4900000002"/>
    <n v="11034939.83"/>
    <n v="15114075.710000001"/>
    <n v="23283622.289999999"/>
    <n v="37896.01"/>
    <n v="47845.74"/>
    <n v="89154.44"/>
    <n v="185556.5"/>
    <n v="1475887.24"/>
    <x v="0"/>
    <x v="0"/>
    <x v="0"/>
    <x v="0"/>
    <x v="0"/>
    <x v="0"/>
    <x v="0"/>
    <x v="0"/>
    <x v="0"/>
    <x v="0"/>
    <n v="17308.080000000002"/>
    <n v="30046.35"/>
    <n v="46927.53"/>
    <n v="92484.85"/>
    <n v="424519.51"/>
    <x v="0"/>
    <x v="0"/>
    <x v="0"/>
    <x v="0"/>
    <x v="0"/>
    <x v="0"/>
    <x v="0"/>
    <x v="0"/>
    <x v="0"/>
    <x v="0"/>
    <n v="2045200.76"/>
    <n v="3970423.73"/>
    <n v="6254582.2999999998"/>
    <n v="12728793.01"/>
    <n v="76636643.349999994"/>
    <n v="13971.52"/>
    <n v="13279.69"/>
    <n v="20842.560000000001"/>
    <n v="37016.29"/>
    <n v="152142.47"/>
    <x v="0"/>
    <n v="8717.23"/>
    <n v="12080.61"/>
    <x v="24"/>
    <x v="11"/>
    <x v="0"/>
    <x v="0"/>
    <x v="0"/>
    <x v="0"/>
    <x v="0"/>
    <x v="0"/>
    <x v="0"/>
    <x v="0"/>
    <x v="0"/>
    <x v="0"/>
    <x v="0"/>
    <x v="0"/>
    <x v="0"/>
    <x v="0"/>
    <x v="0"/>
    <x v="0"/>
    <x v="0"/>
    <x v="0"/>
    <x v="0"/>
    <x v="0"/>
    <x v="0"/>
    <x v="0"/>
    <x v="0"/>
    <x v="0"/>
    <x v="0"/>
    <x v="0"/>
    <x v="0"/>
    <n v="269236145.73000002"/>
    <n v="4095006963.6199999"/>
    <n v="-297437734.97000003"/>
    <n v="4392444698.5900002"/>
  </r>
  <r>
    <x v="0"/>
    <x v="26"/>
    <x v="26"/>
    <x v="10"/>
    <x v="10"/>
    <n v="3043282.16"/>
    <n v="5147856.2300000004"/>
    <n v="7497352.1900000004"/>
    <n v="12258867.210000001"/>
    <n v="64230848.460000001"/>
    <n v="430855.42"/>
    <n v="409403.6"/>
    <n v="588679.19999999995"/>
    <n v="1060959.96"/>
    <n v="4541738.2300000004"/>
    <n v="12906.87"/>
    <n v="532147.17000000004"/>
    <n v="341501.44"/>
    <n v="486903.14"/>
    <n v="1049610.94"/>
    <n v="73275886"/>
    <n v="138291755.36000001"/>
    <n v="189776453.99000001"/>
    <n v="1783713648.8300011"/>
    <n v="6913036.0300000003"/>
    <n v="6180805.8499999996"/>
    <n v="7871410.6799999997"/>
    <n v="45311907.039999999"/>
    <n v="618202.22"/>
    <n v="6465275.2400000002"/>
    <n v="6847894.7400000002"/>
    <n v="28250171.989999998"/>
    <n v="3662406.5"/>
    <n v="6439762.5599999996"/>
    <n v="29477243.91"/>
    <n v="234093728.25"/>
    <n v="315422.84000000003"/>
    <n v="260864.16"/>
    <n v="887342.55"/>
    <n v="5762425.0800000001"/>
    <n v="35563.01"/>
    <n v="154107.01"/>
    <n v="897487.89"/>
    <n v="892108.85"/>
    <n v="62161488.229999997"/>
    <n v="107236973.88"/>
    <n v="153367702.50999999"/>
    <n v="282048635.41000003"/>
    <n v="868571208.13"/>
    <n v="9545623.3900000006"/>
    <n v="8632615.7100000009"/>
    <n v="11082353.460000001"/>
    <n v="17369454.23"/>
    <n v="32904610.899999999"/>
    <n v="628048.31000000006"/>
    <n v="9596666.1400000006"/>
    <n v="11235770.07"/>
    <n v="15211619.310000001"/>
    <n v="24273149.48"/>
    <n v="24279.7"/>
    <n v="66610.8"/>
    <n v="97832.93"/>
    <n v="201448.65"/>
    <n v="1537271.84"/>
    <x v="0"/>
    <x v="0"/>
    <x v="0"/>
    <x v="0"/>
    <x v="0"/>
    <x v="0"/>
    <x v="0"/>
    <x v="0"/>
    <x v="0"/>
    <x v="0"/>
    <n v="18012.46"/>
    <n v="32707.200000000001"/>
    <n v="49636.15"/>
    <n v="96166.03"/>
    <n v="434537.19"/>
    <x v="0"/>
    <x v="0"/>
    <x v="0"/>
    <x v="0"/>
    <x v="0"/>
    <x v="0"/>
    <x v="0"/>
    <x v="0"/>
    <x v="0"/>
    <x v="0"/>
    <n v="2257280.41"/>
    <n v="4477212.07"/>
    <n v="6829916.5599999996"/>
    <n v="14063554.369999999"/>
    <n v="84206768.950000003"/>
    <n v="17909.189999999999"/>
    <n v="17422.7"/>
    <n v="25575.62"/>
    <n v="45390.080000000002"/>
    <n v="198400.95"/>
    <x v="0"/>
    <n v="12045.79"/>
    <n v="13114.44"/>
    <x v="25"/>
    <x v="12"/>
    <x v="0"/>
    <x v="0"/>
    <x v="0"/>
    <x v="0"/>
    <x v="0"/>
    <x v="0"/>
    <x v="0"/>
    <x v="0"/>
    <x v="0"/>
    <x v="0"/>
    <x v="0"/>
    <x v="0"/>
    <x v="0"/>
    <x v="0"/>
    <x v="0"/>
    <x v="0"/>
    <x v="0"/>
    <x v="0"/>
    <x v="0"/>
    <x v="0"/>
    <x v="0"/>
    <x v="0"/>
    <x v="0"/>
    <x v="0"/>
    <x v="0"/>
    <x v="0"/>
    <x v="0"/>
    <n v="267933363.81999999"/>
    <n v="4105381937.1199989"/>
    <n v="-301339685.72000003"/>
    <n v="4406721622.8399992"/>
  </r>
  <r>
    <x v="0"/>
    <x v="26"/>
    <x v="26"/>
    <x v="11"/>
    <x v="11"/>
    <n v="2851742.47"/>
    <n v="5337900.25"/>
    <n v="7499526.29"/>
    <n v="12518102.08"/>
    <n v="64866457.979999997"/>
    <n v="353370.6"/>
    <n v="325982.15999999997"/>
    <n v="480517.88"/>
    <n v="863028.77"/>
    <n v="3310124.53"/>
    <n v="32124.15"/>
    <n v="374914.49"/>
    <n v="389439.15"/>
    <n v="478012.65"/>
    <n v="1002165.71"/>
    <n v="71549787.5"/>
    <n v="140369122.13999999"/>
    <n v="188579941"/>
    <n v="1794175044.29"/>
    <n v="5506415.96"/>
    <n v="5464365.71"/>
    <n v="6461772.3099999996"/>
    <n v="35775325.75"/>
    <n v="746347.73"/>
    <n v="5980224.0800000001"/>
    <n v="6826438.6100000003"/>
    <n v="28037823.879999999"/>
    <n v="3483178.43"/>
    <n v="6770560.9400000004"/>
    <n v="29551278.809999999"/>
    <n v="235881053.50999999"/>
    <n v="274440.32000000001"/>
    <n v="228317.51"/>
    <n v="786400.48"/>
    <n v="4897195.66"/>
    <n v="43486.11"/>
    <n v="141151.03"/>
    <n v="923100.39"/>
    <n v="857943.03"/>
    <n v="60652684.670000002"/>
    <n v="108699215.08"/>
    <n v="151617308.36000001"/>
    <n v="283958103.06999999"/>
    <n v="866350326.70000005"/>
    <n v="8265279.4900000002"/>
    <n v="7680699.7599999998"/>
    <n v="9390942.9299999997"/>
    <n v="14861052.529999999"/>
    <n v="26600962.359999999"/>
    <n v="836886.98"/>
    <n v="8572743.5700000003"/>
    <n v="11073114.18"/>
    <n v="15398557.6"/>
    <n v="23905300.98"/>
    <n v="25347"/>
    <n v="79599.759999999995"/>
    <n v="115199.42"/>
    <n v="241667.96"/>
    <n v="1854878.25"/>
    <x v="0"/>
    <x v="0"/>
    <x v="0"/>
    <x v="0"/>
    <x v="0"/>
    <x v="0"/>
    <x v="0"/>
    <x v="0"/>
    <x v="0"/>
    <x v="0"/>
    <n v="18080.62"/>
    <n v="33418.980000000003"/>
    <n v="49498.83"/>
    <n v="95056.59"/>
    <n v="418961.53"/>
    <x v="0"/>
    <x v="0"/>
    <x v="0"/>
    <x v="0"/>
    <x v="0"/>
    <x v="0"/>
    <x v="0"/>
    <x v="0"/>
    <x v="0"/>
    <x v="0"/>
    <n v="2399710.86"/>
    <n v="4944302.49"/>
    <n v="7362507.0599999996"/>
    <n v="15424396.300000001"/>
    <n v="91168585.400000006"/>
    <n v="29218.54"/>
    <n v="30315.4"/>
    <n v="42645.86"/>
    <n v="80580.69"/>
    <n v="399300.08"/>
    <x v="0"/>
    <n v="16816.62"/>
    <n v="6890.59"/>
    <x v="26"/>
    <x v="13"/>
    <x v="0"/>
    <x v="0"/>
    <x v="0"/>
    <x v="0"/>
    <x v="0"/>
    <x v="0"/>
    <x v="0"/>
    <x v="0"/>
    <x v="0"/>
    <x v="0"/>
    <x v="0"/>
    <x v="0"/>
    <x v="0"/>
    <x v="0"/>
    <x v="0"/>
    <x v="0"/>
    <x v="0"/>
    <x v="0"/>
    <x v="0"/>
    <x v="0"/>
    <x v="0"/>
    <x v="0"/>
    <x v="0"/>
    <x v="0"/>
    <x v="0"/>
    <x v="0"/>
    <x v="0"/>
    <n v="237767278.84"/>
    <n v="4097474671.3699999"/>
    <n v="-299331025.31"/>
    <n v="4396805696.6800003"/>
  </r>
  <r>
    <x v="0"/>
    <x v="27"/>
    <x v="27"/>
    <x v="0"/>
    <x v="0"/>
    <n v="11632183.77"/>
    <n v="16029863.140000001"/>
    <n v="22385923.34"/>
    <n v="36016793.75"/>
    <n v="79235756.230000004"/>
    <n v="362532.4"/>
    <n v="387854.37"/>
    <n v="503637.21"/>
    <n v="820116.73"/>
    <n v="3218261.73"/>
    <n v="21905.02"/>
    <n v="435212.31"/>
    <n v="508362.63"/>
    <n v="539071.27"/>
    <n v="713347.1"/>
    <n v="76674578.530000001"/>
    <n v="132688444.48999999"/>
    <n v="183905351.91"/>
    <n v="1789374799.25"/>
    <n v="6176965.4299999997"/>
    <n v="7558784.71"/>
    <n v="10073892.91"/>
    <n v="65563929.409999996"/>
    <n v="2665570.7200000002"/>
    <n v="6381679.6799999997"/>
    <n v="5907918.9199999999"/>
    <n v="23665813.989999998"/>
    <n v="3719944.3"/>
    <n v="6473723.9199999999"/>
    <n v="29458788.48"/>
    <n v="236031570.94"/>
    <n v="290865.08"/>
    <n v="227562.29"/>
    <n v="826672.97"/>
    <n v="5274944.26"/>
    <n v="269743.35999999999"/>
    <n v="135944.1"/>
    <n v="500735.4"/>
    <n v="566544.34"/>
    <n v="61055527.189999998"/>
    <n v="104031756.31999999"/>
    <n v="152338001.66"/>
    <n v="281184315.11000001"/>
    <n v="852759777.20000005"/>
    <n v="7682561.5899999999"/>
    <n v="9484862.0500000007"/>
    <n v="12762813.310000001"/>
    <n v="20486048.609999999"/>
    <n v="40587362.810000002"/>
    <n v="3151267.43"/>
    <n v="8511294.2100000009"/>
    <n v="7850904.5199999996"/>
    <n v="11191743.25"/>
    <n v="19574417.449999999"/>
    <n v="510.78"/>
    <n v="8723.6299999999992"/>
    <n v="14420.67"/>
    <n v="29988.880000000001"/>
    <n v="236356.04"/>
    <x v="0"/>
    <x v="0"/>
    <x v="0"/>
    <x v="0"/>
    <x v="0"/>
    <x v="0"/>
    <x v="0"/>
    <x v="0"/>
    <x v="0"/>
    <x v="0"/>
    <n v="2962.23"/>
    <n v="8336.31"/>
    <n v="12658"/>
    <n v="27159.16"/>
    <n v="139184.24"/>
    <x v="0"/>
    <x v="0"/>
    <x v="0"/>
    <x v="0"/>
    <x v="0"/>
    <x v="0"/>
    <x v="0"/>
    <x v="0"/>
    <x v="0"/>
    <x v="0"/>
    <n v="420070.14"/>
    <n v="817733.98"/>
    <n v="1340371.53"/>
    <n v="2713006.48"/>
    <n v="18888950.789999999"/>
    <n v="4855.34"/>
    <n v="7082.12"/>
    <n v="10468.42"/>
    <n v="17798.810000000001"/>
    <n v="123085.62"/>
    <x v="23"/>
    <n v="1701.87"/>
    <n v="562.45000000000005"/>
    <x v="0"/>
    <x v="4"/>
    <x v="0"/>
    <x v="0"/>
    <x v="0"/>
    <x v="0"/>
    <x v="0"/>
    <x v="0"/>
    <x v="0"/>
    <x v="0"/>
    <x v="0"/>
    <x v="0"/>
    <x v="0"/>
    <x v="0"/>
    <x v="0"/>
    <x v="0"/>
    <x v="0"/>
    <x v="0"/>
    <x v="0"/>
    <x v="0"/>
    <x v="0"/>
    <x v="0"/>
    <x v="0"/>
    <x v="0"/>
    <x v="0"/>
    <x v="0"/>
    <x v="0"/>
    <x v="0"/>
    <x v="0"/>
    <n v="285049497.64999998"/>
    <n v="4118316986.4599991"/>
    <n v="-266390043.58000001"/>
    <n v="4384707030.039999"/>
  </r>
  <r>
    <x v="0"/>
    <x v="27"/>
    <x v="27"/>
    <x v="1"/>
    <x v="1"/>
    <n v="10283506.48"/>
    <n v="15977070.41"/>
    <n v="21370330.620000001"/>
    <n v="32915736.23"/>
    <n v="76492099.530000001"/>
    <n v="372283.45"/>
    <n v="412307.32"/>
    <n v="525980.18000000005"/>
    <n v="766003.85"/>
    <n v="3287954.61"/>
    <n v="17442.400000000001"/>
    <n v="387878.86"/>
    <n v="534232.98"/>
    <n v="651175.51"/>
    <n v="709499.21"/>
    <n v="73623902.989999995"/>
    <n v="126418193.20999999"/>
    <n v="190880307.58000001"/>
    <n v="1767773853.1500001"/>
    <n v="6329694.0700000003"/>
    <n v="7676695.3200000003"/>
    <n v="10803028.789999999"/>
    <n v="68032090.840000004"/>
    <n v="3186238.03"/>
    <n v="6200366.6799999997"/>
    <n v="6117409.8700000001"/>
    <n v="24476344.969999999"/>
    <n v="3748839"/>
    <n v="6352657.8399999999"/>
    <n v="29405744.129999999"/>
    <n v="234222750.33000001"/>
    <n v="300555.46999999997"/>
    <n v="235334.78"/>
    <n v="871149.53"/>
    <n v="5257200.92"/>
    <n v="12052.06"/>
    <n v="402742.88"/>
    <n v="499367.38"/>
    <n v="574131.06000000006"/>
    <n v="59641374.43"/>
    <n v="102165911.41"/>
    <n v="153584255.88999999"/>
    <n v="280192799.80000001"/>
    <n v="850420875.77999997"/>
    <n v="7938372.7800000003"/>
    <n v="9297587.5099999998"/>
    <n v="12976277.380000001"/>
    <n v="20777545.309999999"/>
    <n v="42134478.149999999"/>
    <n v="3779807.74"/>
    <n v="8575502.5500000007"/>
    <n v="8282279.1299999999"/>
    <n v="11553578.949999999"/>
    <n v="20051790.600000001"/>
    <n v="6094.35"/>
    <n v="28466.07"/>
    <n v="34525.1"/>
    <n v="72545.14"/>
    <n v="587858.56000000006"/>
    <x v="0"/>
    <x v="0"/>
    <x v="0"/>
    <x v="0"/>
    <x v="0"/>
    <x v="0"/>
    <x v="0"/>
    <x v="0"/>
    <x v="0"/>
    <x v="0"/>
    <n v="4583.46"/>
    <n v="9382.43"/>
    <n v="14368.26"/>
    <n v="29975.21"/>
    <n v="161473.57"/>
    <x v="0"/>
    <x v="0"/>
    <x v="0"/>
    <x v="0"/>
    <x v="0"/>
    <x v="0"/>
    <x v="0"/>
    <x v="0"/>
    <x v="0"/>
    <x v="0"/>
    <n v="520561.97"/>
    <n v="1107507.3899999999"/>
    <n v="1766330.3"/>
    <n v="3468707.79"/>
    <n v="24151869.5"/>
    <n v="6024.01"/>
    <n v="9677.99"/>
    <n v="14111.42"/>
    <n v="25343.25"/>
    <n v="164376.73000000001"/>
    <x v="24"/>
    <n v="2558.1"/>
    <n v="375.47"/>
    <x v="0"/>
    <x v="4"/>
    <x v="0"/>
    <x v="0"/>
    <x v="0"/>
    <x v="0"/>
    <x v="0"/>
    <x v="0"/>
    <x v="0"/>
    <x v="0"/>
    <x v="0"/>
    <x v="0"/>
    <x v="0"/>
    <x v="0"/>
    <x v="0"/>
    <x v="0"/>
    <x v="0"/>
    <x v="0"/>
    <x v="0"/>
    <x v="0"/>
    <x v="0"/>
    <x v="0"/>
    <x v="0"/>
    <x v="0"/>
    <x v="0"/>
    <x v="0"/>
    <x v="0"/>
    <x v="0"/>
    <x v="0"/>
    <n v="294232167.33999997"/>
    <n v="4090929995.3299999"/>
    <n v="-270736629.92000002"/>
    <n v="4361666625.25"/>
  </r>
  <r>
    <x v="0"/>
    <x v="27"/>
    <x v="27"/>
    <x v="2"/>
    <x v="2"/>
    <n v="8729349.5999999996"/>
    <n v="16273977.01"/>
    <n v="21752798.09"/>
    <n v="29271184.34"/>
    <n v="76590770.730000004"/>
    <n v="381391.82"/>
    <n v="387778.5"/>
    <n v="527469.38"/>
    <n v="793095.33"/>
    <n v="3554693.47"/>
    <n v="5258.1"/>
    <n v="362136.74"/>
    <n v="419527.8"/>
    <n v="712635.67"/>
    <n v="787684.84"/>
    <n v="74468197.319999993"/>
    <n v="122684262.87"/>
    <n v="190040178.53999999"/>
    <n v="1757577671.4200001"/>
    <n v="6209849.2699999996"/>
    <n v="8090890.5"/>
    <n v="11086885.720000001"/>
    <n v="70000607.709999993"/>
    <n v="3234919.37"/>
    <n v="6834267.6600000001"/>
    <n v="6149825.9699999997"/>
    <n v="24731738.77"/>
    <n v="3560742.69"/>
    <n v="6398784.7699999996"/>
    <n v="29486632.489999998"/>
    <n v="233879080.61000001"/>
    <n v="295540.07"/>
    <n v="246592.22"/>
    <n v="855397.51"/>
    <n v="5178379.5599999996"/>
    <n v="18566.91"/>
    <n v="387506.62"/>
    <n v="490371.04"/>
    <n v="646212.87"/>
    <n v="57229289.439999998"/>
    <n v="103272400.36"/>
    <n v="152785557.37"/>
    <n v="284297502.94999999"/>
    <n v="847256027.07000005"/>
    <n v="7867661.7400000002"/>
    <n v="9817074.4900000002"/>
    <n v="13397367.970000001"/>
    <n v="21796519.039999999"/>
    <n v="42716830.359999999"/>
    <n v="3410641.24"/>
    <n v="9329430.2899999991"/>
    <n v="8552086.2599999998"/>
    <n v="11951131.23"/>
    <n v="19995076.219999999"/>
    <n v="6786.28"/>
    <n v="28624.15"/>
    <n v="34658.49"/>
    <n v="73318.77"/>
    <n v="580007.18000000005"/>
    <x v="0"/>
    <x v="0"/>
    <x v="0"/>
    <x v="0"/>
    <x v="0"/>
    <x v="0"/>
    <x v="0"/>
    <x v="0"/>
    <x v="0"/>
    <x v="0"/>
    <n v="6948.74"/>
    <n v="13428.12"/>
    <n v="21217.53"/>
    <n v="44451.88"/>
    <n v="202750.97"/>
    <x v="0"/>
    <x v="0"/>
    <x v="0"/>
    <x v="0"/>
    <x v="0"/>
    <x v="0"/>
    <x v="0"/>
    <x v="0"/>
    <x v="0"/>
    <x v="0"/>
    <n v="688575.8"/>
    <n v="1514166.95"/>
    <n v="2221589.5499999998"/>
    <n v="4567294.8099999996"/>
    <n v="30224456.719999999"/>
    <n v="14861.5"/>
    <n v="28062.29"/>
    <n v="43209.77"/>
    <n v="86715.75"/>
    <n v="589047.81000000006"/>
    <x v="25"/>
    <n v="3417.2"/>
    <n v="866.93"/>
    <x v="0"/>
    <x v="4"/>
    <x v="0"/>
    <x v="0"/>
    <x v="0"/>
    <x v="0"/>
    <x v="0"/>
    <x v="0"/>
    <x v="0"/>
    <x v="0"/>
    <x v="0"/>
    <x v="0"/>
    <x v="0"/>
    <x v="0"/>
    <x v="0"/>
    <x v="0"/>
    <x v="0"/>
    <x v="0"/>
    <x v="0"/>
    <x v="0"/>
    <x v="0"/>
    <x v="0"/>
    <x v="0"/>
    <x v="0"/>
    <x v="0"/>
    <x v="0"/>
    <x v="0"/>
    <x v="0"/>
    <x v="0"/>
    <n v="302001983.88999999"/>
    <n v="4085563550.79"/>
    <n v="-272229819.30000001"/>
    <n v="4357793370.0900002"/>
  </r>
  <r>
    <x v="0"/>
    <x v="27"/>
    <x v="27"/>
    <x v="3"/>
    <x v="3"/>
    <n v="8300324.6299999999"/>
    <n v="14542257.42"/>
    <n v="20931963.800000001"/>
    <n v="25444358.649999999"/>
    <n v="73767650.760000005"/>
    <n v="394672.36"/>
    <n v="398467.78"/>
    <n v="510821.41"/>
    <n v="832969.41"/>
    <n v="3676352.32"/>
    <n v="36063.39"/>
    <n v="358287.66"/>
    <n v="438026.1"/>
    <n v="715796.53"/>
    <n v="877473.35"/>
    <n v="69770066.010000005"/>
    <n v="125705223.55"/>
    <n v="187927980.75"/>
    <n v="1737943446.77"/>
    <n v="6396018.7000000002"/>
    <n v="8301737.2699999996"/>
    <n v="11310992"/>
    <n v="71930186.530000001"/>
    <n v="3006580.15"/>
    <n v="7606067.6100000003"/>
    <n v="6506564.5800000001"/>
    <n v="25458733.25"/>
    <n v="3625713.53"/>
    <n v="6382887.9100000001"/>
    <n v="29382324.43"/>
    <n v="231918943.05000001"/>
    <n v="304334.11"/>
    <n v="245597.84"/>
    <n v="866034.65"/>
    <n v="5497326.7999999998"/>
    <n v="17988.82"/>
    <n v="154724"/>
    <n v="782268.74"/>
    <n v="800557.94"/>
    <n v="58506562.25"/>
    <n v="103630095.88"/>
    <n v="151268648.81"/>
    <n v="282308575.43000001"/>
    <n v="845970069.51999998"/>
    <n v="8247629.5300000003"/>
    <n v="10107321.02"/>
    <n v="13853081.539999999"/>
    <n v="22635083.989999998"/>
    <n v="44645698.5"/>
    <n v="3700928.83"/>
    <n v="10070547.199999999"/>
    <n v="9097441.4100000001"/>
    <n v="12404598.109999999"/>
    <n v="20659641.739999998"/>
    <n v="21679.79"/>
    <n v="17091.349999999999"/>
    <n v="40267.379999999997"/>
    <n v="85548.38"/>
    <n v="702021.69"/>
    <x v="0"/>
    <x v="0"/>
    <x v="0"/>
    <x v="0"/>
    <x v="0"/>
    <x v="0"/>
    <x v="0"/>
    <x v="0"/>
    <x v="0"/>
    <x v="0"/>
    <n v="7481.11"/>
    <n v="13971.42"/>
    <n v="21410.29"/>
    <n v="44799.49"/>
    <n v="195148.87"/>
    <x v="0"/>
    <x v="0"/>
    <x v="0"/>
    <x v="0"/>
    <x v="0"/>
    <x v="0"/>
    <x v="0"/>
    <x v="0"/>
    <x v="0"/>
    <x v="0"/>
    <n v="883483.21"/>
    <n v="1904320.51"/>
    <n v="2704378.81"/>
    <n v="5645871.6600000001"/>
    <n v="36903492.229999997"/>
    <n v="7066.25"/>
    <n v="10887.54"/>
    <n v="16887.060000000001"/>
    <n v="30313.03"/>
    <n v="156112.13"/>
    <x v="26"/>
    <n v="3634.78"/>
    <n v="1515.01"/>
    <x v="0"/>
    <x v="4"/>
    <x v="0"/>
    <x v="0"/>
    <x v="0"/>
    <x v="0"/>
    <x v="0"/>
    <x v="0"/>
    <x v="0"/>
    <x v="0"/>
    <x v="0"/>
    <x v="0"/>
    <x v="0"/>
    <x v="0"/>
    <x v="0"/>
    <x v="0"/>
    <x v="0"/>
    <x v="0"/>
    <x v="0"/>
    <x v="0"/>
    <x v="0"/>
    <x v="0"/>
    <x v="0"/>
    <x v="0"/>
    <x v="0"/>
    <x v="0"/>
    <x v="0"/>
    <x v="0"/>
    <x v="0"/>
    <n v="313077139.74000001"/>
    <n v="4063301324.8899999"/>
    <n v="-276321257.94999999"/>
    <n v="4339622582.8400002"/>
  </r>
  <r>
    <x v="0"/>
    <x v="27"/>
    <x v="27"/>
    <x v="4"/>
    <x v="4"/>
    <n v="7403479.25"/>
    <n v="14136604.92"/>
    <n v="18169407.02"/>
    <n v="23540872.760000002"/>
    <n v="71950563.859999999"/>
    <n v="419877.37"/>
    <n v="415729.62"/>
    <n v="475966.87"/>
    <n v="861516.66"/>
    <n v="3763107.47"/>
    <n v="4025.46"/>
    <n v="386637.16"/>
    <n v="368703.96"/>
    <n v="793095.18"/>
    <n v="876545.23"/>
    <n v="71999214.620000005"/>
    <n v="121709784.48999999"/>
    <n v="189323875.36000001"/>
    <n v="1729864512.73"/>
    <n v="6631785.5599999996"/>
    <n v="8120337.5599999996"/>
    <n v="11501439.32"/>
    <n v="72602009.370000005"/>
    <n v="2855433.45"/>
    <n v="7324116.75"/>
    <n v="6989726.1600000001"/>
    <n v="26626033.829999998"/>
    <n v="3573945.8"/>
    <n v="6339777.54"/>
    <n v="29394046.829999998"/>
    <n v="231106721.06999999"/>
    <n v="321136.78000000003"/>
    <n v="244214.46"/>
    <n v="895033"/>
    <n v="5751181.3099999996"/>
    <n v="19409.27"/>
    <n v="149129.91"/>
    <n v="817083.26"/>
    <n v="791940.85"/>
    <n v="57971944.100000001"/>
    <n v="102431292.54000001"/>
    <n v="151626449.97"/>
    <n v="282889957.88999999"/>
    <n v="845976678.04999995"/>
    <n v="8421430.6199999992"/>
    <n v="10172531.07"/>
    <n v="14149705.34"/>
    <n v="23404174.949999999"/>
    <n v="46996398.710000001"/>
    <n v="3683371.8"/>
    <n v="9751371.3399999999"/>
    <n v="9676509.8300000001"/>
    <n v="13197592.689999999"/>
    <n v="21872995.280000001"/>
    <n v="8136.52"/>
    <n v="41311.910000000003"/>
    <n v="60083.18"/>
    <n v="126738.34"/>
    <n v="1108658.8500000001"/>
    <x v="0"/>
    <x v="0"/>
    <x v="0"/>
    <x v="0"/>
    <x v="0"/>
    <x v="0"/>
    <x v="0"/>
    <x v="0"/>
    <x v="0"/>
    <x v="0"/>
    <n v="8210.7199999999993"/>
    <n v="18697.189999999999"/>
    <n v="30459.82"/>
    <n v="63927.99"/>
    <n v="331037.67"/>
    <x v="0"/>
    <x v="0"/>
    <x v="0"/>
    <x v="0"/>
    <x v="0"/>
    <x v="0"/>
    <x v="0"/>
    <x v="0"/>
    <x v="0"/>
    <x v="0"/>
    <n v="1096708.42"/>
    <n v="2149302.87"/>
    <n v="3221733.1"/>
    <n v="6874759.4500000002"/>
    <n v="43859732.710000001"/>
    <n v="14678.94"/>
    <n v="11574.54"/>
    <n v="17310.759999999998"/>
    <n v="28231.18"/>
    <n v="139656"/>
    <x v="27"/>
    <n v="3628.02"/>
    <n v="1696.47"/>
    <x v="13"/>
    <x v="4"/>
    <x v="0"/>
    <x v="0"/>
    <x v="0"/>
    <x v="0"/>
    <x v="0"/>
    <x v="0"/>
    <x v="0"/>
    <x v="0"/>
    <x v="0"/>
    <x v="0"/>
    <x v="0"/>
    <x v="0"/>
    <x v="0"/>
    <x v="0"/>
    <x v="0"/>
    <x v="0"/>
    <x v="0"/>
    <x v="0"/>
    <x v="0"/>
    <x v="0"/>
    <x v="0"/>
    <x v="0"/>
    <x v="0"/>
    <x v="0"/>
    <x v="0"/>
    <x v="0"/>
    <x v="0"/>
    <n v="321553140.75999999"/>
    <n v="4056536352.4900012"/>
    <n v="-283463872.99000001"/>
    <n v="4340000225.4800014"/>
  </r>
  <r>
    <x v="0"/>
    <x v="27"/>
    <x v="27"/>
    <x v="5"/>
    <x v="5"/>
    <n v="6779945.5"/>
    <n v="13588355.470000001"/>
    <n v="16679488.23"/>
    <n v="19882863.93"/>
    <n v="71080309.260000005"/>
    <n v="358505.87"/>
    <n v="374337.74"/>
    <n v="448891.79"/>
    <n v="775870.47"/>
    <n v="3214716.3"/>
    <n v="21543.56"/>
    <n v="373269.77"/>
    <n v="333070.09000000003"/>
    <n v="741737.68"/>
    <n v="865479.07"/>
    <n v="69677228.920000002"/>
    <n v="125609176.12"/>
    <n v="189873671.94999999"/>
    <n v="1736366479.5899999"/>
    <n v="6237956.3600000003"/>
    <n v="7525194.1399999997"/>
    <n v="10428483.689999999"/>
    <n v="66104796.210000001"/>
    <n v="2588210.56"/>
    <n v="6832795.1399999997"/>
    <n v="6787336.0300000003"/>
    <n v="25934497.420000002"/>
    <n v="3663041.78"/>
    <n v="6318482.0599999996"/>
    <n v="29493092.850000001"/>
    <n v="231872281.44"/>
    <n v="312835.18"/>
    <n v="244347.6"/>
    <n v="884122.68"/>
    <n v="5505136.0700000003"/>
    <n v="9052.35"/>
    <n v="138247.1"/>
    <n v="840855.23"/>
    <n v="770297.78"/>
    <n v="58631201.869999997"/>
    <n v="102817652.09"/>
    <n v="155146572.75999999"/>
    <n v="283461318.05000001"/>
    <n v="860262534.35000002"/>
    <n v="8136492.6299999999"/>
    <n v="9519047.0199999996"/>
    <n v="13056588.939999999"/>
    <n v="20990725.510000002"/>
    <n v="42069999.200000003"/>
    <n v="3000351.54"/>
    <n v="9519637.6799999997"/>
    <n v="9648016.2599999998"/>
    <n v="12893921.24"/>
    <n v="21591878.170000002"/>
    <n v="12930.38"/>
    <n v="54022.41"/>
    <n v="79550.03"/>
    <n v="166278.78"/>
    <n v="1444010.68"/>
    <x v="0"/>
    <x v="0"/>
    <x v="0"/>
    <x v="0"/>
    <x v="0"/>
    <x v="0"/>
    <x v="0"/>
    <x v="0"/>
    <x v="0"/>
    <x v="0"/>
    <n v="10398.51"/>
    <n v="25855.77"/>
    <n v="40641.97"/>
    <n v="84781.43"/>
    <n v="442239.68"/>
    <x v="0"/>
    <x v="0"/>
    <x v="0"/>
    <x v="0"/>
    <x v="0"/>
    <x v="0"/>
    <x v="0"/>
    <x v="0"/>
    <x v="0"/>
    <x v="0"/>
    <n v="1219043.26"/>
    <n v="2435228.5299999998"/>
    <n v="3852124.18"/>
    <n v="7944005.7800000003"/>
    <n v="50477500.030000001"/>
    <n v="13879.76"/>
    <n v="8597.11"/>
    <n v="12342.83"/>
    <n v="23403.84"/>
    <n v="133670.38"/>
    <x v="28"/>
    <n v="4132.1099999999997"/>
    <n v="2311.91"/>
    <x v="14"/>
    <x v="5"/>
    <x v="0"/>
    <x v="0"/>
    <x v="0"/>
    <x v="0"/>
    <x v="0"/>
    <x v="0"/>
    <x v="0"/>
    <x v="0"/>
    <x v="0"/>
    <x v="0"/>
    <x v="0"/>
    <x v="0"/>
    <x v="0"/>
    <x v="0"/>
    <x v="0"/>
    <x v="0"/>
    <x v="0"/>
    <x v="0"/>
    <x v="0"/>
    <x v="0"/>
    <x v="0"/>
    <x v="0"/>
    <x v="0"/>
    <x v="0"/>
    <x v="0"/>
    <x v="0"/>
    <x v="0"/>
    <n v="299279295.58999997"/>
    <n v="4068754335.2800002"/>
    <n v="-280055121.85000002"/>
    <n v="4348809457.1300001"/>
  </r>
  <r>
    <x v="0"/>
    <x v="27"/>
    <x v="27"/>
    <x v="6"/>
    <x v="6"/>
    <n v="7586245.3499999996"/>
    <n v="12315331.359999999"/>
    <n v="14287156.43"/>
    <n v="19041036.77"/>
    <n v="69383293.879999995"/>
    <n v="419850.3"/>
    <n v="356835.22"/>
    <n v="494316.68"/>
    <n v="876143.76"/>
    <n v="3604867.38"/>
    <n v="13273.5"/>
    <n v="365951.69"/>
    <n v="365319.65"/>
    <n v="710960.56"/>
    <n v="896480.62"/>
    <n v="71902612.069999993"/>
    <n v="127212703.87"/>
    <n v="192121932.97"/>
    <n v="1755688743.3099999"/>
    <n v="6491587.4400000004"/>
    <n v="6168440.8600000003"/>
    <n v="8363205.6200000001"/>
    <n v="50610645.549999997"/>
    <n v="846766.75"/>
    <n v="6561244.6500000004"/>
    <n v="7265191.0599999996"/>
    <n v="26816042.739999998"/>
    <n v="3538481.22"/>
    <n v="6404598.21"/>
    <n v="29507289.16"/>
    <n v="231773734.59"/>
    <n v="319208.26"/>
    <n v="259523.07"/>
    <n v="903939.32"/>
    <n v="5560493.75"/>
    <n v="17903"/>
    <n v="124938.85"/>
    <n v="845855.27"/>
    <n v="764979.38"/>
    <n v="61915049.82"/>
    <n v="105352764.90000001"/>
    <n v="157325316.66999999"/>
    <n v="289213153.88"/>
    <n v="865049451.82000005"/>
    <n v="9321461.2300000004"/>
    <n v="8583353.9199999999"/>
    <n v="11229042.58"/>
    <n v="18063436.890000001"/>
    <n v="32790029.829999998"/>
    <n v="1180198.19"/>
    <n v="9335600.2799999993"/>
    <n v="10763899.890000001"/>
    <n v="13671176.1"/>
    <n v="22746311.859999999"/>
    <n v="32946.160000000003"/>
    <n v="42075.81"/>
    <n v="80149.55"/>
    <n v="167801.14"/>
    <n v="1420889.24"/>
    <x v="0"/>
    <x v="0"/>
    <x v="0"/>
    <x v="0"/>
    <x v="0"/>
    <x v="0"/>
    <x v="0"/>
    <x v="0"/>
    <x v="0"/>
    <x v="0"/>
    <n v="13490.83"/>
    <n v="29262.720000000001"/>
    <n v="42757.279999999999"/>
    <n v="93541.47"/>
    <n v="421393.89"/>
    <x v="0"/>
    <x v="0"/>
    <x v="0"/>
    <x v="0"/>
    <x v="0"/>
    <x v="0"/>
    <x v="0"/>
    <x v="0"/>
    <x v="0"/>
    <x v="0"/>
    <n v="1369166.47"/>
    <n v="2775078.8"/>
    <n v="4417229.1399999997"/>
    <n v="9094953.8100000005"/>
    <n v="56832516.649999999"/>
    <n v="6675.27"/>
    <n v="7556.92"/>
    <n v="10341.75"/>
    <n v="20153.59"/>
    <n v="85325.67"/>
    <x v="0"/>
    <n v="12414.08"/>
    <n v="3543.44"/>
    <x v="21"/>
    <x v="5"/>
    <x v="0"/>
    <x v="0"/>
    <x v="0"/>
    <x v="0"/>
    <x v="0"/>
    <x v="0"/>
    <x v="0"/>
    <x v="0"/>
    <x v="0"/>
    <x v="0"/>
    <x v="0"/>
    <x v="0"/>
    <x v="0"/>
    <x v="0"/>
    <x v="0"/>
    <x v="0"/>
    <x v="0"/>
    <x v="0"/>
    <x v="0"/>
    <x v="0"/>
    <x v="0"/>
    <x v="0"/>
    <x v="0"/>
    <x v="0"/>
    <x v="0"/>
    <x v="0"/>
    <x v="0"/>
    <n v="267855596.06"/>
    <n v="4078297359.2800002"/>
    <n v="-286064959.18000001"/>
    <n v="4364362318.46"/>
  </r>
  <r>
    <x v="0"/>
    <x v="27"/>
    <x v="27"/>
    <x v="7"/>
    <x v="7"/>
    <n v="6457466.2000000002"/>
    <n v="10916592.02"/>
    <n v="11749171.890000001"/>
    <n v="17352159.079999998"/>
    <n v="67982853.909999996"/>
    <n v="438507.78"/>
    <n v="387619.52"/>
    <n v="532131.51"/>
    <n v="954230.12"/>
    <n v="4159949.27"/>
    <n v="4793.2299999999996"/>
    <n v="433134.12"/>
    <n v="382538.12"/>
    <n v="675030.95"/>
    <n v="990541.12"/>
    <n v="74411074.120000005"/>
    <n v="124241235.28"/>
    <n v="193315370.08000001"/>
    <n v="1765042795.97"/>
    <n v="7021775.2999999998"/>
    <n v="6134950.21"/>
    <n v="8291835.5599999996"/>
    <n v="49497148.170000002"/>
    <n v="612727.93000000005"/>
    <n v="6539874.8200000003"/>
    <n v="6808043.4400000004"/>
    <n v="28048363.789999999"/>
    <n v="3603194.73"/>
    <n v="6370400.2000000002"/>
    <n v="29632995.77"/>
    <n v="232812370.03"/>
    <n v="311710.84999999998"/>
    <n v="243043.16"/>
    <n v="857498.55"/>
    <n v="5289921"/>
    <n v="8586.2999999999993"/>
    <n v="118963.37"/>
    <n v="874237.49"/>
    <n v="794683.68"/>
    <n v="60904756.509999998"/>
    <n v="105123856.09999999"/>
    <n v="155692485.75999999"/>
    <n v="289006821.31999999"/>
    <n v="864597756.44000006"/>
    <n v="9775906.0500000007"/>
    <n v="8701511.5199999996"/>
    <n v="11548285.779999999"/>
    <n v="18669654.050000001"/>
    <n v="34753637.710000001"/>
    <n v="937580.13"/>
    <n v="10062457.32"/>
    <n v="10715315.51"/>
    <n v="14715632.029999999"/>
    <n v="23144176.57"/>
    <n v="21076.25"/>
    <n v="57350.5"/>
    <n v="80857.33"/>
    <n v="170243.45"/>
    <n v="1381388.21"/>
    <x v="0"/>
    <x v="0"/>
    <x v="0"/>
    <x v="0"/>
    <x v="0"/>
    <x v="0"/>
    <x v="0"/>
    <x v="0"/>
    <x v="0"/>
    <x v="0"/>
    <n v="15724.07"/>
    <n v="30053.33"/>
    <n v="46637.58"/>
    <n v="96709.36"/>
    <n v="450332.89"/>
    <x v="0"/>
    <x v="0"/>
    <x v="0"/>
    <x v="0"/>
    <x v="0"/>
    <x v="0"/>
    <x v="0"/>
    <x v="0"/>
    <x v="0"/>
    <x v="0"/>
    <n v="1567703.66"/>
    <n v="3207133.51"/>
    <n v="5025024.75"/>
    <n v="10401725.25"/>
    <n v="64070590.520000003"/>
    <n v="5733.26"/>
    <n v="6442.17"/>
    <n v="8637.9599999999991"/>
    <n v="16316.7"/>
    <n v="64150.07"/>
    <x v="0"/>
    <n v="11631.53"/>
    <n v="3419.47"/>
    <x v="22"/>
    <x v="6"/>
    <x v="0"/>
    <x v="0"/>
    <x v="0"/>
    <x v="0"/>
    <x v="0"/>
    <x v="0"/>
    <x v="0"/>
    <x v="0"/>
    <x v="0"/>
    <x v="0"/>
    <x v="0"/>
    <x v="0"/>
    <x v="0"/>
    <x v="0"/>
    <x v="0"/>
    <x v="0"/>
    <x v="0"/>
    <x v="0"/>
    <x v="0"/>
    <x v="0"/>
    <x v="0"/>
    <x v="0"/>
    <x v="0"/>
    <x v="0"/>
    <x v="0"/>
    <x v="0"/>
    <x v="0"/>
    <n v="273554078.14999998"/>
    <n v="4088074432.8800011"/>
    <n v="-291377732.14999998"/>
    <n v="4379452165.0300007"/>
  </r>
  <r>
    <x v="0"/>
    <x v="27"/>
    <x v="27"/>
    <x v="8"/>
    <x v="8"/>
    <n v="6153866.7999999998"/>
    <n v="10123856.02"/>
    <n v="10836807.76"/>
    <n v="16515559.289999999"/>
    <n v="67856384.739999995"/>
    <n v="379982.73"/>
    <n v="380212.78"/>
    <n v="512123.14"/>
    <n v="961561.23"/>
    <n v="3859022.83"/>
    <n v="82373.58"/>
    <n v="440521.9"/>
    <n v="402781.48"/>
    <n v="563955.85"/>
    <n v="1045421.6"/>
    <n v="70829095.150000006"/>
    <n v="130162030.08"/>
    <n v="197052725.59999999"/>
    <n v="1772004030.1200011"/>
    <n v="6918949.8200000003"/>
    <n v="5858943.4800000004"/>
    <n v="8026110.5300000003"/>
    <n v="46679510.090000004"/>
    <n v="558787.15"/>
    <n v="6241907.75"/>
    <n v="6862765.9100000001"/>
    <n v="27505223.920000002"/>
    <n v="3546668.46"/>
    <n v="6460995.25"/>
    <n v="29593217.100000001"/>
    <n v="233426745.58000001"/>
    <n v="313438.42"/>
    <n v="255963.17"/>
    <n v="903277.02"/>
    <n v="5330592.21"/>
    <n v="38954.03"/>
    <n v="121120.79"/>
    <n v="869506.39"/>
    <n v="782578.17"/>
    <n v="60393881.289999999"/>
    <n v="107224085.61"/>
    <n v="157862905.13999999"/>
    <n v="284100458.47000003"/>
    <n v="867268180.08000004"/>
    <n v="9512431.9199999999"/>
    <n v="8547311.0800000001"/>
    <n v="11337023.84"/>
    <n v="17672307.370000001"/>
    <n v="33570364.299999997"/>
    <n v="699049.51"/>
    <n v="9601971.5700000003"/>
    <n v="10557630.1"/>
    <n v="14344005.01"/>
    <n v="22594367.960000001"/>
    <n v="20999.56"/>
    <n v="60313.48"/>
    <n v="86039.4"/>
    <n v="178128.21"/>
    <n v="1441858.84"/>
    <x v="0"/>
    <x v="0"/>
    <x v="0"/>
    <x v="0"/>
    <x v="0"/>
    <x v="0"/>
    <x v="0"/>
    <x v="0"/>
    <x v="0"/>
    <x v="0"/>
    <n v="17199.02"/>
    <n v="30624.85"/>
    <n v="47420.81"/>
    <n v="95566.61"/>
    <n v="435209.22"/>
    <x v="0"/>
    <x v="0"/>
    <x v="0"/>
    <x v="0"/>
    <x v="0"/>
    <x v="0"/>
    <x v="0"/>
    <x v="0"/>
    <x v="0"/>
    <x v="0"/>
    <n v="1720394.44"/>
    <n v="3661308.23"/>
    <n v="5673859.8700000001"/>
    <n v="11524439.73"/>
    <n v="70362233.280000001"/>
    <n v="14126.25"/>
    <n v="14266.33"/>
    <n v="20981.4"/>
    <n v="40237.019999999997"/>
    <n v="142588.51"/>
    <x v="0"/>
    <n v="8055.97"/>
    <n v="11340.48"/>
    <x v="23"/>
    <x v="7"/>
    <x v="0"/>
    <x v="0"/>
    <x v="0"/>
    <x v="0"/>
    <x v="0"/>
    <x v="0"/>
    <x v="0"/>
    <x v="0"/>
    <x v="0"/>
    <x v="0"/>
    <x v="0"/>
    <x v="0"/>
    <x v="0"/>
    <x v="0"/>
    <x v="0"/>
    <x v="0"/>
    <x v="0"/>
    <x v="0"/>
    <x v="0"/>
    <x v="0"/>
    <x v="0"/>
    <x v="0"/>
    <x v="0"/>
    <x v="0"/>
    <x v="0"/>
    <x v="0"/>
    <x v="0"/>
    <n v="264586310.09"/>
    <n v="4098773401.230001"/>
    <n v="-292664466.70999998"/>
    <n v="4391437867.9400005"/>
  </r>
  <r>
    <x v="0"/>
    <x v="27"/>
    <x v="27"/>
    <x v="9"/>
    <x v="9"/>
    <n v="5432554.8200000003"/>
    <n v="8686041.6699999999"/>
    <n v="10712065.550000001"/>
    <n v="15399976.49"/>
    <n v="66610743.32"/>
    <n v="397017.56"/>
    <n v="394271.4"/>
    <n v="543024.11"/>
    <n v="1012042.48"/>
    <n v="4055246.51"/>
    <n v="130432"/>
    <n v="419830.58"/>
    <n v="381149.25"/>
    <n v="619695.01"/>
    <n v="1062606.18"/>
    <n v="75220487.650000006"/>
    <n v="125985729.40000001"/>
    <n v="197745262.43000001"/>
    <n v="1778581035.1700001"/>
    <n v="7301843.5599999996"/>
    <n v="5881092.1299999999"/>
    <n v="8277490.0899999999"/>
    <n v="46594518.149999999"/>
    <n v="529293.82999999996"/>
    <n v="6274972.8300000001"/>
    <n v="6914317.2000000002"/>
    <n v="27994532.370000001"/>
    <n v="3557194.67"/>
    <n v="6327183.7699999996"/>
    <n v="29553845.359999999"/>
    <n v="233164574.03999999"/>
    <n v="352260.84"/>
    <n v="275107.82"/>
    <n v="999525.33"/>
    <n v="6004829.4800000004"/>
    <n v="20129.96"/>
    <n v="152250.62"/>
    <n v="910675.59"/>
    <n v="851236.91"/>
    <n v="61715398.530000001"/>
    <n v="104554801.61"/>
    <n v="157508106.25999999"/>
    <n v="284218899.39999998"/>
    <n v="868057146.82000005"/>
    <n v="9733585.75"/>
    <n v="8542381.4700000007"/>
    <n v="11508091.25"/>
    <n v="17872111.969999999"/>
    <n v="33781972.159999996"/>
    <n v="542043.07999999996"/>
    <n v="9457430.4900000002"/>
    <n v="11034939.83"/>
    <n v="15114075.710000001"/>
    <n v="23283622.289999999"/>
    <n v="37896.01"/>
    <n v="47845.74"/>
    <n v="89154.44"/>
    <n v="185556.5"/>
    <n v="1475887.24"/>
    <x v="0"/>
    <x v="0"/>
    <x v="0"/>
    <x v="0"/>
    <x v="0"/>
    <x v="0"/>
    <x v="0"/>
    <x v="0"/>
    <x v="0"/>
    <x v="0"/>
    <n v="17308.080000000002"/>
    <n v="30046.35"/>
    <n v="46927.53"/>
    <n v="92484.85"/>
    <n v="424519.51"/>
    <x v="0"/>
    <x v="0"/>
    <x v="0"/>
    <x v="0"/>
    <x v="0"/>
    <x v="0"/>
    <x v="0"/>
    <x v="0"/>
    <x v="0"/>
    <x v="0"/>
    <n v="2045200.76"/>
    <n v="3970423.73"/>
    <n v="6254582.2999999998"/>
    <n v="12728793.01"/>
    <n v="76636643.349999994"/>
    <n v="13971.52"/>
    <n v="13279.69"/>
    <n v="20842.560000000001"/>
    <n v="37016.29"/>
    <n v="152142.47"/>
    <x v="0"/>
    <n v="8717.23"/>
    <n v="12080.61"/>
    <x v="24"/>
    <x v="11"/>
    <x v="0"/>
    <x v="0"/>
    <x v="0"/>
    <x v="0"/>
    <x v="0"/>
    <x v="0"/>
    <x v="0"/>
    <x v="0"/>
    <x v="0"/>
    <x v="0"/>
    <x v="0"/>
    <x v="0"/>
    <x v="0"/>
    <x v="0"/>
    <x v="0"/>
    <x v="0"/>
    <x v="0"/>
    <x v="0"/>
    <x v="0"/>
    <x v="0"/>
    <x v="0"/>
    <x v="0"/>
    <x v="0"/>
    <x v="0"/>
    <x v="0"/>
    <x v="0"/>
    <x v="0"/>
    <n v="269481375.76999998"/>
    <n v="4108501392.5300002"/>
    <n v="-298179490.29000002"/>
    <n v="4406680882.8199997"/>
  </r>
  <r>
    <x v="0"/>
    <x v="27"/>
    <x v="27"/>
    <x v="10"/>
    <x v="10"/>
    <n v="4982157.05"/>
    <n v="8030156.0899999999"/>
    <n v="10686450.07"/>
    <n v="14658573.560000001"/>
    <n v="65905974.18"/>
    <n v="430855.42"/>
    <n v="409403.6"/>
    <n v="588679.19999999995"/>
    <n v="1060959.96"/>
    <n v="4541738.2300000004"/>
    <n v="12906.87"/>
    <n v="537205.84"/>
    <n v="368307.92"/>
    <n v="585054.25"/>
    <n v="1164824.72"/>
    <n v="73275886"/>
    <n v="138291755.36000001"/>
    <n v="189776453.99000001"/>
    <n v="1783713648.8300011"/>
    <n v="6913036.0300000003"/>
    <n v="6180805.8499999996"/>
    <n v="7871410.6799999997"/>
    <n v="45311907.039999999"/>
    <n v="618202.22"/>
    <n v="6465275.2400000002"/>
    <n v="6847894.7400000002"/>
    <n v="28250171.989999998"/>
    <n v="3662406.5"/>
    <n v="6439762.5599999996"/>
    <n v="29477243.91"/>
    <n v="234093728.25"/>
    <n v="315422.84000000003"/>
    <n v="260864.16"/>
    <n v="887342.55"/>
    <n v="5762425.0800000001"/>
    <n v="35563.01"/>
    <n v="154107.01"/>
    <n v="897487.89"/>
    <n v="892108.85"/>
    <n v="62161488.229999997"/>
    <n v="107236973.88"/>
    <n v="153367702.50999999"/>
    <n v="282048635.41000003"/>
    <n v="868571208.13"/>
    <n v="9545623.3900000006"/>
    <n v="8632615.7100000009"/>
    <n v="11082353.460000001"/>
    <n v="17369454.23"/>
    <n v="32904610.899999999"/>
    <n v="628048.31000000006"/>
    <n v="9596666.1400000006"/>
    <n v="11235770.07"/>
    <n v="15211619.310000001"/>
    <n v="24273149.48"/>
    <n v="24279.7"/>
    <n v="66610.8"/>
    <n v="97832.93"/>
    <n v="201448.65"/>
    <n v="1537271.84"/>
    <x v="0"/>
    <x v="0"/>
    <x v="0"/>
    <x v="0"/>
    <x v="0"/>
    <x v="0"/>
    <x v="0"/>
    <x v="0"/>
    <x v="0"/>
    <x v="0"/>
    <n v="18012.46"/>
    <n v="32707.200000000001"/>
    <n v="49636.15"/>
    <n v="96166.03"/>
    <n v="434537.19"/>
    <x v="0"/>
    <x v="0"/>
    <x v="0"/>
    <x v="0"/>
    <x v="0"/>
    <x v="0"/>
    <x v="0"/>
    <x v="0"/>
    <x v="0"/>
    <x v="0"/>
    <n v="2257280.41"/>
    <n v="4477212.07"/>
    <n v="6829916.5599999996"/>
    <n v="14063554.369999999"/>
    <n v="84206768.950000003"/>
    <n v="17909.189999999999"/>
    <n v="17422.7"/>
    <n v="25575.62"/>
    <n v="45390.080000000002"/>
    <n v="198400.95"/>
    <x v="0"/>
    <n v="12045.79"/>
    <n v="13114.44"/>
    <x v="25"/>
    <x v="12"/>
    <x v="0"/>
    <x v="0"/>
    <x v="0"/>
    <x v="0"/>
    <x v="0"/>
    <x v="0"/>
    <x v="0"/>
    <x v="0"/>
    <x v="0"/>
    <x v="0"/>
    <x v="0"/>
    <x v="0"/>
    <x v="0"/>
    <x v="0"/>
    <x v="0"/>
    <x v="0"/>
    <x v="0"/>
    <x v="0"/>
    <x v="0"/>
    <x v="0"/>
    <x v="0"/>
    <x v="0"/>
    <x v="0"/>
    <x v="0"/>
    <x v="0"/>
    <x v="0"/>
    <x v="0"/>
    <n v="268178593.86000001"/>
    <n v="4116970516.54"/>
    <n v="-302081441.04000002"/>
    <n v="4419051957.5799999"/>
  </r>
  <r>
    <x v="0"/>
    <x v="27"/>
    <x v="27"/>
    <x v="11"/>
    <x v="11"/>
    <n v="4167601.3"/>
    <n v="7817054.3499999996"/>
    <n v="10421013.85"/>
    <n v="14975631.02"/>
    <n v="67473683.069999993"/>
    <n v="353370.6"/>
    <n v="325982.15999999997"/>
    <n v="480517.88"/>
    <n v="863028.77"/>
    <n v="3310124.53"/>
    <n v="32124.15"/>
    <n v="374914.49"/>
    <n v="404483.77"/>
    <n v="576995.07999999996"/>
    <n v="1133368.7"/>
    <n v="71549787.5"/>
    <n v="140369122.13999999"/>
    <n v="188579941"/>
    <n v="1794175044.29"/>
    <n v="5506415.96"/>
    <n v="5464365.71"/>
    <n v="6461772.3099999996"/>
    <n v="35775325.75"/>
    <n v="746347.73"/>
    <n v="5980224.0800000001"/>
    <n v="6826438.6100000003"/>
    <n v="28037823.879999999"/>
    <n v="3483178.43"/>
    <n v="6770560.9400000004"/>
    <n v="29551278.809999999"/>
    <n v="235881053.50999999"/>
    <n v="274440.32000000001"/>
    <n v="228317.51"/>
    <n v="786400.48"/>
    <n v="4897195.66"/>
    <n v="43486.11"/>
    <n v="141151.03"/>
    <n v="923100.39"/>
    <n v="857943.03"/>
    <n v="60652684.670000002"/>
    <n v="108699215.08"/>
    <n v="151617308.36000001"/>
    <n v="283958103.06999999"/>
    <n v="866350326.70000005"/>
    <n v="8265279.4900000002"/>
    <n v="7680699.7599999998"/>
    <n v="9390942.9299999997"/>
    <n v="14861052.529999999"/>
    <n v="26600962.359999999"/>
    <n v="836886.98"/>
    <n v="8572743.5700000003"/>
    <n v="11073114.18"/>
    <n v="15398557.6"/>
    <n v="23905300.98"/>
    <n v="25347"/>
    <n v="79599.759999999995"/>
    <n v="115199.42"/>
    <n v="241667.96"/>
    <n v="1854878.25"/>
    <x v="0"/>
    <x v="0"/>
    <x v="0"/>
    <x v="0"/>
    <x v="0"/>
    <x v="0"/>
    <x v="0"/>
    <x v="0"/>
    <x v="0"/>
    <x v="0"/>
    <n v="18080.62"/>
    <n v="33418.980000000003"/>
    <n v="49498.83"/>
    <n v="95056.59"/>
    <n v="418961.53"/>
    <x v="0"/>
    <x v="0"/>
    <x v="0"/>
    <x v="0"/>
    <x v="0"/>
    <x v="0"/>
    <x v="0"/>
    <x v="0"/>
    <x v="0"/>
    <x v="0"/>
    <n v="2399710.86"/>
    <n v="4944302.49"/>
    <n v="7362507.0599999996"/>
    <n v="15424396.300000001"/>
    <n v="91168585.400000006"/>
    <n v="29218.54"/>
    <n v="30315.4"/>
    <n v="42645.86"/>
    <n v="80580.69"/>
    <n v="399300.08"/>
    <x v="0"/>
    <n v="16816.62"/>
    <n v="6890.59"/>
    <x v="26"/>
    <x v="13"/>
    <x v="0"/>
    <x v="0"/>
    <x v="0"/>
    <x v="0"/>
    <x v="0"/>
    <x v="0"/>
    <x v="0"/>
    <x v="0"/>
    <x v="0"/>
    <x v="0"/>
    <x v="0"/>
    <x v="0"/>
    <x v="0"/>
    <x v="0"/>
    <x v="0"/>
    <x v="0"/>
    <x v="0"/>
    <x v="0"/>
    <x v="0"/>
    <x v="0"/>
    <x v="0"/>
    <x v="0"/>
    <x v="0"/>
    <x v="0"/>
    <x v="0"/>
    <x v="0"/>
    <x v="0"/>
    <n v="238012508.88"/>
    <n v="4108769400.6100001"/>
    <n v="-300062780.63"/>
    <n v="4408832181.2399998"/>
  </r>
</pivotCacheRecords>
</file>

<file path=xl/pivotCache/pivotCacheRecords2.xml><?xml version="1.0" encoding="utf-8"?>
<pivotCacheRecords xmlns="http://schemas.openxmlformats.org/spreadsheetml/2006/main" xmlns:r="http://schemas.openxmlformats.org/officeDocument/2006/relationships" count="26">
  <r>
    <x v="0"/>
    <x v="0"/>
    <x v="0"/>
    <x v="0"/>
    <x v="0"/>
    <x v="0"/>
    <x v="0"/>
    <m/>
    <m/>
    <m/>
    <m/>
    <m/>
    <m/>
    <m/>
    <m/>
    <m/>
    <m/>
    <m/>
    <m/>
    <m/>
  </r>
  <r>
    <x v="1"/>
    <x v="1"/>
    <x v="1"/>
    <x v="1"/>
    <x v="1"/>
    <x v="1"/>
    <x v="0"/>
    <m/>
    <m/>
    <m/>
    <m/>
    <m/>
    <m/>
    <m/>
    <m/>
    <m/>
    <m/>
    <m/>
    <m/>
    <m/>
  </r>
  <r>
    <x v="2"/>
    <x v="2"/>
    <x v="2"/>
    <x v="2"/>
    <x v="2"/>
    <x v="2"/>
    <x v="0"/>
    <m/>
    <m/>
    <m/>
    <m/>
    <m/>
    <m/>
    <m/>
    <m/>
    <m/>
    <m/>
    <m/>
    <m/>
    <m/>
  </r>
  <r>
    <x v="3"/>
    <x v="3"/>
    <x v="3"/>
    <x v="3"/>
    <x v="3"/>
    <x v="3"/>
    <x v="0"/>
    <m/>
    <m/>
    <m/>
    <m/>
    <m/>
    <m/>
    <m/>
    <m/>
    <m/>
    <m/>
    <m/>
    <m/>
    <m/>
  </r>
  <r>
    <x v="4"/>
    <x v="4"/>
    <x v="4"/>
    <x v="4"/>
    <x v="4"/>
    <x v="4"/>
    <x v="0"/>
    <m/>
    <m/>
    <m/>
    <m/>
    <m/>
    <m/>
    <m/>
    <m/>
    <m/>
    <m/>
    <m/>
    <m/>
    <m/>
  </r>
  <r>
    <x v="5"/>
    <x v="5"/>
    <x v="5"/>
    <x v="5"/>
    <x v="5"/>
    <x v="5"/>
    <x v="0"/>
    <m/>
    <m/>
    <m/>
    <m/>
    <m/>
    <m/>
    <m/>
    <m/>
    <m/>
    <m/>
    <m/>
    <m/>
    <m/>
  </r>
  <r>
    <x v="6"/>
    <x v="6"/>
    <x v="6"/>
    <x v="6"/>
    <x v="6"/>
    <x v="6"/>
    <x v="0"/>
    <m/>
    <m/>
    <m/>
    <m/>
    <m/>
    <m/>
    <m/>
    <m/>
    <m/>
    <m/>
    <m/>
    <m/>
    <m/>
  </r>
  <r>
    <x v="7"/>
    <x v="7"/>
    <x v="7"/>
    <x v="7"/>
    <x v="7"/>
    <x v="7"/>
    <x v="0"/>
    <m/>
    <m/>
    <m/>
    <m/>
    <m/>
    <m/>
    <m/>
    <m/>
    <m/>
    <m/>
    <m/>
    <m/>
    <m/>
  </r>
  <r>
    <x v="8"/>
    <x v="8"/>
    <x v="8"/>
    <x v="8"/>
    <x v="8"/>
    <x v="8"/>
    <x v="0"/>
    <m/>
    <m/>
    <m/>
    <m/>
    <m/>
    <m/>
    <m/>
    <m/>
    <m/>
    <m/>
    <m/>
    <m/>
    <m/>
  </r>
  <r>
    <x v="9"/>
    <x v="9"/>
    <x v="9"/>
    <x v="9"/>
    <x v="9"/>
    <x v="9"/>
    <x v="0"/>
    <m/>
    <m/>
    <m/>
    <m/>
    <m/>
    <m/>
    <m/>
    <m/>
    <m/>
    <m/>
    <m/>
    <m/>
    <m/>
  </r>
  <r>
    <x v="10"/>
    <x v="10"/>
    <x v="10"/>
    <x v="10"/>
    <x v="10"/>
    <x v="10"/>
    <x v="0"/>
    <m/>
    <m/>
    <m/>
    <m/>
    <m/>
    <m/>
    <m/>
    <m/>
    <m/>
    <m/>
    <m/>
    <m/>
    <m/>
  </r>
  <r>
    <x v="11"/>
    <x v="11"/>
    <x v="11"/>
    <x v="11"/>
    <x v="11"/>
    <x v="11"/>
    <x v="0"/>
    <m/>
    <m/>
    <m/>
    <m/>
    <m/>
    <m/>
    <m/>
    <m/>
    <m/>
    <m/>
    <m/>
    <m/>
    <m/>
  </r>
  <r>
    <x v="12"/>
    <x v="12"/>
    <x v="12"/>
    <x v="12"/>
    <x v="12"/>
    <x v="12"/>
    <x v="0"/>
    <m/>
    <m/>
    <m/>
    <m/>
    <m/>
    <m/>
    <m/>
    <m/>
    <m/>
    <m/>
    <m/>
    <m/>
    <m/>
  </r>
  <r>
    <x v="13"/>
    <x v="13"/>
    <x v="13"/>
    <x v="13"/>
    <x v="13"/>
    <x v="13"/>
    <x v="0"/>
    <m/>
    <m/>
    <m/>
    <m/>
    <m/>
    <m/>
    <m/>
    <m/>
    <m/>
    <m/>
    <m/>
    <m/>
    <m/>
  </r>
  <r>
    <x v="14"/>
    <x v="14"/>
    <x v="14"/>
    <x v="14"/>
    <x v="14"/>
    <x v="14"/>
    <x v="0"/>
    <m/>
    <m/>
    <m/>
    <m/>
    <m/>
    <m/>
    <m/>
    <m/>
    <m/>
    <m/>
    <m/>
    <m/>
    <m/>
  </r>
  <r>
    <x v="15"/>
    <x v="15"/>
    <x v="15"/>
    <x v="15"/>
    <x v="15"/>
    <x v="15"/>
    <x v="0"/>
    <m/>
    <m/>
    <m/>
    <m/>
    <m/>
    <m/>
    <m/>
    <m/>
    <m/>
    <m/>
    <m/>
    <m/>
    <m/>
  </r>
  <r>
    <x v="16"/>
    <x v="16"/>
    <x v="16"/>
    <x v="16"/>
    <x v="16"/>
    <x v="16"/>
    <x v="0"/>
    <m/>
    <m/>
    <m/>
    <m/>
    <m/>
    <m/>
    <m/>
    <m/>
    <m/>
    <m/>
    <m/>
    <m/>
    <m/>
  </r>
  <r>
    <x v="17"/>
    <x v="17"/>
    <x v="17"/>
    <x v="17"/>
    <x v="17"/>
    <x v="17"/>
    <x v="0"/>
    <m/>
    <m/>
    <m/>
    <m/>
    <m/>
    <m/>
    <m/>
    <m/>
    <m/>
    <m/>
    <m/>
    <m/>
    <m/>
  </r>
  <r>
    <x v="18"/>
    <x v="18"/>
    <x v="18"/>
    <x v="18"/>
    <x v="18"/>
    <x v="18"/>
    <x v="0"/>
    <m/>
    <m/>
    <m/>
    <m/>
    <m/>
    <m/>
    <m/>
    <m/>
    <m/>
    <m/>
    <m/>
    <m/>
    <m/>
  </r>
  <r>
    <x v="19"/>
    <x v="19"/>
    <x v="19"/>
    <x v="19"/>
    <x v="19"/>
    <x v="19"/>
    <x v="0"/>
    <m/>
    <m/>
    <m/>
    <m/>
    <m/>
    <m/>
    <m/>
    <m/>
    <m/>
    <m/>
    <m/>
    <m/>
    <m/>
  </r>
  <r>
    <x v="20"/>
    <x v="20"/>
    <x v="20"/>
    <x v="20"/>
    <x v="20"/>
    <x v="20"/>
    <x v="0"/>
    <m/>
    <m/>
    <m/>
    <m/>
    <m/>
    <m/>
    <m/>
    <m/>
    <m/>
    <m/>
    <m/>
    <m/>
    <m/>
  </r>
  <r>
    <x v="21"/>
    <x v="21"/>
    <x v="21"/>
    <x v="21"/>
    <x v="21"/>
    <x v="21"/>
    <x v="0"/>
    <m/>
    <m/>
    <m/>
    <m/>
    <m/>
    <m/>
    <m/>
    <m/>
    <m/>
    <m/>
    <m/>
    <m/>
    <m/>
  </r>
  <r>
    <x v="22"/>
    <x v="22"/>
    <x v="22"/>
    <x v="22"/>
    <x v="22"/>
    <x v="22"/>
    <x v="0"/>
    <m/>
    <m/>
    <m/>
    <m/>
    <m/>
    <m/>
    <m/>
    <m/>
    <m/>
    <m/>
    <m/>
    <m/>
    <m/>
  </r>
  <r>
    <x v="23"/>
    <x v="23"/>
    <x v="23"/>
    <x v="23"/>
    <x v="23"/>
    <x v="23"/>
    <x v="0"/>
    <m/>
    <m/>
    <m/>
    <m/>
    <m/>
    <m/>
    <m/>
    <m/>
    <m/>
    <m/>
    <m/>
    <m/>
    <m/>
  </r>
  <r>
    <x v="24"/>
    <x v="24"/>
    <x v="24"/>
    <x v="24"/>
    <x v="24"/>
    <x v="24"/>
    <x v="0"/>
    <m/>
    <m/>
    <m/>
    <m/>
    <m/>
    <m/>
    <m/>
    <m/>
    <m/>
    <m/>
    <m/>
    <m/>
    <m/>
  </r>
  <r>
    <x v="25"/>
    <x v="25"/>
    <x v="25"/>
    <x v="25"/>
    <x v="25"/>
    <x v="25"/>
    <x v="0"/>
    <m/>
    <m/>
    <m/>
    <m/>
    <m/>
    <m/>
    <m/>
    <m/>
    <m/>
    <m/>
    <m/>
    <m/>
    <m/>
  </r>
</pivotCacheRecords>
</file>

<file path=xl/pivotCache/pivotCacheRecords3.xml><?xml version="1.0" encoding="utf-8"?>
<pivotCacheRecords xmlns="http://schemas.openxmlformats.org/spreadsheetml/2006/main" xmlns:r="http://schemas.openxmlformats.org/officeDocument/2006/relationships" count="6910">
  <r>
    <x v="0"/>
    <x v="0"/>
    <x v="0"/>
    <x v="0"/>
    <x v="0"/>
    <x v="0"/>
    <x v="0"/>
    <n v="185584543.81"/>
    <x v="0"/>
    <x v="0"/>
    <x v="0"/>
  </r>
  <r>
    <x v="0"/>
    <x v="1"/>
    <x v="1"/>
    <x v="0"/>
    <x v="0"/>
    <x v="0"/>
    <x v="0"/>
    <n v="52376778.75"/>
    <x v="0"/>
    <x v="0"/>
    <x v="0"/>
  </r>
  <r>
    <x v="0"/>
    <x v="2"/>
    <x v="2"/>
    <x v="0"/>
    <x v="0"/>
    <x v="0"/>
    <x v="0"/>
    <n v="708619337.00999999"/>
    <x v="0"/>
    <x v="0"/>
    <x v="0"/>
  </r>
  <r>
    <x v="0"/>
    <x v="3"/>
    <x v="3"/>
    <x v="0"/>
    <x v="0"/>
    <x v="0"/>
    <x v="0"/>
    <n v="27894986.649999999"/>
    <x v="0"/>
    <x v="0"/>
    <x v="0"/>
  </r>
  <r>
    <x v="0"/>
    <x v="4"/>
    <x v="4"/>
    <x v="0"/>
    <x v="0"/>
    <x v="0"/>
    <x v="0"/>
    <n v="974475646.21999991"/>
    <x v="0"/>
    <x v="0"/>
    <x v="0"/>
  </r>
  <r>
    <x v="0"/>
    <x v="0"/>
    <x v="0"/>
    <x v="0"/>
    <x v="0"/>
    <x v="1"/>
    <x v="1"/>
    <n v="9475567.1600000001"/>
    <x v="0"/>
    <x v="0"/>
    <x v="1"/>
  </r>
  <r>
    <x v="0"/>
    <x v="1"/>
    <x v="1"/>
    <x v="0"/>
    <x v="0"/>
    <x v="1"/>
    <x v="1"/>
    <n v="3396107.3"/>
    <x v="0"/>
    <x v="0"/>
    <x v="1"/>
  </r>
  <r>
    <x v="0"/>
    <x v="2"/>
    <x v="2"/>
    <x v="0"/>
    <x v="0"/>
    <x v="1"/>
    <x v="1"/>
    <n v="29417960.43"/>
    <x v="0"/>
    <x v="0"/>
    <x v="1"/>
  </r>
  <r>
    <x v="0"/>
    <x v="3"/>
    <x v="3"/>
    <x v="0"/>
    <x v="0"/>
    <x v="1"/>
    <x v="1"/>
    <n v="1226371.1599999999"/>
    <x v="0"/>
    <x v="0"/>
    <x v="1"/>
  </r>
  <r>
    <x v="0"/>
    <x v="4"/>
    <x v="4"/>
    <x v="0"/>
    <x v="0"/>
    <x v="1"/>
    <x v="1"/>
    <n v="43516006.049999997"/>
    <x v="0"/>
    <x v="0"/>
    <x v="1"/>
  </r>
  <r>
    <x v="0"/>
    <x v="0"/>
    <x v="0"/>
    <x v="0"/>
    <x v="0"/>
    <x v="2"/>
    <x v="2"/>
    <n v="1858342.96"/>
    <x v="0"/>
    <x v="0"/>
    <x v="2"/>
  </r>
  <r>
    <x v="0"/>
    <x v="1"/>
    <x v="1"/>
    <x v="0"/>
    <x v="0"/>
    <x v="2"/>
    <x v="2"/>
    <n v="331114.65999999997"/>
    <x v="0"/>
    <x v="0"/>
    <x v="2"/>
  </r>
  <r>
    <x v="0"/>
    <x v="2"/>
    <x v="2"/>
    <x v="0"/>
    <x v="0"/>
    <x v="2"/>
    <x v="2"/>
    <n v="3446190.56"/>
    <x v="0"/>
    <x v="0"/>
    <x v="2"/>
  </r>
  <r>
    <x v="0"/>
    <x v="3"/>
    <x v="3"/>
    <x v="0"/>
    <x v="0"/>
    <x v="2"/>
    <x v="2"/>
    <n v="72091.210000000006"/>
    <x v="0"/>
    <x v="0"/>
    <x v="2"/>
  </r>
  <r>
    <x v="0"/>
    <x v="4"/>
    <x v="4"/>
    <x v="0"/>
    <x v="0"/>
    <x v="2"/>
    <x v="2"/>
    <n v="5707739.3899999997"/>
    <x v="0"/>
    <x v="0"/>
    <x v="2"/>
  </r>
  <r>
    <x v="0"/>
    <x v="0"/>
    <x v="0"/>
    <x v="0"/>
    <x v="0"/>
    <x v="3"/>
    <x v="3"/>
    <n v="1857992.96"/>
    <x v="0"/>
    <x v="0"/>
    <x v="3"/>
  </r>
  <r>
    <x v="0"/>
    <x v="1"/>
    <x v="1"/>
    <x v="0"/>
    <x v="0"/>
    <x v="3"/>
    <x v="3"/>
    <n v="330464.65999999997"/>
    <x v="0"/>
    <x v="0"/>
    <x v="3"/>
  </r>
  <r>
    <x v="0"/>
    <x v="2"/>
    <x v="2"/>
    <x v="0"/>
    <x v="0"/>
    <x v="3"/>
    <x v="3"/>
    <n v="3436630.56"/>
    <x v="0"/>
    <x v="0"/>
    <x v="3"/>
  </r>
  <r>
    <x v="0"/>
    <x v="3"/>
    <x v="3"/>
    <x v="0"/>
    <x v="0"/>
    <x v="3"/>
    <x v="3"/>
    <n v="71591.210000000006"/>
    <x v="0"/>
    <x v="0"/>
    <x v="3"/>
  </r>
  <r>
    <x v="0"/>
    <x v="4"/>
    <x v="4"/>
    <x v="0"/>
    <x v="0"/>
    <x v="3"/>
    <x v="3"/>
    <n v="5696679.3899999997"/>
    <x v="0"/>
    <x v="0"/>
    <x v="3"/>
  </r>
  <r>
    <x v="0"/>
    <x v="0"/>
    <x v="0"/>
    <x v="0"/>
    <x v="0"/>
    <x v="4"/>
    <x v="4"/>
    <n v="350"/>
    <x v="0"/>
    <x v="0"/>
    <x v="3"/>
  </r>
  <r>
    <x v="0"/>
    <x v="1"/>
    <x v="1"/>
    <x v="0"/>
    <x v="0"/>
    <x v="4"/>
    <x v="4"/>
    <n v="650"/>
    <x v="0"/>
    <x v="0"/>
    <x v="3"/>
  </r>
  <r>
    <x v="0"/>
    <x v="2"/>
    <x v="2"/>
    <x v="0"/>
    <x v="0"/>
    <x v="4"/>
    <x v="4"/>
    <n v="9560"/>
    <x v="0"/>
    <x v="0"/>
    <x v="3"/>
  </r>
  <r>
    <x v="0"/>
    <x v="3"/>
    <x v="3"/>
    <x v="0"/>
    <x v="0"/>
    <x v="4"/>
    <x v="4"/>
    <n v="500"/>
    <x v="0"/>
    <x v="0"/>
    <x v="3"/>
  </r>
  <r>
    <x v="0"/>
    <x v="4"/>
    <x v="4"/>
    <x v="0"/>
    <x v="0"/>
    <x v="4"/>
    <x v="4"/>
    <n v="11060"/>
    <x v="0"/>
    <x v="0"/>
    <x v="3"/>
  </r>
  <r>
    <x v="0"/>
    <x v="0"/>
    <x v="0"/>
    <x v="0"/>
    <x v="0"/>
    <x v="5"/>
    <x v="5"/>
    <n v="4232516.55"/>
    <x v="0"/>
    <x v="0"/>
    <x v="2"/>
  </r>
  <r>
    <x v="0"/>
    <x v="1"/>
    <x v="1"/>
    <x v="0"/>
    <x v="0"/>
    <x v="5"/>
    <x v="5"/>
    <n v="1359155.1"/>
    <x v="0"/>
    <x v="0"/>
    <x v="2"/>
  </r>
  <r>
    <x v="0"/>
    <x v="2"/>
    <x v="2"/>
    <x v="0"/>
    <x v="0"/>
    <x v="5"/>
    <x v="5"/>
    <n v="11712100.300000001"/>
    <x v="0"/>
    <x v="0"/>
    <x v="2"/>
  </r>
  <r>
    <x v="0"/>
    <x v="3"/>
    <x v="3"/>
    <x v="0"/>
    <x v="0"/>
    <x v="5"/>
    <x v="5"/>
    <n v="595644.91"/>
    <x v="0"/>
    <x v="0"/>
    <x v="2"/>
  </r>
  <r>
    <x v="0"/>
    <x v="4"/>
    <x v="4"/>
    <x v="0"/>
    <x v="0"/>
    <x v="5"/>
    <x v="5"/>
    <n v="17899416.859999999"/>
    <x v="0"/>
    <x v="0"/>
    <x v="2"/>
  </r>
  <r>
    <x v="0"/>
    <x v="0"/>
    <x v="0"/>
    <x v="0"/>
    <x v="0"/>
    <x v="6"/>
    <x v="6"/>
    <n v="4232516.55"/>
    <x v="0"/>
    <x v="0"/>
    <x v="3"/>
  </r>
  <r>
    <x v="0"/>
    <x v="1"/>
    <x v="1"/>
    <x v="0"/>
    <x v="0"/>
    <x v="6"/>
    <x v="6"/>
    <n v="1359155.1"/>
    <x v="0"/>
    <x v="0"/>
    <x v="3"/>
  </r>
  <r>
    <x v="0"/>
    <x v="2"/>
    <x v="2"/>
    <x v="0"/>
    <x v="0"/>
    <x v="6"/>
    <x v="6"/>
    <n v="11712100.300000001"/>
    <x v="0"/>
    <x v="0"/>
    <x v="3"/>
  </r>
  <r>
    <x v="0"/>
    <x v="3"/>
    <x v="3"/>
    <x v="0"/>
    <x v="0"/>
    <x v="6"/>
    <x v="6"/>
    <n v="595644.91"/>
    <x v="0"/>
    <x v="0"/>
    <x v="3"/>
  </r>
  <r>
    <x v="0"/>
    <x v="4"/>
    <x v="4"/>
    <x v="0"/>
    <x v="0"/>
    <x v="6"/>
    <x v="6"/>
    <n v="17899416.859999999"/>
    <x v="0"/>
    <x v="0"/>
    <x v="3"/>
  </r>
  <r>
    <x v="0"/>
    <x v="0"/>
    <x v="0"/>
    <x v="0"/>
    <x v="0"/>
    <x v="7"/>
    <x v="7"/>
    <n v="0"/>
    <x v="0"/>
    <x v="0"/>
    <x v="3"/>
  </r>
  <r>
    <x v="0"/>
    <x v="1"/>
    <x v="1"/>
    <x v="0"/>
    <x v="0"/>
    <x v="7"/>
    <x v="7"/>
    <n v="0"/>
    <x v="0"/>
    <x v="0"/>
    <x v="3"/>
  </r>
  <r>
    <x v="0"/>
    <x v="2"/>
    <x v="2"/>
    <x v="0"/>
    <x v="0"/>
    <x v="7"/>
    <x v="7"/>
    <n v="0"/>
    <x v="0"/>
    <x v="0"/>
    <x v="3"/>
  </r>
  <r>
    <x v="0"/>
    <x v="3"/>
    <x v="3"/>
    <x v="0"/>
    <x v="0"/>
    <x v="7"/>
    <x v="7"/>
    <n v="0"/>
    <x v="0"/>
    <x v="0"/>
    <x v="3"/>
  </r>
  <r>
    <x v="0"/>
    <x v="4"/>
    <x v="4"/>
    <x v="0"/>
    <x v="0"/>
    <x v="7"/>
    <x v="7"/>
    <n v="0"/>
    <x v="0"/>
    <x v="0"/>
    <x v="3"/>
  </r>
  <r>
    <x v="0"/>
    <x v="0"/>
    <x v="0"/>
    <x v="0"/>
    <x v="0"/>
    <x v="8"/>
    <x v="8"/>
    <n v="0"/>
    <x v="0"/>
    <x v="0"/>
    <x v="3"/>
  </r>
  <r>
    <x v="0"/>
    <x v="1"/>
    <x v="1"/>
    <x v="0"/>
    <x v="0"/>
    <x v="8"/>
    <x v="8"/>
    <n v="0"/>
    <x v="0"/>
    <x v="0"/>
    <x v="3"/>
  </r>
  <r>
    <x v="0"/>
    <x v="2"/>
    <x v="2"/>
    <x v="0"/>
    <x v="0"/>
    <x v="8"/>
    <x v="8"/>
    <n v="0"/>
    <x v="0"/>
    <x v="0"/>
    <x v="3"/>
  </r>
  <r>
    <x v="0"/>
    <x v="3"/>
    <x v="3"/>
    <x v="0"/>
    <x v="0"/>
    <x v="8"/>
    <x v="8"/>
    <n v="0"/>
    <x v="0"/>
    <x v="0"/>
    <x v="3"/>
  </r>
  <r>
    <x v="0"/>
    <x v="4"/>
    <x v="4"/>
    <x v="0"/>
    <x v="0"/>
    <x v="8"/>
    <x v="8"/>
    <n v="0"/>
    <x v="0"/>
    <x v="0"/>
    <x v="3"/>
  </r>
  <r>
    <x v="0"/>
    <x v="0"/>
    <x v="0"/>
    <x v="0"/>
    <x v="0"/>
    <x v="9"/>
    <x v="9"/>
    <n v="3375409.95"/>
    <x v="0"/>
    <x v="0"/>
    <x v="2"/>
  </r>
  <r>
    <x v="0"/>
    <x v="1"/>
    <x v="1"/>
    <x v="0"/>
    <x v="0"/>
    <x v="9"/>
    <x v="9"/>
    <n v="1688841.44"/>
    <x v="0"/>
    <x v="0"/>
    <x v="2"/>
  </r>
  <r>
    <x v="0"/>
    <x v="2"/>
    <x v="2"/>
    <x v="0"/>
    <x v="0"/>
    <x v="9"/>
    <x v="9"/>
    <n v="13601042.869999999"/>
    <x v="0"/>
    <x v="0"/>
    <x v="2"/>
  </r>
  <r>
    <x v="0"/>
    <x v="3"/>
    <x v="3"/>
    <x v="0"/>
    <x v="0"/>
    <x v="9"/>
    <x v="9"/>
    <n v="550118.04"/>
    <x v="0"/>
    <x v="0"/>
    <x v="2"/>
  </r>
  <r>
    <x v="0"/>
    <x v="4"/>
    <x v="4"/>
    <x v="0"/>
    <x v="0"/>
    <x v="9"/>
    <x v="9"/>
    <n v="19215412.300000001"/>
    <x v="0"/>
    <x v="0"/>
    <x v="2"/>
  </r>
  <r>
    <x v="0"/>
    <x v="0"/>
    <x v="0"/>
    <x v="0"/>
    <x v="0"/>
    <x v="6"/>
    <x v="10"/>
    <n v="0"/>
    <x v="0"/>
    <x v="0"/>
    <x v="3"/>
  </r>
  <r>
    <x v="0"/>
    <x v="1"/>
    <x v="1"/>
    <x v="0"/>
    <x v="0"/>
    <x v="6"/>
    <x v="10"/>
    <n v="0"/>
    <x v="0"/>
    <x v="0"/>
    <x v="3"/>
  </r>
  <r>
    <x v="0"/>
    <x v="2"/>
    <x v="2"/>
    <x v="0"/>
    <x v="0"/>
    <x v="6"/>
    <x v="10"/>
    <n v="0"/>
    <x v="0"/>
    <x v="0"/>
    <x v="3"/>
  </r>
  <r>
    <x v="0"/>
    <x v="3"/>
    <x v="3"/>
    <x v="0"/>
    <x v="0"/>
    <x v="6"/>
    <x v="10"/>
    <n v="0"/>
    <x v="0"/>
    <x v="0"/>
    <x v="3"/>
  </r>
  <r>
    <x v="0"/>
    <x v="4"/>
    <x v="4"/>
    <x v="0"/>
    <x v="0"/>
    <x v="6"/>
    <x v="10"/>
    <n v="0"/>
    <x v="0"/>
    <x v="0"/>
    <x v="3"/>
  </r>
  <r>
    <x v="0"/>
    <x v="0"/>
    <x v="0"/>
    <x v="0"/>
    <x v="0"/>
    <x v="10"/>
    <x v="11"/>
    <n v="3042305.51"/>
    <x v="0"/>
    <x v="0"/>
    <x v="3"/>
  </r>
  <r>
    <x v="0"/>
    <x v="1"/>
    <x v="1"/>
    <x v="0"/>
    <x v="0"/>
    <x v="10"/>
    <x v="11"/>
    <n v="1688841.44"/>
    <x v="0"/>
    <x v="0"/>
    <x v="3"/>
  </r>
  <r>
    <x v="0"/>
    <x v="2"/>
    <x v="2"/>
    <x v="0"/>
    <x v="0"/>
    <x v="10"/>
    <x v="11"/>
    <n v="12725813.6"/>
    <x v="0"/>
    <x v="0"/>
    <x v="3"/>
  </r>
  <r>
    <x v="0"/>
    <x v="3"/>
    <x v="3"/>
    <x v="0"/>
    <x v="0"/>
    <x v="10"/>
    <x v="11"/>
    <n v="550118.04"/>
    <x v="0"/>
    <x v="0"/>
    <x v="3"/>
  </r>
  <r>
    <x v="0"/>
    <x v="4"/>
    <x v="4"/>
    <x v="0"/>
    <x v="0"/>
    <x v="10"/>
    <x v="11"/>
    <n v="18007078.59"/>
    <x v="0"/>
    <x v="0"/>
    <x v="3"/>
  </r>
  <r>
    <x v="0"/>
    <x v="0"/>
    <x v="0"/>
    <x v="0"/>
    <x v="0"/>
    <x v="11"/>
    <x v="12"/>
    <n v="318442.77"/>
    <x v="0"/>
    <x v="0"/>
    <x v="3"/>
  </r>
  <r>
    <x v="0"/>
    <x v="1"/>
    <x v="1"/>
    <x v="0"/>
    <x v="0"/>
    <x v="11"/>
    <x v="12"/>
    <n v="0"/>
    <x v="0"/>
    <x v="0"/>
    <x v="3"/>
  </r>
  <r>
    <x v="0"/>
    <x v="2"/>
    <x v="2"/>
    <x v="0"/>
    <x v="0"/>
    <x v="11"/>
    <x v="12"/>
    <n v="875229.27"/>
    <x v="0"/>
    <x v="0"/>
    <x v="3"/>
  </r>
  <r>
    <x v="0"/>
    <x v="3"/>
    <x v="3"/>
    <x v="0"/>
    <x v="0"/>
    <x v="11"/>
    <x v="12"/>
    <n v="0"/>
    <x v="0"/>
    <x v="0"/>
    <x v="3"/>
  </r>
  <r>
    <x v="0"/>
    <x v="4"/>
    <x v="4"/>
    <x v="0"/>
    <x v="0"/>
    <x v="11"/>
    <x v="12"/>
    <n v="1193672.04"/>
    <x v="0"/>
    <x v="0"/>
    <x v="3"/>
  </r>
  <r>
    <x v="0"/>
    <x v="0"/>
    <x v="0"/>
    <x v="0"/>
    <x v="0"/>
    <x v="12"/>
    <x v="13"/>
    <n v="14661.67"/>
    <x v="0"/>
    <x v="0"/>
    <x v="3"/>
  </r>
  <r>
    <x v="0"/>
    <x v="1"/>
    <x v="1"/>
    <x v="0"/>
    <x v="0"/>
    <x v="12"/>
    <x v="13"/>
    <n v="0"/>
    <x v="0"/>
    <x v="0"/>
    <x v="3"/>
  </r>
  <r>
    <x v="0"/>
    <x v="2"/>
    <x v="2"/>
    <x v="0"/>
    <x v="0"/>
    <x v="12"/>
    <x v="13"/>
    <n v="0"/>
    <x v="0"/>
    <x v="0"/>
    <x v="3"/>
  </r>
  <r>
    <x v="0"/>
    <x v="3"/>
    <x v="3"/>
    <x v="0"/>
    <x v="0"/>
    <x v="12"/>
    <x v="13"/>
    <n v="0"/>
    <x v="0"/>
    <x v="0"/>
    <x v="3"/>
  </r>
  <r>
    <x v="0"/>
    <x v="4"/>
    <x v="4"/>
    <x v="0"/>
    <x v="0"/>
    <x v="12"/>
    <x v="13"/>
    <n v="14661.67"/>
    <x v="0"/>
    <x v="0"/>
    <x v="3"/>
  </r>
  <r>
    <x v="0"/>
    <x v="0"/>
    <x v="0"/>
    <x v="0"/>
    <x v="0"/>
    <x v="13"/>
    <x v="14"/>
    <n v="0"/>
    <x v="0"/>
    <x v="0"/>
    <x v="2"/>
  </r>
  <r>
    <x v="0"/>
    <x v="1"/>
    <x v="1"/>
    <x v="0"/>
    <x v="0"/>
    <x v="13"/>
    <x v="14"/>
    <n v="16996.099999999999"/>
    <x v="0"/>
    <x v="0"/>
    <x v="2"/>
  </r>
  <r>
    <x v="0"/>
    <x v="2"/>
    <x v="2"/>
    <x v="0"/>
    <x v="0"/>
    <x v="13"/>
    <x v="14"/>
    <n v="658626.69999999995"/>
    <x v="0"/>
    <x v="0"/>
    <x v="2"/>
  </r>
  <r>
    <x v="0"/>
    <x v="3"/>
    <x v="3"/>
    <x v="0"/>
    <x v="0"/>
    <x v="13"/>
    <x v="14"/>
    <n v="8517"/>
    <x v="0"/>
    <x v="0"/>
    <x v="2"/>
  </r>
  <r>
    <x v="0"/>
    <x v="4"/>
    <x v="4"/>
    <x v="0"/>
    <x v="0"/>
    <x v="13"/>
    <x v="14"/>
    <n v="684139.8"/>
    <x v="0"/>
    <x v="0"/>
    <x v="2"/>
  </r>
  <r>
    <x v="0"/>
    <x v="0"/>
    <x v="0"/>
    <x v="0"/>
    <x v="0"/>
    <x v="13"/>
    <x v="15"/>
    <n v="0"/>
    <x v="0"/>
    <x v="0"/>
    <x v="3"/>
  </r>
  <r>
    <x v="0"/>
    <x v="1"/>
    <x v="1"/>
    <x v="0"/>
    <x v="0"/>
    <x v="13"/>
    <x v="15"/>
    <n v="16996.099999999999"/>
    <x v="0"/>
    <x v="0"/>
    <x v="3"/>
  </r>
  <r>
    <x v="0"/>
    <x v="2"/>
    <x v="2"/>
    <x v="0"/>
    <x v="0"/>
    <x v="13"/>
    <x v="15"/>
    <n v="658626.69999999995"/>
    <x v="0"/>
    <x v="0"/>
    <x v="3"/>
  </r>
  <r>
    <x v="0"/>
    <x v="3"/>
    <x v="3"/>
    <x v="0"/>
    <x v="0"/>
    <x v="13"/>
    <x v="15"/>
    <n v="8517"/>
    <x v="0"/>
    <x v="0"/>
    <x v="3"/>
  </r>
  <r>
    <x v="0"/>
    <x v="4"/>
    <x v="4"/>
    <x v="0"/>
    <x v="0"/>
    <x v="13"/>
    <x v="15"/>
    <n v="684139.8"/>
    <x v="0"/>
    <x v="0"/>
    <x v="3"/>
  </r>
  <r>
    <x v="0"/>
    <x v="0"/>
    <x v="0"/>
    <x v="0"/>
    <x v="0"/>
    <x v="14"/>
    <x v="16"/>
    <n v="9297.7000000000007"/>
    <x v="0"/>
    <x v="0"/>
    <x v="2"/>
  </r>
  <r>
    <x v="0"/>
    <x v="1"/>
    <x v="1"/>
    <x v="0"/>
    <x v="0"/>
    <x v="14"/>
    <x v="16"/>
    <n v="0"/>
    <x v="0"/>
    <x v="0"/>
    <x v="2"/>
  </r>
  <r>
    <x v="0"/>
    <x v="2"/>
    <x v="2"/>
    <x v="0"/>
    <x v="0"/>
    <x v="14"/>
    <x v="16"/>
    <n v="0"/>
    <x v="0"/>
    <x v="0"/>
    <x v="2"/>
  </r>
  <r>
    <x v="0"/>
    <x v="3"/>
    <x v="3"/>
    <x v="0"/>
    <x v="0"/>
    <x v="14"/>
    <x v="16"/>
    <n v="0"/>
    <x v="0"/>
    <x v="0"/>
    <x v="2"/>
  </r>
  <r>
    <x v="0"/>
    <x v="4"/>
    <x v="4"/>
    <x v="0"/>
    <x v="0"/>
    <x v="14"/>
    <x v="16"/>
    <n v="9297.7000000000007"/>
    <x v="0"/>
    <x v="0"/>
    <x v="2"/>
  </r>
  <r>
    <x v="0"/>
    <x v="0"/>
    <x v="0"/>
    <x v="0"/>
    <x v="0"/>
    <x v="15"/>
    <x v="17"/>
    <n v="9297.7000000000007"/>
    <x v="0"/>
    <x v="0"/>
    <x v="3"/>
  </r>
  <r>
    <x v="0"/>
    <x v="1"/>
    <x v="1"/>
    <x v="0"/>
    <x v="0"/>
    <x v="15"/>
    <x v="17"/>
    <n v="0"/>
    <x v="0"/>
    <x v="0"/>
    <x v="3"/>
  </r>
  <r>
    <x v="0"/>
    <x v="2"/>
    <x v="2"/>
    <x v="0"/>
    <x v="0"/>
    <x v="15"/>
    <x v="17"/>
    <n v="0"/>
    <x v="0"/>
    <x v="0"/>
    <x v="3"/>
  </r>
  <r>
    <x v="0"/>
    <x v="3"/>
    <x v="3"/>
    <x v="0"/>
    <x v="0"/>
    <x v="15"/>
    <x v="17"/>
    <n v="0"/>
    <x v="0"/>
    <x v="0"/>
    <x v="3"/>
  </r>
  <r>
    <x v="0"/>
    <x v="4"/>
    <x v="4"/>
    <x v="0"/>
    <x v="0"/>
    <x v="15"/>
    <x v="17"/>
    <n v="9297.7000000000007"/>
    <x v="0"/>
    <x v="0"/>
    <x v="3"/>
  </r>
  <r>
    <x v="0"/>
    <x v="0"/>
    <x v="0"/>
    <x v="0"/>
    <x v="0"/>
    <x v="16"/>
    <x v="18"/>
    <n v="0"/>
    <x v="0"/>
    <x v="0"/>
    <x v="3"/>
  </r>
  <r>
    <x v="0"/>
    <x v="1"/>
    <x v="1"/>
    <x v="0"/>
    <x v="0"/>
    <x v="16"/>
    <x v="18"/>
    <n v="0"/>
    <x v="0"/>
    <x v="0"/>
    <x v="3"/>
  </r>
  <r>
    <x v="0"/>
    <x v="2"/>
    <x v="2"/>
    <x v="0"/>
    <x v="0"/>
    <x v="16"/>
    <x v="18"/>
    <n v="0"/>
    <x v="0"/>
    <x v="0"/>
    <x v="3"/>
  </r>
  <r>
    <x v="0"/>
    <x v="3"/>
    <x v="3"/>
    <x v="0"/>
    <x v="0"/>
    <x v="16"/>
    <x v="18"/>
    <n v="0"/>
    <x v="0"/>
    <x v="0"/>
    <x v="3"/>
  </r>
  <r>
    <x v="0"/>
    <x v="4"/>
    <x v="4"/>
    <x v="0"/>
    <x v="0"/>
    <x v="16"/>
    <x v="18"/>
    <n v="0"/>
    <x v="0"/>
    <x v="0"/>
    <x v="3"/>
  </r>
  <r>
    <x v="0"/>
    <x v="0"/>
    <x v="0"/>
    <x v="0"/>
    <x v="0"/>
    <x v="17"/>
    <x v="19"/>
    <n v="0"/>
    <x v="0"/>
    <x v="0"/>
    <x v="1"/>
  </r>
  <r>
    <x v="0"/>
    <x v="1"/>
    <x v="1"/>
    <x v="0"/>
    <x v="0"/>
    <x v="17"/>
    <x v="19"/>
    <n v="0"/>
    <x v="0"/>
    <x v="0"/>
    <x v="1"/>
  </r>
  <r>
    <x v="0"/>
    <x v="2"/>
    <x v="2"/>
    <x v="0"/>
    <x v="0"/>
    <x v="17"/>
    <x v="19"/>
    <n v="0"/>
    <x v="0"/>
    <x v="0"/>
    <x v="1"/>
  </r>
  <r>
    <x v="0"/>
    <x v="3"/>
    <x v="3"/>
    <x v="0"/>
    <x v="0"/>
    <x v="17"/>
    <x v="19"/>
    <n v="0"/>
    <x v="0"/>
    <x v="0"/>
    <x v="1"/>
  </r>
  <r>
    <x v="0"/>
    <x v="4"/>
    <x v="4"/>
    <x v="0"/>
    <x v="0"/>
    <x v="17"/>
    <x v="19"/>
    <n v="0"/>
    <x v="0"/>
    <x v="0"/>
    <x v="1"/>
  </r>
  <r>
    <x v="0"/>
    <x v="0"/>
    <x v="0"/>
    <x v="0"/>
    <x v="0"/>
    <x v="18"/>
    <x v="20"/>
    <n v="0"/>
    <x v="0"/>
    <x v="0"/>
    <x v="2"/>
  </r>
  <r>
    <x v="0"/>
    <x v="1"/>
    <x v="1"/>
    <x v="0"/>
    <x v="0"/>
    <x v="18"/>
    <x v="20"/>
    <n v="0"/>
    <x v="0"/>
    <x v="0"/>
    <x v="2"/>
  </r>
  <r>
    <x v="0"/>
    <x v="2"/>
    <x v="2"/>
    <x v="0"/>
    <x v="0"/>
    <x v="18"/>
    <x v="20"/>
    <n v="0"/>
    <x v="0"/>
    <x v="0"/>
    <x v="2"/>
  </r>
  <r>
    <x v="0"/>
    <x v="3"/>
    <x v="3"/>
    <x v="0"/>
    <x v="0"/>
    <x v="18"/>
    <x v="20"/>
    <n v="0"/>
    <x v="0"/>
    <x v="0"/>
    <x v="2"/>
  </r>
  <r>
    <x v="0"/>
    <x v="4"/>
    <x v="4"/>
    <x v="0"/>
    <x v="0"/>
    <x v="18"/>
    <x v="20"/>
    <n v="0"/>
    <x v="0"/>
    <x v="0"/>
    <x v="2"/>
  </r>
  <r>
    <x v="0"/>
    <x v="0"/>
    <x v="0"/>
    <x v="0"/>
    <x v="0"/>
    <x v="19"/>
    <x v="21"/>
    <n v="0"/>
    <x v="0"/>
    <x v="0"/>
    <x v="3"/>
  </r>
  <r>
    <x v="0"/>
    <x v="1"/>
    <x v="1"/>
    <x v="0"/>
    <x v="0"/>
    <x v="19"/>
    <x v="21"/>
    <n v="0"/>
    <x v="0"/>
    <x v="0"/>
    <x v="3"/>
  </r>
  <r>
    <x v="0"/>
    <x v="2"/>
    <x v="2"/>
    <x v="0"/>
    <x v="0"/>
    <x v="19"/>
    <x v="21"/>
    <n v="0"/>
    <x v="0"/>
    <x v="0"/>
    <x v="3"/>
  </r>
  <r>
    <x v="0"/>
    <x v="3"/>
    <x v="3"/>
    <x v="0"/>
    <x v="0"/>
    <x v="19"/>
    <x v="21"/>
    <n v="0"/>
    <x v="0"/>
    <x v="0"/>
    <x v="3"/>
  </r>
  <r>
    <x v="0"/>
    <x v="4"/>
    <x v="4"/>
    <x v="0"/>
    <x v="0"/>
    <x v="19"/>
    <x v="21"/>
    <n v="0"/>
    <x v="0"/>
    <x v="0"/>
    <x v="3"/>
  </r>
  <r>
    <x v="0"/>
    <x v="0"/>
    <x v="0"/>
    <x v="0"/>
    <x v="0"/>
    <x v="20"/>
    <x v="22"/>
    <n v="0"/>
    <x v="0"/>
    <x v="0"/>
    <x v="3"/>
  </r>
  <r>
    <x v="0"/>
    <x v="1"/>
    <x v="1"/>
    <x v="0"/>
    <x v="0"/>
    <x v="20"/>
    <x v="22"/>
    <n v="0"/>
    <x v="0"/>
    <x v="0"/>
    <x v="3"/>
  </r>
  <r>
    <x v="0"/>
    <x v="2"/>
    <x v="2"/>
    <x v="0"/>
    <x v="0"/>
    <x v="20"/>
    <x v="22"/>
    <n v="0"/>
    <x v="0"/>
    <x v="0"/>
    <x v="3"/>
  </r>
  <r>
    <x v="0"/>
    <x v="3"/>
    <x v="3"/>
    <x v="0"/>
    <x v="0"/>
    <x v="20"/>
    <x v="22"/>
    <n v="0"/>
    <x v="0"/>
    <x v="0"/>
    <x v="3"/>
  </r>
  <r>
    <x v="0"/>
    <x v="4"/>
    <x v="4"/>
    <x v="0"/>
    <x v="0"/>
    <x v="20"/>
    <x v="22"/>
    <n v="0"/>
    <x v="0"/>
    <x v="0"/>
    <x v="3"/>
  </r>
  <r>
    <x v="0"/>
    <x v="0"/>
    <x v="0"/>
    <x v="0"/>
    <x v="0"/>
    <x v="12"/>
    <x v="23"/>
    <n v="0"/>
    <x v="0"/>
    <x v="0"/>
    <x v="3"/>
  </r>
  <r>
    <x v="0"/>
    <x v="1"/>
    <x v="1"/>
    <x v="0"/>
    <x v="0"/>
    <x v="12"/>
    <x v="23"/>
    <n v="0"/>
    <x v="0"/>
    <x v="0"/>
    <x v="3"/>
  </r>
  <r>
    <x v="0"/>
    <x v="2"/>
    <x v="2"/>
    <x v="0"/>
    <x v="0"/>
    <x v="12"/>
    <x v="23"/>
    <n v="0"/>
    <x v="0"/>
    <x v="0"/>
    <x v="3"/>
  </r>
  <r>
    <x v="0"/>
    <x v="3"/>
    <x v="3"/>
    <x v="0"/>
    <x v="0"/>
    <x v="12"/>
    <x v="23"/>
    <n v="0"/>
    <x v="0"/>
    <x v="0"/>
    <x v="3"/>
  </r>
  <r>
    <x v="0"/>
    <x v="4"/>
    <x v="4"/>
    <x v="0"/>
    <x v="0"/>
    <x v="12"/>
    <x v="23"/>
    <n v="0"/>
    <x v="0"/>
    <x v="0"/>
    <x v="3"/>
  </r>
  <r>
    <x v="0"/>
    <x v="0"/>
    <x v="0"/>
    <x v="0"/>
    <x v="0"/>
    <x v="21"/>
    <x v="24"/>
    <n v="0"/>
    <x v="0"/>
    <x v="0"/>
    <x v="2"/>
  </r>
  <r>
    <x v="0"/>
    <x v="1"/>
    <x v="1"/>
    <x v="0"/>
    <x v="0"/>
    <x v="21"/>
    <x v="24"/>
    <n v="0"/>
    <x v="0"/>
    <x v="0"/>
    <x v="2"/>
  </r>
  <r>
    <x v="0"/>
    <x v="2"/>
    <x v="2"/>
    <x v="0"/>
    <x v="0"/>
    <x v="21"/>
    <x v="24"/>
    <n v="0"/>
    <x v="0"/>
    <x v="0"/>
    <x v="2"/>
  </r>
  <r>
    <x v="0"/>
    <x v="3"/>
    <x v="3"/>
    <x v="0"/>
    <x v="0"/>
    <x v="21"/>
    <x v="24"/>
    <n v="0"/>
    <x v="0"/>
    <x v="0"/>
    <x v="2"/>
  </r>
  <r>
    <x v="0"/>
    <x v="4"/>
    <x v="4"/>
    <x v="0"/>
    <x v="0"/>
    <x v="21"/>
    <x v="24"/>
    <n v="0"/>
    <x v="0"/>
    <x v="0"/>
    <x v="2"/>
  </r>
  <r>
    <x v="0"/>
    <x v="0"/>
    <x v="0"/>
    <x v="0"/>
    <x v="0"/>
    <x v="22"/>
    <x v="25"/>
    <n v="0"/>
    <x v="0"/>
    <x v="0"/>
    <x v="3"/>
  </r>
  <r>
    <x v="0"/>
    <x v="1"/>
    <x v="1"/>
    <x v="0"/>
    <x v="0"/>
    <x v="22"/>
    <x v="25"/>
    <n v="0"/>
    <x v="0"/>
    <x v="0"/>
    <x v="3"/>
  </r>
  <r>
    <x v="0"/>
    <x v="2"/>
    <x v="2"/>
    <x v="0"/>
    <x v="0"/>
    <x v="22"/>
    <x v="25"/>
    <n v="0"/>
    <x v="0"/>
    <x v="0"/>
    <x v="3"/>
  </r>
  <r>
    <x v="0"/>
    <x v="3"/>
    <x v="3"/>
    <x v="0"/>
    <x v="0"/>
    <x v="22"/>
    <x v="25"/>
    <n v="0"/>
    <x v="0"/>
    <x v="0"/>
    <x v="3"/>
  </r>
  <r>
    <x v="0"/>
    <x v="4"/>
    <x v="4"/>
    <x v="0"/>
    <x v="0"/>
    <x v="22"/>
    <x v="25"/>
    <n v="0"/>
    <x v="0"/>
    <x v="0"/>
    <x v="3"/>
  </r>
  <r>
    <x v="0"/>
    <x v="0"/>
    <x v="0"/>
    <x v="0"/>
    <x v="0"/>
    <x v="19"/>
    <x v="26"/>
    <n v="0"/>
    <x v="0"/>
    <x v="0"/>
    <x v="3"/>
  </r>
  <r>
    <x v="0"/>
    <x v="1"/>
    <x v="1"/>
    <x v="0"/>
    <x v="0"/>
    <x v="19"/>
    <x v="26"/>
    <n v="0"/>
    <x v="0"/>
    <x v="0"/>
    <x v="3"/>
  </r>
  <r>
    <x v="0"/>
    <x v="2"/>
    <x v="2"/>
    <x v="0"/>
    <x v="0"/>
    <x v="19"/>
    <x v="26"/>
    <n v="0"/>
    <x v="0"/>
    <x v="0"/>
    <x v="3"/>
  </r>
  <r>
    <x v="0"/>
    <x v="3"/>
    <x v="3"/>
    <x v="0"/>
    <x v="0"/>
    <x v="19"/>
    <x v="26"/>
    <n v="0"/>
    <x v="0"/>
    <x v="0"/>
    <x v="3"/>
  </r>
  <r>
    <x v="0"/>
    <x v="4"/>
    <x v="4"/>
    <x v="0"/>
    <x v="0"/>
    <x v="19"/>
    <x v="26"/>
    <n v="0"/>
    <x v="0"/>
    <x v="0"/>
    <x v="3"/>
  </r>
  <r>
    <x v="0"/>
    <x v="0"/>
    <x v="0"/>
    <x v="0"/>
    <x v="0"/>
    <x v="20"/>
    <x v="27"/>
    <n v="0"/>
    <x v="0"/>
    <x v="0"/>
    <x v="3"/>
  </r>
  <r>
    <x v="0"/>
    <x v="1"/>
    <x v="1"/>
    <x v="0"/>
    <x v="0"/>
    <x v="20"/>
    <x v="27"/>
    <n v="0"/>
    <x v="0"/>
    <x v="0"/>
    <x v="3"/>
  </r>
  <r>
    <x v="0"/>
    <x v="2"/>
    <x v="2"/>
    <x v="0"/>
    <x v="0"/>
    <x v="20"/>
    <x v="27"/>
    <n v="0"/>
    <x v="0"/>
    <x v="0"/>
    <x v="3"/>
  </r>
  <r>
    <x v="0"/>
    <x v="3"/>
    <x v="3"/>
    <x v="0"/>
    <x v="0"/>
    <x v="20"/>
    <x v="27"/>
    <n v="0"/>
    <x v="0"/>
    <x v="0"/>
    <x v="3"/>
  </r>
  <r>
    <x v="0"/>
    <x v="4"/>
    <x v="4"/>
    <x v="0"/>
    <x v="0"/>
    <x v="20"/>
    <x v="27"/>
    <n v="0"/>
    <x v="0"/>
    <x v="0"/>
    <x v="3"/>
  </r>
  <r>
    <x v="0"/>
    <x v="0"/>
    <x v="0"/>
    <x v="0"/>
    <x v="0"/>
    <x v="12"/>
    <x v="28"/>
    <n v="0"/>
    <x v="0"/>
    <x v="0"/>
    <x v="3"/>
  </r>
  <r>
    <x v="0"/>
    <x v="1"/>
    <x v="1"/>
    <x v="0"/>
    <x v="0"/>
    <x v="12"/>
    <x v="28"/>
    <n v="0"/>
    <x v="0"/>
    <x v="0"/>
    <x v="3"/>
  </r>
  <r>
    <x v="0"/>
    <x v="2"/>
    <x v="2"/>
    <x v="0"/>
    <x v="0"/>
    <x v="12"/>
    <x v="28"/>
    <n v="0"/>
    <x v="0"/>
    <x v="0"/>
    <x v="3"/>
  </r>
  <r>
    <x v="0"/>
    <x v="3"/>
    <x v="3"/>
    <x v="0"/>
    <x v="0"/>
    <x v="12"/>
    <x v="28"/>
    <n v="0"/>
    <x v="0"/>
    <x v="0"/>
    <x v="3"/>
  </r>
  <r>
    <x v="0"/>
    <x v="4"/>
    <x v="4"/>
    <x v="0"/>
    <x v="0"/>
    <x v="12"/>
    <x v="28"/>
    <n v="0"/>
    <x v="0"/>
    <x v="0"/>
    <x v="3"/>
  </r>
  <r>
    <x v="0"/>
    <x v="0"/>
    <x v="0"/>
    <x v="0"/>
    <x v="0"/>
    <x v="23"/>
    <x v="29"/>
    <n v="0"/>
    <x v="0"/>
    <x v="0"/>
    <x v="2"/>
  </r>
  <r>
    <x v="0"/>
    <x v="1"/>
    <x v="1"/>
    <x v="0"/>
    <x v="0"/>
    <x v="23"/>
    <x v="29"/>
    <n v="0"/>
    <x v="0"/>
    <x v="0"/>
    <x v="2"/>
  </r>
  <r>
    <x v="0"/>
    <x v="2"/>
    <x v="2"/>
    <x v="0"/>
    <x v="0"/>
    <x v="23"/>
    <x v="29"/>
    <n v="0"/>
    <x v="0"/>
    <x v="0"/>
    <x v="2"/>
  </r>
  <r>
    <x v="0"/>
    <x v="3"/>
    <x v="3"/>
    <x v="0"/>
    <x v="0"/>
    <x v="23"/>
    <x v="29"/>
    <n v="0"/>
    <x v="0"/>
    <x v="0"/>
    <x v="2"/>
  </r>
  <r>
    <x v="0"/>
    <x v="4"/>
    <x v="4"/>
    <x v="0"/>
    <x v="0"/>
    <x v="23"/>
    <x v="29"/>
    <n v="0"/>
    <x v="0"/>
    <x v="0"/>
    <x v="2"/>
  </r>
  <r>
    <x v="0"/>
    <x v="0"/>
    <x v="0"/>
    <x v="0"/>
    <x v="0"/>
    <x v="24"/>
    <x v="30"/>
    <n v="0"/>
    <x v="0"/>
    <x v="0"/>
    <x v="3"/>
  </r>
  <r>
    <x v="0"/>
    <x v="1"/>
    <x v="1"/>
    <x v="0"/>
    <x v="0"/>
    <x v="24"/>
    <x v="30"/>
    <n v="0"/>
    <x v="0"/>
    <x v="0"/>
    <x v="3"/>
  </r>
  <r>
    <x v="0"/>
    <x v="2"/>
    <x v="2"/>
    <x v="0"/>
    <x v="0"/>
    <x v="24"/>
    <x v="30"/>
    <n v="0"/>
    <x v="0"/>
    <x v="0"/>
    <x v="3"/>
  </r>
  <r>
    <x v="0"/>
    <x v="3"/>
    <x v="3"/>
    <x v="0"/>
    <x v="0"/>
    <x v="24"/>
    <x v="30"/>
    <n v="0"/>
    <x v="0"/>
    <x v="0"/>
    <x v="3"/>
  </r>
  <r>
    <x v="0"/>
    <x v="4"/>
    <x v="4"/>
    <x v="0"/>
    <x v="0"/>
    <x v="24"/>
    <x v="30"/>
    <n v="0"/>
    <x v="0"/>
    <x v="0"/>
    <x v="3"/>
  </r>
  <r>
    <x v="0"/>
    <x v="0"/>
    <x v="0"/>
    <x v="0"/>
    <x v="0"/>
    <x v="25"/>
    <x v="31"/>
    <n v="0"/>
    <x v="0"/>
    <x v="0"/>
    <x v="3"/>
  </r>
  <r>
    <x v="0"/>
    <x v="1"/>
    <x v="1"/>
    <x v="0"/>
    <x v="0"/>
    <x v="25"/>
    <x v="31"/>
    <n v="0"/>
    <x v="0"/>
    <x v="0"/>
    <x v="3"/>
  </r>
  <r>
    <x v="0"/>
    <x v="2"/>
    <x v="2"/>
    <x v="0"/>
    <x v="0"/>
    <x v="25"/>
    <x v="31"/>
    <n v="0"/>
    <x v="0"/>
    <x v="0"/>
    <x v="3"/>
  </r>
  <r>
    <x v="0"/>
    <x v="3"/>
    <x v="3"/>
    <x v="0"/>
    <x v="0"/>
    <x v="25"/>
    <x v="31"/>
    <n v="0"/>
    <x v="0"/>
    <x v="0"/>
    <x v="3"/>
  </r>
  <r>
    <x v="0"/>
    <x v="4"/>
    <x v="4"/>
    <x v="0"/>
    <x v="0"/>
    <x v="25"/>
    <x v="31"/>
    <n v="0"/>
    <x v="0"/>
    <x v="0"/>
    <x v="3"/>
  </r>
  <r>
    <x v="0"/>
    <x v="0"/>
    <x v="0"/>
    <x v="0"/>
    <x v="0"/>
    <x v="26"/>
    <x v="32"/>
    <n v="16458339.09"/>
    <x v="0"/>
    <x v="0"/>
    <x v="1"/>
  </r>
  <r>
    <x v="0"/>
    <x v="1"/>
    <x v="1"/>
    <x v="0"/>
    <x v="0"/>
    <x v="26"/>
    <x v="32"/>
    <n v="4047225.87"/>
    <x v="0"/>
    <x v="0"/>
    <x v="1"/>
  </r>
  <r>
    <x v="0"/>
    <x v="2"/>
    <x v="2"/>
    <x v="0"/>
    <x v="0"/>
    <x v="26"/>
    <x v="32"/>
    <n v="110097138.53"/>
    <x v="0"/>
    <x v="0"/>
    <x v="1"/>
  </r>
  <r>
    <x v="0"/>
    <x v="3"/>
    <x v="3"/>
    <x v="0"/>
    <x v="0"/>
    <x v="26"/>
    <x v="32"/>
    <n v="3277862.62"/>
    <x v="0"/>
    <x v="0"/>
    <x v="1"/>
  </r>
  <r>
    <x v="0"/>
    <x v="4"/>
    <x v="4"/>
    <x v="0"/>
    <x v="0"/>
    <x v="26"/>
    <x v="32"/>
    <n v="133880566.11000001"/>
    <x v="0"/>
    <x v="0"/>
    <x v="1"/>
  </r>
  <r>
    <x v="0"/>
    <x v="0"/>
    <x v="0"/>
    <x v="0"/>
    <x v="0"/>
    <x v="27"/>
    <x v="33"/>
    <n v="0"/>
    <x v="0"/>
    <x v="0"/>
    <x v="2"/>
  </r>
  <r>
    <x v="0"/>
    <x v="1"/>
    <x v="1"/>
    <x v="0"/>
    <x v="0"/>
    <x v="27"/>
    <x v="33"/>
    <n v="0"/>
    <x v="0"/>
    <x v="0"/>
    <x v="2"/>
  </r>
  <r>
    <x v="0"/>
    <x v="2"/>
    <x v="2"/>
    <x v="0"/>
    <x v="0"/>
    <x v="27"/>
    <x v="33"/>
    <n v="0"/>
    <x v="0"/>
    <x v="0"/>
    <x v="2"/>
  </r>
  <r>
    <x v="0"/>
    <x v="3"/>
    <x v="3"/>
    <x v="0"/>
    <x v="0"/>
    <x v="27"/>
    <x v="33"/>
    <n v="0"/>
    <x v="0"/>
    <x v="0"/>
    <x v="2"/>
  </r>
  <r>
    <x v="0"/>
    <x v="4"/>
    <x v="4"/>
    <x v="0"/>
    <x v="0"/>
    <x v="27"/>
    <x v="33"/>
    <n v="0"/>
    <x v="0"/>
    <x v="0"/>
    <x v="2"/>
  </r>
  <r>
    <x v="0"/>
    <x v="0"/>
    <x v="0"/>
    <x v="0"/>
    <x v="0"/>
    <x v="28"/>
    <x v="34"/>
    <n v="0"/>
    <x v="0"/>
    <x v="0"/>
    <x v="3"/>
  </r>
  <r>
    <x v="0"/>
    <x v="1"/>
    <x v="1"/>
    <x v="0"/>
    <x v="0"/>
    <x v="28"/>
    <x v="34"/>
    <n v="0"/>
    <x v="0"/>
    <x v="0"/>
    <x v="3"/>
  </r>
  <r>
    <x v="0"/>
    <x v="2"/>
    <x v="2"/>
    <x v="0"/>
    <x v="0"/>
    <x v="28"/>
    <x v="34"/>
    <n v="0"/>
    <x v="0"/>
    <x v="0"/>
    <x v="3"/>
  </r>
  <r>
    <x v="0"/>
    <x v="3"/>
    <x v="3"/>
    <x v="0"/>
    <x v="0"/>
    <x v="28"/>
    <x v="34"/>
    <n v="0"/>
    <x v="0"/>
    <x v="0"/>
    <x v="3"/>
  </r>
  <r>
    <x v="0"/>
    <x v="4"/>
    <x v="4"/>
    <x v="0"/>
    <x v="0"/>
    <x v="28"/>
    <x v="34"/>
    <n v="0"/>
    <x v="0"/>
    <x v="0"/>
    <x v="3"/>
  </r>
  <r>
    <x v="0"/>
    <x v="0"/>
    <x v="0"/>
    <x v="0"/>
    <x v="0"/>
    <x v="29"/>
    <x v="35"/>
    <n v="0"/>
    <x v="0"/>
    <x v="0"/>
    <x v="3"/>
  </r>
  <r>
    <x v="0"/>
    <x v="1"/>
    <x v="1"/>
    <x v="0"/>
    <x v="0"/>
    <x v="29"/>
    <x v="35"/>
    <n v="0"/>
    <x v="0"/>
    <x v="0"/>
    <x v="3"/>
  </r>
  <r>
    <x v="0"/>
    <x v="2"/>
    <x v="2"/>
    <x v="0"/>
    <x v="0"/>
    <x v="29"/>
    <x v="35"/>
    <n v="0"/>
    <x v="0"/>
    <x v="0"/>
    <x v="3"/>
  </r>
  <r>
    <x v="0"/>
    <x v="3"/>
    <x v="3"/>
    <x v="0"/>
    <x v="0"/>
    <x v="29"/>
    <x v="35"/>
    <n v="0"/>
    <x v="0"/>
    <x v="0"/>
    <x v="3"/>
  </r>
  <r>
    <x v="0"/>
    <x v="4"/>
    <x v="4"/>
    <x v="0"/>
    <x v="0"/>
    <x v="29"/>
    <x v="35"/>
    <n v="0"/>
    <x v="0"/>
    <x v="0"/>
    <x v="3"/>
  </r>
  <r>
    <x v="0"/>
    <x v="0"/>
    <x v="0"/>
    <x v="0"/>
    <x v="0"/>
    <x v="30"/>
    <x v="36"/>
    <n v="0"/>
    <x v="0"/>
    <x v="0"/>
    <x v="3"/>
  </r>
  <r>
    <x v="0"/>
    <x v="1"/>
    <x v="1"/>
    <x v="0"/>
    <x v="0"/>
    <x v="30"/>
    <x v="36"/>
    <n v="0"/>
    <x v="0"/>
    <x v="0"/>
    <x v="3"/>
  </r>
  <r>
    <x v="0"/>
    <x v="2"/>
    <x v="2"/>
    <x v="0"/>
    <x v="0"/>
    <x v="30"/>
    <x v="36"/>
    <n v="0"/>
    <x v="0"/>
    <x v="0"/>
    <x v="3"/>
  </r>
  <r>
    <x v="0"/>
    <x v="3"/>
    <x v="3"/>
    <x v="0"/>
    <x v="0"/>
    <x v="30"/>
    <x v="36"/>
    <n v="0"/>
    <x v="0"/>
    <x v="0"/>
    <x v="3"/>
  </r>
  <r>
    <x v="0"/>
    <x v="4"/>
    <x v="4"/>
    <x v="0"/>
    <x v="0"/>
    <x v="30"/>
    <x v="36"/>
    <n v="0"/>
    <x v="0"/>
    <x v="0"/>
    <x v="3"/>
  </r>
  <r>
    <x v="0"/>
    <x v="0"/>
    <x v="0"/>
    <x v="0"/>
    <x v="0"/>
    <x v="31"/>
    <x v="37"/>
    <n v="0"/>
    <x v="0"/>
    <x v="0"/>
    <x v="3"/>
  </r>
  <r>
    <x v="0"/>
    <x v="1"/>
    <x v="1"/>
    <x v="0"/>
    <x v="0"/>
    <x v="31"/>
    <x v="37"/>
    <n v="0"/>
    <x v="0"/>
    <x v="0"/>
    <x v="3"/>
  </r>
  <r>
    <x v="0"/>
    <x v="2"/>
    <x v="2"/>
    <x v="0"/>
    <x v="0"/>
    <x v="31"/>
    <x v="37"/>
    <n v="0"/>
    <x v="0"/>
    <x v="0"/>
    <x v="3"/>
  </r>
  <r>
    <x v="0"/>
    <x v="3"/>
    <x v="3"/>
    <x v="0"/>
    <x v="0"/>
    <x v="31"/>
    <x v="37"/>
    <n v="0"/>
    <x v="0"/>
    <x v="0"/>
    <x v="3"/>
  </r>
  <r>
    <x v="0"/>
    <x v="4"/>
    <x v="4"/>
    <x v="0"/>
    <x v="0"/>
    <x v="31"/>
    <x v="37"/>
    <n v="0"/>
    <x v="0"/>
    <x v="0"/>
    <x v="3"/>
  </r>
  <r>
    <x v="0"/>
    <x v="0"/>
    <x v="0"/>
    <x v="0"/>
    <x v="0"/>
    <x v="32"/>
    <x v="38"/>
    <n v="0"/>
    <x v="0"/>
    <x v="0"/>
    <x v="3"/>
  </r>
  <r>
    <x v="0"/>
    <x v="1"/>
    <x v="1"/>
    <x v="0"/>
    <x v="0"/>
    <x v="32"/>
    <x v="38"/>
    <n v="0"/>
    <x v="0"/>
    <x v="0"/>
    <x v="3"/>
  </r>
  <r>
    <x v="0"/>
    <x v="2"/>
    <x v="2"/>
    <x v="0"/>
    <x v="0"/>
    <x v="32"/>
    <x v="38"/>
    <n v="0"/>
    <x v="0"/>
    <x v="0"/>
    <x v="3"/>
  </r>
  <r>
    <x v="0"/>
    <x v="3"/>
    <x v="3"/>
    <x v="0"/>
    <x v="0"/>
    <x v="32"/>
    <x v="38"/>
    <n v="0"/>
    <x v="0"/>
    <x v="0"/>
    <x v="3"/>
  </r>
  <r>
    <x v="0"/>
    <x v="4"/>
    <x v="4"/>
    <x v="0"/>
    <x v="0"/>
    <x v="32"/>
    <x v="38"/>
    <n v="0"/>
    <x v="0"/>
    <x v="0"/>
    <x v="3"/>
  </r>
  <r>
    <x v="0"/>
    <x v="0"/>
    <x v="0"/>
    <x v="0"/>
    <x v="0"/>
    <x v="33"/>
    <x v="39"/>
    <n v="0"/>
    <x v="0"/>
    <x v="0"/>
    <x v="3"/>
  </r>
  <r>
    <x v="0"/>
    <x v="1"/>
    <x v="1"/>
    <x v="0"/>
    <x v="0"/>
    <x v="33"/>
    <x v="39"/>
    <n v="0"/>
    <x v="0"/>
    <x v="0"/>
    <x v="3"/>
  </r>
  <r>
    <x v="0"/>
    <x v="2"/>
    <x v="2"/>
    <x v="0"/>
    <x v="0"/>
    <x v="33"/>
    <x v="39"/>
    <n v="0"/>
    <x v="0"/>
    <x v="0"/>
    <x v="3"/>
  </r>
  <r>
    <x v="0"/>
    <x v="3"/>
    <x v="3"/>
    <x v="0"/>
    <x v="0"/>
    <x v="33"/>
    <x v="39"/>
    <n v="0"/>
    <x v="0"/>
    <x v="0"/>
    <x v="3"/>
  </r>
  <r>
    <x v="0"/>
    <x v="4"/>
    <x v="4"/>
    <x v="0"/>
    <x v="0"/>
    <x v="33"/>
    <x v="39"/>
    <n v="0"/>
    <x v="0"/>
    <x v="0"/>
    <x v="3"/>
  </r>
  <r>
    <x v="0"/>
    <x v="0"/>
    <x v="0"/>
    <x v="0"/>
    <x v="0"/>
    <x v="34"/>
    <x v="40"/>
    <n v="0"/>
    <x v="0"/>
    <x v="0"/>
    <x v="3"/>
  </r>
  <r>
    <x v="0"/>
    <x v="1"/>
    <x v="1"/>
    <x v="0"/>
    <x v="0"/>
    <x v="34"/>
    <x v="40"/>
    <n v="0"/>
    <x v="0"/>
    <x v="0"/>
    <x v="3"/>
  </r>
  <r>
    <x v="0"/>
    <x v="2"/>
    <x v="2"/>
    <x v="0"/>
    <x v="0"/>
    <x v="34"/>
    <x v="40"/>
    <n v="0"/>
    <x v="0"/>
    <x v="0"/>
    <x v="3"/>
  </r>
  <r>
    <x v="0"/>
    <x v="3"/>
    <x v="3"/>
    <x v="0"/>
    <x v="0"/>
    <x v="34"/>
    <x v="40"/>
    <n v="0"/>
    <x v="0"/>
    <x v="0"/>
    <x v="3"/>
  </r>
  <r>
    <x v="0"/>
    <x v="4"/>
    <x v="4"/>
    <x v="0"/>
    <x v="0"/>
    <x v="34"/>
    <x v="40"/>
    <n v="0"/>
    <x v="0"/>
    <x v="0"/>
    <x v="3"/>
  </r>
  <r>
    <x v="0"/>
    <x v="0"/>
    <x v="0"/>
    <x v="0"/>
    <x v="0"/>
    <x v="35"/>
    <x v="41"/>
    <n v="0"/>
    <x v="0"/>
    <x v="0"/>
    <x v="3"/>
  </r>
  <r>
    <x v="0"/>
    <x v="1"/>
    <x v="1"/>
    <x v="0"/>
    <x v="0"/>
    <x v="35"/>
    <x v="41"/>
    <n v="0"/>
    <x v="0"/>
    <x v="0"/>
    <x v="3"/>
  </r>
  <r>
    <x v="0"/>
    <x v="2"/>
    <x v="2"/>
    <x v="0"/>
    <x v="0"/>
    <x v="35"/>
    <x v="41"/>
    <n v="0"/>
    <x v="0"/>
    <x v="0"/>
    <x v="3"/>
  </r>
  <r>
    <x v="0"/>
    <x v="3"/>
    <x v="3"/>
    <x v="0"/>
    <x v="0"/>
    <x v="35"/>
    <x v="41"/>
    <n v="0"/>
    <x v="0"/>
    <x v="0"/>
    <x v="3"/>
  </r>
  <r>
    <x v="0"/>
    <x v="4"/>
    <x v="4"/>
    <x v="0"/>
    <x v="0"/>
    <x v="35"/>
    <x v="41"/>
    <n v="0"/>
    <x v="0"/>
    <x v="0"/>
    <x v="3"/>
  </r>
  <r>
    <x v="0"/>
    <x v="0"/>
    <x v="0"/>
    <x v="0"/>
    <x v="0"/>
    <x v="36"/>
    <x v="42"/>
    <n v="0"/>
    <x v="0"/>
    <x v="0"/>
    <x v="3"/>
  </r>
  <r>
    <x v="0"/>
    <x v="1"/>
    <x v="1"/>
    <x v="0"/>
    <x v="0"/>
    <x v="36"/>
    <x v="42"/>
    <n v="0"/>
    <x v="0"/>
    <x v="0"/>
    <x v="3"/>
  </r>
  <r>
    <x v="0"/>
    <x v="2"/>
    <x v="2"/>
    <x v="0"/>
    <x v="0"/>
    <x v="36"/>
    <x v="42"/>
    <n v="0"/>
    <x v="0"/>
    <x v="0"/>
    <x v="3"/>
  </r>
  <r>
    <x v="0"/>
    <x v="3"/>
    <x v="3"/>
    <x v="0"/>
    <x v="0"/>
    <x v="36"/>
    <x v="42"/>
    <n v="0"/>
    <x v="0"/>
    <x v="0"/>
    <x v="3"/>
  </r>
  <r>
    <x v="0"/>
    <x v="4"/>
    <x v="4"/>
    <x v="0"/>
    <x v="0"/>
    <x v="36"/>
    <x v="42"/>
    <n v="0"/>
    <x v="0"/>
    <x v="0"/>
    <x v="3"/>
  </r>
  <r>
    <x v="0"/>
    <x v="0"/>
    <x v="0"/>
    <x v="0"/>
    <x v="0"/>
    <x v="37"/>
    <x v="43"/>
    <n v="0"/>
    <x v="0"/>
    <x v="0"/>
    <x v="3"/>
  </r>
  <r>
    <x v="0"/>
    <x v="1"/>
    <x v="1"/>
    <x v="0"/>
    <x v="0"/>
    <x v="37"/>
    <x v="43"/>
    <n v="0"/>
    <x v="0"/>
    <x v="0"/>
    <x v="3"/>
  </r>
  <r>
    <x v="0"/>
    <x v="2"/>
    <x v="2"/>
    <x v="0"/>
    <x v="0"/>
    <x v="37"/>
    <x v="43"/>
    <n v="0"/>
    <x v="0"/>
    <x v="0"/>
    <x v="3"/>
  </r>
  <r>
    <x v="0"/>
    <x v="3"/>
    <x v="3"/>
    <x v="0"/>
    <x v="0"/>
    <x v="37"/>
    <x v="43"/>
    <n v="0"/>
    <x v="0"/>
    <x v="0"/>
    <x v="3"/>
  </r>
  <r>
    <x v="0"/>
    <x v="4"/>
    <x v="4"/>
    <x v="0"/>
    <x v="0"/>
    <x v="37"/>
    <x v="43"/>
    <n v="0"/>
    <x v="0"/>
    <x v="0"/>
    <x v="3"/>
  </r>
  <r>
    <x v="0"/>
    <x v="0"/>
    <x v="0"/>
    <x v="0"/>
    <x v="0"/>
    <x v="38"/>
    <x v="44"/>
    <n v="0"/>
    <x v="0"/>
    <x v="0"/>
    <x v="2"/>
  </r>
  <r>
    <x v="0"/>
    <x v="1"/>
    <x v="1"/>
    <x v="0"/>
    <x v="0"/>
    <x v="38"/>
    <x v="44"/>
    <n v="0"/>
    <x v="0"/>
    <x v="0"/>
    <x v="2"/>
  </r>
  <r>
    <x v="0"/>
    <x v="2"/>
    <x v="2"/>
    <x v="0"/>
    <x v="0"/>
    <x v="38"/>
    <x v="44"/>
    <n v="0"/>
    <x v="0"/>
    <x v="0"/>
    <x v="2"/>
  </r>
  <r>
    <x v="0"/>
    <x v="3"/>
    <x v="3"/>
    <x v="0"/>
    <x v="0"/>
    <x v="38"/>
    <x v="44"/>
    <n v="0"/>
    <x v="0"/>
    <x v="0"/>
    <x v="2"/>
  </r>
  <r>
    <x v="0"/>
    <x v="4"/>
    <x v="4"/>
    <x v="0"/>
    <x v="0"/>
    <x v="38"/>
    <x v="44"/>
    <n v="0"/>
    <x v="0"/>
    <x v="0"/>
    <x v="2"/>
  </r>
  <r>
    <x v="0"/>
    <x v="0"/>
    <x v="0"/>
    <x v="0"/>
    <x v="0"/>
    <x v="39"/>
    <x v="45"/>
    <n v="0"/>
    <x v="0"/>
    <x v="0"/>
    <x v="3"/>
  </r>
  <r>
    <x v="0"/>
    <x v="1"/>
    <x v="1"/>
    <x v="0"/>
    <x v="0"/>
    <x v="39"/>
    <x v="45"/>
    <n v="0"/>
    <x v="0"/>
    <x v="0"/>
    <x v="3"/>
  </r>
  <r>
    <x v="0"/>
    <x v="2"/>
    <x v="2"/>
    <x v="0"/>
    <x v="0"/>
    <x v="39"/>
    <x v="45"/>
    <n v="0"/>
    <x v="0"/>
    <x v="0"/>
    <x v="3"/>
  </r>
  <r>
    <x v="0"/>
    <x v="3"/>
    <x v="3"/>
    <x v="0"/>
    <x v="0"/>
    <x v="39"/>
    <x v="45"/>
    <n v="0"/>
    <x v="0"/>
    <x v="0"/>
    <x v="3"/>
  </r>
  <r>
    <x v="0"/>
    <x v="4"/>
    <x v="4"/>
    <x v="0"/>
    <x v="0"/>
    <x v="39"/>
    <x v="45"/>
    <n v="0"/>
    <x v="0"/>
    <x v="0"/>
    <x v="3"/>
  </r>
  <r>
    <x v="0"/>
    <x v="0"/>
    <x v="0"/>
    <x v="0"/>
    <x v="0"/>
    <x v="40"/>
    <x v="46"/>
    <n v="0"/>
    <x v="0"/>
    <x v="0"/>
    <x v="3"/>
  </r>
  <r>
    <x v="0"/>
    <x v="1"/>
    <x v="1"/>
    <x v="0"/>
    <x v="0"/>
    <x v="40"/>
    <x v="46"/>
    <n v="0"/>
    <x v="0"/>
    <x v="0"/>
    <x v="3"/>
  </r>
  <r>
    <x v="0"/>
    <x v="2"/>
    <x v="2"/>
    <x v="0"/>
    <x v="0"/>
    <x v="40"/>
    <x v="46"/>
    <n v="0"/>
    <x v="0"/>
    <x v="0"/>
    <x v="3"/>
  </r>
  <r>
    <x v="0"/>
    <x v="3"/>
    <x v="3"/>
    <x v="0"/>
    <x v="0"/>
    <x v="40"/>
    <x v="46"/>
    <n v="0"/>
    <x v="0"/>
    <x v="0"/>
    <x v="3"/>
  </r>
  <r>
    <x v="0"/>
    <x v="4"/>
    <x v="4"/>
    <x v="0"/>
    <x v="0"/>
    <x v="40"/>
    <x v="46"/>
    <n v="0"/>
    <x v="0"/>
    <x v="0"/>
    <x v="3"/>
  </r>
  <r>
    <x v="0"/>
    <x v="0"/>
    <x v="0"/>
    <x v="0"/>
    <x v="0"/>
    <x v="41"/>
    <x v="47"/>
    <n v="0"/>
    <x v="0"/>
    <x v="0"/>
    <x v="3"/>
  </r>
  <r>
    <x v="0"/>
    <x v="1"/>
    <x v="1"/>
    <x v="0"/>
    <x v="0"/>
    <x v="41"/>
    <x v="47"/>
    <n v="0"/>
    <x v="0"/>
    <x v="0"/>
    <x v="3"/>
  </r>
  <r>
    <x v="0"/>
    <x v="2"/>
    <x v="2"/>
    <x v="0"/>
    <x v="0"/>
    <x v="41"/>
    <x v="47"/>
    <n v="0"/>
    <x v="0"/>
    <x v="0"/>
    <x v="3"/>
  </r>
  <r>
    <x v="0"/>
    <x v="3"/>
    <x v="3"/>
    <x v="0"/>
    <x v="0"/>
    <x v="41"/>
    <x v="47"/>
    <n v="0"/>
    <x v="0"/>
    <x v="0"/>
    <x v="3"/>
  </r>
  <r>
    <x v="0"/>
    <x v="4"/>
    <x v="4"/>
    <x v="0"/>
    <x v="0"/>
    <x v="41"/>
    <x v="47"/>
    <n v="0"/>
    <x v="0"/>
    <x v="0"/>
    <x v="3"/>
  </r>
  <r>
    <x v="0"/>
    <x v="0"/>
    <x v="0"/>
    <x v="0"/>
    <x v="0"/>
    <x v="42"/>
    <x v="48"/>
    <n v="0"/>
    <x v="0"/>
    <x v="0"/>
    <x v="3"/>
  </r>
  <r>
    <x v="0"/>
    <x v="1"/>
    <x v="1"/>
    <x v="0"/>
    <x v="0"/>
    <x v="42"/>
    <x v="48"/>
    <n v="0"/>
    <x v="0"/>
    <x v="0"/>
    <x v="3"/>
  </r>
  <r>
    <x v="0"/>
    <x v="2"/>
    <x v="2"/>
    <x v="0"/>
    <x v="0"/>
    <x v="42"/>
    <x v="48"/>
    <n v="0"/>
    <x v="0"/>
    <x v="0"/>
    <x v="3"/>
  </r>
  <r>
    <x v="0"/>
    <x v="3"/>
    <x v="3"/>
    <x v="0"/>
    <x v="0"/>
    <x v="42"/>
    <x v="48"/>
    <n v="0"/>
    <x v="0"/>
    <x v="0"/>
    <x v="3"/>
  </r>
  <r>
    <x v="0"/>
    <x v="4"/>
    <x v="4"/>
    <x v="0"/>
    <x v="0"/>
    <x v="42"/>
    <x v="48"/>
    <n v="0"/>
    <x v="0"/>
    <x v="0"/>
    <x v="3"/>
  </r>
  <r>
    <x v="0"/>
    <x v="0"/>
    <x v="0"/>
    <x v="0"/>
    <x v="0"/>
    <x v="43"/>
    <x v="49"/>
    <n v="0"/>
    <x v="0"/>
    <x v="0"/>
    <x v="3"/>
  </r>
  <r>
    <x v="0"/>
    <x v="1"/>
    <x v="1"/>
    <x v="0"/>
    <x v="0"/>
    <x v="43"/>
    <x v="49"/>
    <n v="0"/>
    <x v="0"/>
    <x v="0"/>
    <x v="3"/>
  </r>
  <r>
    <x v="0"/>
    <x v="2"/>
    <x v="2"/>
    <x v="0"/>
    <x v="0"/>
    <x v="43"/>
    <x v="49"/>
    <n v="0"/>
    <x v="0"/>
    <x v="0"/>
    <x v="3"/>
  </r>
  <r>
    <x v="0"/>
    <x v="3"/>
    <x v="3"/>
    <x v="0"/>
    <x v="0"/>
    <x v="43"/>
    <x v="49"/>
    <n v="0"/>
    <x v="0"/>
    <x v="0"/>
    <x v="3"/>
  </r>
  <r>
    <x v="0"/>
    <x v="4"/>
    <x v="4"/>
    <x v="0"/>
    <x v="0"/>
    <x v="43"/>
    <x v="49"/>
    <n v="0"/>
    <x v="0"/>
    <x v="0"/>
    <x v="3"/>
  </r>
  <r>
    <x v="0"/>
    <x v="0"/>
    <x v="0"/>
    <x v="0"/>
    <x v="0"/>
    <x v="44"/>
    <x v="50"/>
    <n v="14445000"/>
    <x v="0"/>
    <x v="0"/>
    <x v="2"/>
  </r>
  <r>
    <x v="0"/>
    <x v="1"/>
    <x v="1"/>
    <x v="0"/>
    <x v="0"/>
    <x v="44"/>
    <x v="50"/>
    <n v="1865859.02"/>
    <x v="0"/>
    <x v="0"/>
    <x v="2"/>
  </r>
  <r>
    <x v="0"/>
    <x v="2"/>
    <x v="2"/>
    <x v="0"/>
    <x v="0"/>
    <x v="44"/>
    <x v="50"/>
    <n v="17110735.469999999"/>
    <x v="0"/>
    <x v="0"/>
    <x v="2"/>
  </r>
  <r>
    <x v="0"/>
    <x v="3"/>
    <x v="3"/>
    <x v="0"/>
    <x v="0"/>
    <x v="44"/>
    <x v="50"/>
    <n v="2210361.5699999998"/>
    <x v="0"/>
    <x v="0"/>
    <x v="2"/>
  </r>
  <r>
    <x v="0"/>
    <x v="4"/>
    <x v="4"/>
    <x v="0"/>
    <x v="0"/>
    <x v="44"/>
    <x v="50"/>
    <n v="35631956.060000002"/>
    <x v="0"/>
    <x v="0"/>
    <x v="2"/>
  </r>
  <r>
    <x v="0"/>
    <x v="0"/>
    <x v="0"/>
    <x v="0"/>
    <x v="0"/>
    <x v="28"/>
    <x v="51"/>
    <n v="2400000"/>
    <x v="0"/>
    <x v="0"/>
    <x v="3"/>
  </r>
  <r>
    <x v="0"/>
    <x v="1"/>
    <x v="1"/>
    <x v="0"/>
    <x v="0"/>
    <x v="28"/>
    <x v="51"/>
    <n v="0"/>
    <x v="0"/>
    <x v="0"/>
    <x v="3"/>
  </r>
  <r>
    <x v="0"/>
    <x v="2"/>
    <x v="2"/>
    <x v="0"/>
    <x v="0"/>
    <x v="28"/>
    <x v="51"/>
    <n v="3701157.06"/>
    <x v="0"/>
    <x v="0"/>
    <x v="3"/>
  </r>
  <r>
    <x v="0"/>
    <x v="3"/>
    <x v="3"/>
    <x v="0"/>
    <x v="0"/>
    <x v="28"/>
    <x v="51"/>
    <n v="0"/>
    <x v="0"/>
    <x v="0"/>
    <x v="3"/>
  </r>
  <r>
    <x v="0"/>
    <x v="4"/>
    <x v="4"/>
    <x v="0"/>
    <x v="0"/>
    <x v="28"/>
    <x v="51"/>
    <n v="6101157.0600000005"/>
    <x v="0"/>
    <x v="0"/>
    <x v="3"/>
  </r>
  <r>
    <x v="0"/>
    <x v="0"/>
    <x v="0"/>
    <x v="0"/>
    <x v="0"/>
    <x v="29"/>
    <x v="52"/>
    <n v="3300000"/>
    <x v="0"/>
    <x v="0"/>
    <x v="3"/>
  </r>
  <r>
    <x v="0"/>
    <x v="1"/>
    <x v="1"/>
    <x v="0"/>
    <x v="0"/>
    <x v="29"/>
    <x v="52"/>
    <n v="110000"/>
    <x v="0"/>
    <x v="0"/>
    <x v="3"/>
  </r>
  <r>
    <x v="0"/>
    <x v="2"/>
    <x v="2"/>
    <x v="0"/>
    <x v="0"/>
    <x v="29"/>
    <x v="52"/>
    <n v="301227.18"/>
    <x v="0"/>
    <x v="0"/>
    <x v="3"/>
  </r>
  <r>
    <x v="0"/>
    <x v="3"/>
    <x v="3"/>
    <x v="0"/>
    <x v="0"/>
    <x v="29"/>
    <x v="52"/>
    <n v="107207.82"/>
    <x v="0"/>
    <x v="0"/>
    <x v="3"/>
  </r>
  <r>
    <x v="0"/>
    <x v="4"/>
    <x v="4"/>
    <x v="0"/>
    <x v="0"/>
    <x v="29"/>
    <x v="52"/>
    <n v="3818435"/>
    <x v="0"/>
    <x v="0"/>
    <x v="3"/>
  </r>
  <r>
    <x v="0"/>
    <x v="0"/>
    <x v="0"/>
    <x v="0"/>
    <x v="0"/>
    <x v="30"/>
    <x v="53"/>
    <n v="500000"/>
    <x v="0"/>
    <x v="0"/>
    <x v="3"/>
  </r>
  <r>
    <x v="0"/>
    <x v="1"/>
    <x v="1"/>
    <x v="0"/>
    <x v="0"/>
    <x v="30"/>
    <x v="53"/>
    <n v="0"/>
    <x v="0"/>
    <x v="0"/>
    <x v="3"/>
  </r>
  <r>
    <x v="0"/>
    <x v="2"/>
    <x v="2"/>
    <x v="0"/>
    <x v="0"/>
    <x v="30"/>
    <x v="53"/>
    <n v="0"/>
    <x v="0"/>
    <x v="0"/>
    <x v="3"/>
  </r>
  <r>
    <x v="0"/>
    <x v="3"/>
    <x v="3"/>
    <x v="0"/>
    <x v="0"/>
    <x v="30"/>
    <x v="53"/>
    <n v="50904.17"/>
    <x v="0"/>
    <x v="0"/>
    <x v="3"/>
  </r>
  <r>
    <x v="0"/>
    <x v="4"/>
    <x v="4"/>
    <x v="0"/>
    <x v="0"/>
    <x v="30"/>
    <x v="53"/>
    <n v="550904.17000000004"/>
    <x v="0"/>
    <x v="0"/>
    <x v="3"/>
  </r>
  <r>
    <x v="0"/>
    <x v="0"/>
    <x v="0"/>
    <x v="0"/>
    <x v="0"/>
    <x v="31"/>
    <x v="54"/>
    <n v="0"/>
    <x v="0"/>
    <x v="0"/>
    <x v="3"/>
  </r>
  <r>
    <x v="0"/>
    <x v="1"/>
    <x v="1"/>
    <x v="0"/>
    <x v="0"/>
    <x v="31"/>
    <x v="54"/>
    <n v="0"/>
    <x v="0"/>
    <x v="0"/>
    <x v="3"/>
  </r>
  <r>
    <x v="0"/>
    <x v="2"/>
    <x v="2"/>
    <x v="0"/>
    <x v="0"/>
    <x v="31"/>
    <x v="54"/>
    <n v="0"/>
    <x v="0"/>
    <x v="0"/>
    <x v="3"/>
  </r>
  <r>
    <x v="0"/>
    <x v="3"/>
    <x v="3"/>
    <x v="0"/>
    <x v="0"/>
    <x v="31"/>
    <x v="54"/>
    <n v="102612.5"/>
    <x v="0"/>
    <x v="0"/>
    <x v="3"/>
  </r>
  <r>
    <x v="0"/>
    <x v="4"/>
    <x v="4"/>
    <x v="0"/>
    <x v="0"/>
    <x v="31"/>
    <x v="54"/>
    <n v="102612.5"/>
    <x v="0"/>
    <x v="0"/>
    <x v="3"/>
  </r>
  <r>
    <x v="0"/>
    <x v="0"/>
    <x v="0"/>
    <x v="0"/>
    <x v="0"/>
    <x v="32"/>
    <x v="55"/>
    <n v="0"/>
    <x v="0"/>
    <x v="0"/>
    <x v="3"/>
  </r>
  <r>
    <x v="0"/>
    <x v="1"/>
    <x v="1"/>
    <x v="0"/>
    <x v="0"/>
    <x v="32"/>
    <x v="55"/>
    <n v="0"/>
    <x v="0"/>
    <x v="0"/>
    <x v="3"/>
  </r>
  <r>
    <x v="0"/>
    <x v="2"/>
    <x v="2"/>
    <x v="0"/>
    <x v="0"/>
    <x v="32"/>
    <x v="55"/>
    <n v="12108351.23"/>
    <x v="0"/>
    <x v="0"/>
    <x v="3"/>
  </r>
  <r>
    <x v="0"/>
    <x v="3"/>
    <x v="3"/>
    <x v="0"/>
    <x v="0"/>
    <x v="32"/>
    <x v="55"/>
    <n v="0"/>
    <x v="0"/>
    <x v="0"/>
    <x v="3"/>
  </r>
  <r>
    <x v="0"/>
    <x v="4"/>
    <x v="4"/>
    <x v="0"/>
    <x v="0"/>
    <x v="32"/>
    <x v="55"/>
    <n v="12108351.23"/>
    <x v="0"/>
    <x v="0"/>
    <x v="3"/>
  </r>
  <r>
    <x v="0"/>
    <x v="0"/>
    <x v="0"/>
    <x v="0"/>
    <x v="0"/>
    <x v="33"/>
    <x v="56"/>
    <n v="1700000"/>
    <x v="0"/>
    <x v="0"/>
    <x v="3"/>
  </r>
  <r>
    <x v="0"/>
    <x v="1"/>
    <x v="1"/>
    <x v="0"/>
    <x v="0"/>
    <x v="33"/>
    <x v="56"/>
    <n v="674295.81"/>
    <x v="0"/>
    <x v="0"/>
    <x v="3"/>
  </r>
  <r>
    <x v="0"/>
    <x v="2"/>
    <x v="2"/>
    <x v="0"/>
    <x v="0"/>
    <x v="33"/>
    <x v="56"/>
    <n v="1000000"/>
    <x v="0"/>
    <x v="0"/>
    <x v="3"/>
  </r>
  <r>
    <x v="0"/>
    <x v="3"/>
    <x v="3"/>
    <x v="0"/>
    <x v="0"/>
    <x v="33"/>
    <x v="56"/>
    <n v="846691.55"/>
    <x v="0"/>
    <x v="0"/>
    <x v="3"/>
  </r>
  <r>
    <x v="0"/>
    <x v="4"/>
    <x v="4"/>
    <x v="0"/>
    <x v="0"/>
    <x v="33"/>
    <x v="56"/>
    <n v="4220987.3600000003"/>
    <x v="0"/>
    <x v="0"/>
    <x v="3"/>
  </r>
  <r>
    <x v="0"/>
    <x v="0"/>
    <x v="0"/>
    <x v="0"/>
    <x v="0"/>
    <x v="34"/>
    <x v="57"/>
    <n v="6400000"/>
    <x v="0"/>
    <x v="0"/>
    <x v="3"/>
  </r>
  <r>
    <x v="0"/>
    <x v="1"/>
    <x v="1"/>
    <x v="0"/>
    <x v="0"/>
    <x v="34"/>
    <x v="57"/>
    <n v="865629.07"/>
    <x v="0"/>
    <x v="0"/>
    <x v="3"/>
  </r>
  <r>
    <x v="0"/>
    <x v="2"/>
    <x v="2"/>
    <x v="0"/>
    <x v="0"/>
    <x v="34"/>
    <x v="57"/>
    <n v="0"/>
    <x v="0"/>
    <x v="0"/>
    <x v="3"/>
  </r>
  <r>
    <x v="0"/>
    <x v="3"/>
    <x v="3"/>
    <x v="0"/>
    <x v="0"/>
    <x v="34"/>
    <x v="57"/>
    <n v="383155.6"/>
    <x v="0"/>
    <x v="0"/>
    <x v="3"/>
  </r>
  <r>
    <x v="0"/>
    <x v="4"/>
    <x v="4"/>
    <x v="0"/>
    <x v="0"/>
    <x v="34"/>
    <x v="57"/>
    <n v="7648784.6699999999"/>
    <x v="0"/>
    <x v="0"/>
    <x v="3"/>
  </r>
  <r>
    <x v="0"/>
    <x v="0"/>
    <x v="0"/>
    <x v="0"/>
    <x v="0"/>
    <x v="35"/>
    <x v="58"/>
    <n v="145000"/>
    <x v="0"/>
    <x v="0"/>
    <x v="3"/>
  </r>
  <r>
    <x v="0"/>
    <x v="1"/>
    <x v="1"/>
    <x v="0"/>
    <x v="0"/>
    <x v="35"/>
    <x v="58"/>
    <n v="215934.14"/>
    <x v="0"/>
    <x v="0"/>
    <x v="3"/>
  </r>
  <r>
    <x v="0"/>
    <x v="2"/>
    <x v="2"/>
    <x v="0"/>
    <x v="0"/>
    <x v="35"/>
    <x v="58"/>
    <n v="0"/>
    <x v="0"/>
    <x v="0"/>
    <x v="3"/>
  </r>
  <r>
    <x v="0"/>
    <x v="3"/>
    <x v="3"/>
    <x v="0"/>
    <x v="0"/>
    <x v="35"/>
    <x v="58"/>
    <n v="647350.96"/>
    <x v="0"/>
    <x v="0"/>
    <x v="3"/>
  </r>
  <r>
    <x v="0"/>
    <x v="4"/>
    <x v="4"/>
    <x v="0"/>
    <x v="0"/>
    <x v="35"/>
    <x v="58"/>
    <n v="1008285.1"/>
    <x v="0"/>
    <x v="0"/>
    <x v="3"/>
  </r>
  <r>
    <x v="0"/>
    <x v="0"/>
    <x v="0"/>
    <x v="0"/>
    <x v="0"/>
    <x v="36"/>
    <x v="59"/>
    <n v="0"/>
    <x v="0"/>
    <x v="0"/>
    <x v="3"/>
  </r>
  <r>
    <x v="0"/>
    <x v="1"/>
    <x v="1"/>
    <x v="0"/>
    <x v="0"/>
    <x v="36"/>
    <x v="59"/>
    <n v="0"/>
    <x v="0"/>
    <x v="0"/>
    <x v="3"/>
  </r>
  <r>
    <x v="0"/>
    <x v="2"/>
    <x v="2"/>
    <x v="0"/>
    <x v="0"/>
    <x v="36"/>
    <x v="59"/>
    <n v="0"/>
    <x v="0"/>
    <x v="0"/>
    <x v="3"/>
  </r>
  <r>
    <x v="0"/>
    <x v="3"/>
    <x v="3"/>
    <x v="0"/>
    <x v="0"/>
    <x v="36"/>
    <x v="59"/>
    <n v="72438.97"/>
    <x v="0"/>
    <x v="0"/>
    <x v="3"/>
  </r>
  <r>
    <x v="0"/>
    <x v="4"/>
    <x v="4"/>
    <x v="0"/>
    <x v="0"/>
    <x v="36"/>
    <x v="59"/>
    <n v="72438.97"/>
    <x v="0"/>
    <x v="0"/>
    <x v="3"/>
  </r>
  <r>
    <x v="0"/>
    <x v="0"/>
    <x v="0"/>
    <x v="0"/>
    <x v="0"/>
    <x v="37"/>
    <x v="60"/>
    <n v="0"/>
    <x v="0"/>
    <x v="0"/>
    <x v="3"/>
  </r>
  <r>
    <x v="0"/>
    <x v="1"/>
    <x v="1"/>
    <x v="0"/>
    <x v="0"/>
    <x v="37"/>
    <x v="60"/>
    <n v="0"/>
    <x v="0"/>
    <x v="0"/>
    <x v="3"/>
  </r>
  <r>
    <x v="0"/>
    <x v="2"/>
    <x v="2"/>
    <x v="0"/>
    <x v="0"/>
    <x v="37"/>
    <x v="60"/>
    <n v="0"/>
    <x v="0"/>
    <x v="0"/>
    <x v="3"/>
  </r>
  <r>
    <x v="0"/>
    <x v="3"/>
    <x v="3"/>
    <x v="0"/>
    <x v="0"/>
    <x v="37"/>
    <x v="60"/>
    <n v="0"/>
    <x v="0"/>
    <x v="0"/>
    <x v="3"/>
  </r>
  <r>
    <x v="0"/>
    <x v="4"/>
    <x v="4"/>
    <x v="0"/>
    <x v="0"/>
    <x v="37"/>
    <x v="60"/>
    <n v="0"/>
    <x v="0"/>
    <x v="0"/>
    <x v="3"/>
  </r>
  <r>
    <x v="0"/>
    <x v="0"/>
    <x v="0"/>
    <x v="0"/>
    <x v="0"/>
    <x v="45"/>
    <x v="61"/>
    <n v="1700000"/>
    <x v="0"/>
    <x v="0"/>
    <x v="2"/>
  </r>
  <r>
    <x v="0"/>
    <x v="1"/>
    <x v="1"/>
    <x v="0"/>
    <x v="0"/>
    <x v="45"/>
    <x v="61"/>
    <n v="400000"/>
    <x v="0"/>
    <x v="0"/>
    <x v="2"/>
  </r>
  <r>
    <x v="0"/>
    <x v="2"/>
    <x v="2"/>
    <x v="0"/>
    <x v="0"/>
    <x v="45"/>
    <x v="61"/>
    <n v="5900484"/>
    <x v="0"/>
    <x v="0"/>
    <x v="2"/>
  </r>
  <r>
    <x v="0"/>
    <x v="3"/>
    <x v="3"/>
    <x v="0"/>
    <x v="0"/>
    <x v="45"/>
    <x v="61"/>
    <n v="0"/>
    <x v="0"/>
    <x v="0"/>
    <x v="2"/>
  </r>
  <r>
    <x v="0"/>
    <x v="4"/>
    <x v="4"/>
    <x v="0"/>
    <x v="0"/>
    <x v="45"/>
    <x v="61"/>
    <n v="8000484"/>
    <x v="0"/>
    <x v="0"/>
    <x v="2"/>
  </r>
  <r>
    <x v="0"/>
    <x v="0"/>
    <x v="0"/>
    <x v="0"/>
    <x v="0"/>
    <x v="39"/>
    <x v="62"/>
    <n v="1700000"/>
    <x v="0"/>
    <x v="0"/>
    <x v="3"/>
  </r>
  <r>
    <x v="0"/>
    <x v="1"/>
    <x v="1"/>
    <x v="0"/>
    <x v="0"/>
    <x v="39"/>
    <x v="62"/>
    <n v="0"/>
    <x v="0"/>
    <x v="0"/>
    <x v="3"/>
  </r>
  <r>
    <x v="0"/>
    <x v="2"/>
    <x v="2"/>
    <x v="0"/>
    <x v="0"/>
    <x v="39"/>
    <x v="62"/>
    <n v="4300289.13"/>
    <x v="0"/>
    <x v="0"/>
    <x v="3"/>
  </r>
  <r>
    <x v="0"/>
    <x v="3"/>
    <x v="3"/>
    <x v="0"/>
    <x v="0"/>
    <x v="39"/>
    <x v="62"/>
    <n v="0"/>
    <x v="0"/>
    <x v="0"/>
    <x v="3"/>
  </r>
  <r>
    <x v="0"/>
    <x v="4"/>
    <x v="4"/>
    <x v="0"/>
    <x v="0"/>
    <x v="39"/>
    <x v="62"/>
    <n v="6000289.1299999999"/>
    <x v="0"/>
    <x v="0"/>
    <x v="3"/>
  </r>
  <r>
    <x v="0"/>
    <x v="0"/>
    <x v="0"/>
    <x v="0"/>
    <x v="0"/>
    <x v="40"/>
    <x v="63"/>
    <n v="0"/>
    <x v="0"/>
    <x v="0"/>
    <x v="3"/>
  </r>
  <r>
    <x v="0"/>
    <x v="1"/>
    <x v="1"/>
    <x v="0"/>
    <x v="0"/>
    <x v="40"/>
    <x v="63"/>
    <n v="400000"/>
    <x v="0"/>
    <x v="0"/>
    <x v="3"/>
  </r>
  <r>
    <x v="0"/>
    <x v="2"/>
    <x v="2"/>
    <x v="0"/>
    <x v="0"/>
    <x v="40"/>
    <x v="63"/>
    <n v="1600194.87"/>
    <x v="0"/>
    <x v="0"/>
    <x v="3"/>
  </r>
  <r>
    <x v="0"/>
    <x v="3"/>
    <x v="3"/>
    <x v="0"/>
    <x v="0"/>
    <x v="40"/>
    <x v="63"/>
    <n v="0"/>
    <x v="0"/>
    <x v="0"/>
    <x v="3"/>
  </r>
  <r>
    <x v="0"/>
    <x v="4"/>
    <x v="4"/>
    <x v="0"/>
    <x v="0"/>
    <x v="40"/>
    <x v="63"/>
    <n v="2000194.8699999999"/>
    <x v="0"/>
    <x v="0"/>
    <x v="3"/>
  </r>
  <r>
    <x v="0"/>
    <x v="0"/>
    <x v="0"/>
    <x v="0"/>
    <x v="0"/>
    <x v="41"/>
    <x v="64"/>
    <n v="0"/>
    <x v="0"/>
    <x v="0"/>
    <x v="3"/>
  </r>
  <r>
    <x v="0"/>
    <x v="1"/>
    <x v="1"/>
    <x v="0"/>
    <x v="0"/>
    <x v="41"/>
    <x v="64"/>
    <n v="0"/>
    <x v="0"/>
    <x v="0"/>
    <x v="3"/>
  </r>
  <r>
    <x v="0"/>
    <x v="2"/>
    <x v="2"/>
    <x v="0"/>
    <x v="0"/>
    <x v="41"/>
    <x v="64"/>
    <n v="0"/>
    <x v="0"/>
    <x v="0"/>
    <x v="3"/>
  </r>
  <r>
    <x v="0"/>
    <x v="3"/>
    <x v="3"/>
    <x v="0"/>
    <x v="0"/>
    <x v="41"/>
    <x v="64"/>
    <n v="0"/>
    <x v="0"/>
    <x v="0"/>
    <x v="3"/>
  </r>
  <r>
    <x v="0"/>
    <x v="4"/>
    <x v="4"/>
    <x v="0"/>
    <x v="0"/>
    <x v="41"/>
    <x v="64"/>
    <n v="0"/>
    <x v="0"/>
    <x v="0"/>
    <x v="3"/>
  </r>
  <r>
    <x v="0"/>
    <x v="0"/>
    <x v="0"/>
    <x v="0"/>
    <x v="0"/>
    <x v="42"/>
    <x v="65"/>
    <n v="0"/>
    <x v="0"/>
    <x v="0"/>
    <x v="3"/>
  </r>
  <r>
    <x v="0"/>
    <x v="1"/>
    <x v="1"/>
    <x v="0"/>
    <x v="0"/>
    <x v="42"/>
    <x v="65"/>
    <n v="0"/>
    <x v="0"/>
    <x v="0"/>
    <x v="3"/>
  </r>
  <r>
    <x v="0"/>
    <x v="2"/>
    <x v="2"/>
    <x v="0"/>
    <x v="0"/>
    <x v="42"/>
    <x v="65"/>
    <n v="0"/>
    <x v="0"/>
    <x v="0"/>
    <x v="3"/>
  </r>
  <r>
    <x v="0"/>
    <x v="3"/>
    <x v="3"/>
    <x v="0"/>
    <x v="0"/>
    <x v="42"/>
    <x v="65"/>
    <n v="0"/>
    <x v="0"/>
    <x v="0"/>
    <x v="3"/>
  </r>
  <r>
    <x v="0"/>
    <x v="4"/>
    <x v="4"/>
    <x v="0"/>
    <x v="0"/>
    <x v="42"/>
    <x v="65"/>
    <n v="0"/>
    <x v="0"/>
    <x v="0"/>
    <x v="3"/>
  </r>
  <r>
    <x v="0"/>
    <x v="0"/>
    <x v="0"/>
    <x v="0"/>
    <x v="0"/>
    <x v="43"/>
    <x v="66"/>
    <n v="0"/>
    <x v="0"/>
    <x v="0"/>
    <x v="3"/>
  </r>
  <r>
    <x v="0"/>
    <x v="1"/>
    <x v="1"/>
    <x v="0"/>
    <x v="0"/>
    <x v="43"/>
    <x v="66"/>
    <n v="0"/>
    <x v="0"/>
    <x v="0"/>
    <x v="3"/>
  </r>
  <r>
    <x v="0"/>
    <x v="2"/>
    <x v="2"/>
    <x v="0"/>
    <x v="0"/>
    <x v="43"/>
    <x v="66"/>
    <n v="0"/>
    <x v="0"/>
    <x v="0"/>
    <x v="3"/>
  </r>
  <r>
    <x v="0"/>
    <x v="3"/>
    <x v="3"/>
    <x v="0"/>
    <x v="0"/>
    <x v="43"/>
    <x v="66"/>
    <n v="0"/>
    <x v="0"/>
    <x v="0"/>
    <x v="3"/>
  </r>
  <r>
    <x v="0"/>
    <x v="4"/>
    <x v="4"/>
    <x v="0"/>
    <x v="0"/>
    <x v="43"/>
    <x v="66"/>
    <n v="0"/>
    <x v="0"/>
    <x v="0"/>
    <x v="3"/>
  </r>
  <r>
    <x v="0"/>
    <x v="0"/>
    <x v="0"/>
    <x v="0"/>
    <x v="0"/>
    <x v="46"/>
    <x v="67"/>
    <n v="0"/>
    <x v="0"/>
    <x v="0"/>
    <x v="2"/>
  </r>
  <r>
    <x v="0"/>
    <x v="1"/>
    <x v="1"/>
    <x v="0"/>
    <x v="0"/>
    <x v="46"/>
    <x v="67"/>
    <n v="0"/>
    <x v="0"/>
    <x v="0"/>
    <x v="2"/>
  </r>
  <r>
    <x v="0"/>
    <x v="2"/>
    <x v="2"/>
    <x v="0"/>
    <x v="0"/>
    <x v="46"/>
    <x v="67"/>
    <n v="0"/>
    <x v="0"/>
    <x v="0"/>
    <x v="2"/>
  </r>
  <r>
    <x v="0"/>
    <x v="3"/>
    <x v="3"/>
    <x v="0"/>
    <x v="0"/>
    <x v="46"/>
    <x v="67"/>
    <n v="50000"/>
    <x v="0"/>
    <x v="0"/>
    <x v="2"/>
  </r>
  <r>
    <x v="0"/>
    <x v="4"/>
    <x v="4"/>
    <x v="0"/>
    <x v="0"/>
    <x v="46"/>
    <x v="67"/>
    <n v="50000"/>
    <x v="0"/>
    <x v="0"/>
    <x v="2"/>
  </r>
  <r>
    <x v="0"/>
    <x v="0"/>
    <x v="0"/>
    <x v="0"/>
    <x v="0"/>
    <x v="28"/>
    <x v="68"/>
    <n v="0"/>
    <x v="0"/>
    <x v="0"/>
    <x v="3"/>
  </r>
  <r>
    <x v="0"/>
    <x v="1"/>
    <x v="1"/>
    <x v="0"/>
    <x v="0"/>
    <x v="28"/>
    <x v="68"/>
    <n v="0"/>
    <x v="0"/>
    <x v="0"/>
    <x v="3"/>
  </r>
  <r>
    <x v="0"/>
    <x v="2"/>
    <x v="2"/>
    <x v="0"/>
    <x v="0"/>
    <x v="28"/>
    <x v="68"/>
    <n v="0"/>
    <x v="0"/>
    <x v="0"/>
    <x v="3"/>
  </r>
  <r>
    <x v="0"/>
    <x v="3"/>
    <x v="3"/>
    <x v="0"/>
    <x v="0"/>
    <x v="28"/>
    <x v="68"/>
    <n v="0"/>
    <x v="0"/>
    <x v="0"/>
    <x v="3"/>
  </r>
  <r>
    <x v="0"/>
    <x v="4"/>
    <x v="4"/>
    <x v="0"/>
    <x v="0"/>
    <x v="28"/>
    <x v="68"/>
    <n v="0"/>
    <x v="0"/>
    <x v="0"/>
    <x v="3"/>
  </r>
  <r>
    <x v="0"/>
    <x v="0"/>
    <x v="0"/>
    <x v="0"/>
    <x v="0"/>
    <x v="29"/>
    <x v="69"/>
    <n v="0"/>
    <x v="0"/>
    <x v="0"/>
    <x v="3"/>
  </r>
  <r>
    <x v="0"/>
    <x v="1"/>
    <x v="1"/>
    <x v="0"/>
    <x v="0"/>
    <x v="29"/>
    <x v="69"/>
    <n v="0"/>
    <x v="0"/>
    <x v="0"/>
    <x v="3"/>
  </r>
  <r>
    <x v="0"/>
    <x v="2"/>
    <x v="2"/>
    <x v="0"/>
    <x v="0"/>
    <x v="29"/>
    <x v="69"/>
    <n v="0"/>
    <x v="0"/>
    <x v="0"/>
    <x v="3"/>
  </r>
  <r>
    <x v="0"/>
    <x v="3"/>
    <x v="3"/>
    <x v="0"/>
    <x v="0"/>
    <x v="29"/>
    <x v="69"/>
    <n v="0"/>
    <x v="0"/>
    <x v="0"/>
    <x v="3"/>
  </r>
  <r>
    <x v="0"/>
    <x v="4"/>
    <x v="4"/>
    <x v="0"/>
    <x v="0"/>
    <x v="29"/>
    <x v="69"/>
    <n v="0"/>
    <x v="0"/>
    <x v="0"/>
    <x v="3"/>
  </r>
  <r>
    <x v="0"/>
    <x v="0"/>
    <x v="0"/>
    <x v="0"/>
    <x v="0"/>
    <x v="30"/>
    <x v="70"/>
    <n v="0"/>
    <x v="0"/>
    <x v="0"/>
    <x v="3"/>
  </r>
  <r>
    <x v="0"/>
    <x v="1"/>
    <x v="1"/>
    <x v="0"/>
    <x v="0"/>
    <x v="30"/>
    <x v="70"/>
    <n v="0"/>
    <x v="0"/>
    <x v="0"/>
    <x v="3"/>
  </r>
  <r>
    <x v="0"/>
    <x v="2"/>
    <x v="2"/>
    <x v="0"/>
    <x v="0"/>
    <x v="30"/>
    <x v="70"/>
    <n v="0"/>
    <x v="0"/>
    <x v="0"/>
    <x v="3"/>
  </r>
  <r>
    <x v="0"/>
    <x v="3"/>
    <x v="3"/>
    <x v="0"/>
    <x v="0"/>
    <x v="30"/>
    <x v="70"/>
    <n v="0"/>
    <x v="0"/>
    <x v="0"/>
    <x v="3"/>
  </r>
  <r>
    <x v="0"/>
    <x v="4"/>
    <x v="4"/>
    <x v="0"/>
    <x v="0"/>
    <x v="30"/>
    <x v="70"/>
    <n v="0"/>
    <x v="0"/>
    <x v="0"/>
    <x v="3"/>
  </r>
  <r>
    <x v="0"/>
    <x v="0"/>
    <x v="0"/>
    <x v="0"/>
    <x v="0"/>
    <x v="47"/>
    <x v="71"/>
    <n v="0"/>
    <x v="0"/>
    <x v="0"/>
    <x v="3"/>
  </r>
  <r>
    <x v="0"/>
    <x v="1"/>
    <x v="1"/>
    <x v="0"/>
    <x v="0"/>
    <x v="47"/>
    <x v="71"/>
    <n v="0"/>
    <x v="0"/>
    <x v="0"/>
    <x v="3"/>
  </r>
  <r>
    <x v="0"/>
    <x v="2"/>
    <x v="2"/>
    <x v="0"/>
    <x v="0"/>
    <x v="47"/>
    <x v="71"/>
    <n v="0"/>
    <x v="0"/>
    <x v="0"/>
    <x v="3"/>
  </r>
  <r>
    <x v="0"/>
    <x v="3"/>
    <x v="3"/>
    <x v="0"/>
    <x v="0"/>
    <x v="47"/>
    <x v="71"/>
    <n v="0"/>
    <x v="0"/>
    <x v="0"/>
    <x v="3"/>
  </r>
  <r>
    <x v="0"/>
    <x v="4"/>
    <x v="4"/>
    <x v="0"/>
    <x v="0"/>
    <x v="47"/>
    <x v="71"/>
    <n v="0"/>
    <x v="0"/>
    <x v="0"/>
    <x v="3"/>
  </r>
  <r>
    <x v="0"/>
    <x v="0"/>
    <x v="0"/>
    <x v="0"/>
    <x v="0"/>
    <x v="48"/>
    <x v="72"/>
    <n v="0"/>
    <x v="0"/>
    <x v="0"/>
    <x v="3"/>
  </r>
  <r>
    <x v="0"/>
    <x v="1"/>
    <x v="1"/>
    <x v="0"/>
    <x v="0"/>
    <x v="48"/>
    <x v="72"/>
    <n v="0"/>
    <x v="0"/>
    <x v="0"/>
    <x v="3"/>
  </r>
  <r>
    <x v="0"/>
    <x v="2"/>
    <x v="2"/>
    <x v="0"/>
    <x v="0"/>
    <x v="48"/>
    <x v="72"/>
    <n v="0"/>
    <x v="0"/>
    <x v="0"/>
    <x v="3"/>
  </r>
  <r>
    <x v="0"/>
    <x v="3"/>
    <x v="3"/>
    <x v="0"/>
    <x v="0"/>
    <x v="48"/>
    <x v="72"/>
    <n v="0"/>
    <x v="0"/>
    <x v="0"/>
    <x v="3"/>
  </r>
  <r>
    <x v="0"/>
    <x v="4"/>
    <x v="4"/>
    <x v="0"/>
    <x v="0"/>
    <x v="48"/>
    <x v="72"/>
    <n v="0"/>
    <x v="0"/>
    <x v="0"/>
    <x v="3"/>
  </r>
  <r>
    <x v="0"/>
    <x v="0"/>
    <x v="0"/>
    <x v="0"/>
    <x v="0"/>
    <x v="49"/>
    <x v="73"/>
    <n v="0"/>
    <x v="0"/>
    <x v="0"/>
    <x v="3"/>
  </r>
  <r>
    <x v="0"/>
    <x v="1"/>
    <x v="1"/>
    <x v="0"/>
    <x v="0"/>
    <x v="49"/>
    <x v="73"/>
    <n v="0"/>
    <x v="0"/>
    <x v="0"/>
    <x v="3"/>
  </r>
  <r>
    <x v="0"/>
    <x v="2"/>
    <x v="2"/>
    <x v="0"/>
    <x v="0"/>
    <x v="49"/>
    <x v="73"/>
    <n v="0"/>
    <x v="0"/>
    <x v="0"/>
    <x v="3"/>
  </r>
  <r>
    <x v="0"/>
    <x v="3"/>
    <x v="3"/>
    <x v="0"/>
    <x v="0"/>
    <x v="49"/>
    <x v="73"/>
    <n v="0"/>
    <x v="0"/>
    <x v="0"/>
    <x v="3"/>
  </r>
  <r>
    <x v="0"/>
    <x v="4"/>
    <x v="4"/>
    <x v="0"/>
    <x v="0"/>
    <x v="49"/>
    <x v="73"/>
    <n v="0"/>
    <x v="0"/>
    <x v="0"/>
    <x v="3"/>
  </r>
  <r>
    <x v="0"/>
    <x v="0"/>
    <x v="0"/>
    <x v="0"/>
    <x v="0"/>
    <x v="50"/>
    <x v="74"/>
    <n v="0"/>
    <x v="0"/>
    <x v="0"/>
    <x v="3"/>
  </r>
  <r>
    <x v="0"/>
    <x v="1"/>
    <x v="1"/>
    <x v="0"/>
    <x v="0"/>
    <x v="50"/>
    <x v="74"/>
    <n v="0"/>
    <x v="0"/>
    <x v="0"/>
    <x v="3"/>
  </r>
  <r>
    <x v="0"/>
    <x v="2"/>
    <x v="2"/>
    <x v="0"/>
    <x v="0"/>
    <x v="50"/>
    <x v="74"/>
    <n v="0"/>
    <x v="0"/>
    <x v="0"/>
    <x v="3"/>
  </r>
  <r>
    <x v="0"/>
    <x v="3"/>
    <x v="3"/>
    <x v="0"/>
    <x v="0"/>
    <x v="50"/>
    <x v="74"/>
    <n v="0"/>
    <x v="0"/>
    <x v="0"/>
    <x v="3"/>
  </r>
  <r>
    <x v="0"/>
    <x v="4"/>
    <x v="4"/>
    <x v="0"/>
    <x v="0"/>
    <x v="50"/>
    <x v="74"/>
    <n v="0"/>
    <x v="0"/>
    <x v="0"/>
    <x v="3"/>
  </r>
  <r>
    <x v="0"/>
    <x v="0"/>
    <x v="0"/>
    <x v="0"/>
    <x v="0"/>
    <x v="51"/>
    <x v="75"/>
    <n v="0"/>
    <x v="0"/>
    <x v="0"/>
    <x v="3"/>
  </r>
  <r>
    <x v="0"/>
    <x v="1"/>
    <x v="1"/>
    <x v="0"/>
    <x v="0"/>
    <x v="51"/>
    <x v="75"/>
    <n v="0"/>
    <x v="0"/>
    <x v="0"/>
    <x v="3"/>
  </r>
  <r>
    <x v="0"/>
    <x v="2"/>
    <x v="2"/>
    <x v="0"/>
    <x v="0"/>
    <x v="51"/>
    <x v="75"/>
    <n v="0"/>
    <x v="0"/>
    <x v="0"/>
    <x v="3"/>
  </r>
  <r>
    <x v="0"/>
    <x v="3"/>
    <x v="3"/>
    <x v="0"/>
    <x v="0"/>
    <x v="51"/>
    <x v="75"/>
    <n v="0"/>
    <x v="0"/>
    <x v="0"/>
    <x v="3"/>
  </r>
  <r>
    <x v="0"/>
    <x v="4"/>
    <x v="4"/>
    <x v="0"/>
    <x v="0"/>
    <x v="51"/>
    <x v="75"/>
    <n v="0"/>
    <x v="0"/>
    <x v="0"/>
    <x v="3"/>
  </r>
  <r>
    <x v="0"/>
    <x v="0"/>
    <x v="0"/>
    <x v="0"/>
    <x v="0"/>
    <x v="33"/>
    <x v="76"/>
    <n v="0"/>
    <x v="0"/>
    <x v="0"/>
    <x v="3"/>
  </r>
  <r>
    <x v="0"/>
    <x v="1"/>
    <x v="1"/>
    <x v="0"/>
    <x v="0"/>
    <x v="33"/>
    <x v="76"/>
    <n v="0"/>
    <x v="0"/>
    <x v="0"/>
    <x v="3"/>
  </r>
  <r>
    <x v="0"/>
    <x v="2"/>
    <x v="2"/>
    <x v="0"/>
    <x v="0"/>
    <x v="33"/>
    <x v="76"/>
    <n v="0"/>
    <x v="0"/>
    <x v="0"/>
    <x v="3"/>
  </r>
  <r>
    <x v="0"/>
    <x v="3"/>
    <x v="3"/>
    <x v="0"/>
    <x v="0"/>
    <x v="33"/>
    <x v="76"/>
    <n v="0"/>
    <x v="0"/>
    <x v="0"/>
    <x v="3"/>
  </r>
  <r>
    <x v="0"/>
    <x v="4"/>
    <x v="4"/>
    <x v="0"/>
    <x v="0"/>
    <x v="33"/>
    <x v="76"/>
    <n v="0"/>
    <x v="0"/>
    <x v="0"/>
    <x v="3"/>
  </r>
  <r>
    <x v="0"/>
    <x v="0"/>
    <x v="0"/>
    <x v="0"/>
    <x v="0"/>
    <x v="34"/>
    <x v="77"/>
    <n v="0"/>
    <x v="0"/>
    <x v="0"/>
    <x v="3"/>
  </r>
  <r>
    <x v="0"/>
    <x v="1"/>
    <x v="1"/>
    <x v="0"/>
    <x v="0"/>
    <x v="34"/>
    <x v="77"/>
    <n v="0"/>
    <x v="0"/>
    <x v="0"/>
    <x v="3"/>
  </r>
  <r>
    <x v="0"/>
    <x v="2"/>
    <x v="2"/>
    <x v="0"/>
    <x v="0"/>
    <x v="34"/>
    <x v="77"/>
    <n v="0"/>
    <x v="0"/>
    <x v="0"/>
    <x v="3"/>
  </r>
  <r>
    <x v="0"/>
    <x v="3"/>
    <x v="3"/>
    <x v="0"/>
    <x v="0"/>
    <x v="34"/>
    <x v="77"/>
    <n v="50000"/>
    <x v="0"/>
    <x v="0"/>
    <x v="3"/>
  </r>
  <r>
    <x v="0"/>
    <x v="4"/>
    <x v="4"/>
    <x v="0"/>
    <x v="0"/>
    <x v="34"/>
    <x v="77"/>
    <n v="50000"/>
    <x v="0"/>
    <x v="0"/>
    <x v="3"/>
  </r>
  <r>
    <x v="0"/>
    <x v="0"/>
    <x v="0"/>
    <x v="0"/>
    <x v="0"/>
    <x v="35"/>
    <x v="78"/>
    <n v="0"/>
    <x v="0"/>
    <x v="0"/>
    <x v="3"/>
  </r>
  <r>
    <x v="0"/>
    <x v="1"/>
    <x v="1"/>
    <x v="0"/>
    <x v="0"/>
    <x v="35"/>
    <x v="78"/>
    <n v="0"/>
    <x v="0"/>
    <x v="0"/>
    <x v="3"/>
  </r>
  <r>
    <x v="0"/>
    <x v="2"/>
    <x v="2"/>
    <x v="0"/>
    <x v="0"/>
    <x v="35"/>
    <x v="78"/>
    <n v="0"/>
    <x v="0"/>
    <x v="0"/>
    <x v="3"/>
  </r>
  <r>
    <x v="0"/>
    <x v="3"/>
    <x v="3"/>
    <x v="0"/>
    <x v="0"/>
    <x v="35"/>
    <x v="78"/>
    <n v="0"/>
    <x v="0"/>
    <x v="0"/>
    <x v="3"/>
  </r>
  <r>
    <x v="0"/>
    <x v="4"/>
    <x v="4"/>
    <x v="0"/>
    <x v="0"/>
    <x v="35"/>
    <x v="78"/>
    <n v="0"/>
    <x v="0"/>
    <x v="0"/>
    <x v="3"/>
  </r>
  <r>
    <x v="0"/>
    <x v="0"/>
    <x v="0"/>
    <x v="0"/>
    <x v="0"/>
    <x v="52"/>
    <x v="79"/>
    <n v="0"/>
    <x v="0"/>
    <x v="0"/>
    <x v="3"/>
  </r>
  <r>
    <x v="0"/>
    <x v="1"/>
    <x v="1"/>
    <x v="0"/>
    <x v="0"/>
    <x v="52"/>
    <x v="79"/>
    <n v="0"/>
    <x v="0"/>
    <x v="0"/>
    <x v="3"/>
  </r>
  <r>
    <x v="0"/>
    <x v="2"/>
    <x v="2"/>
    <x v="0"/>
    <x v="0"/>
    <x v="52"/>
    <x v="79"/>
    <n v="0"/>
    <x v="0"/>
    <x v="0"/>
    <x v="3"/>
  </r>
  <r>
    <x v="0"/>
    <x v="3"/>
    <x v="3"/>
    <x v="0"/>
    <x v="0"/>
    <x v="52"/>
    <x v="79"/>
    <n v="0"/>
    <x v="0"/>
    <x v="0"/>
    <x v="3"/>
  </r>
  <r>
    <x v="0"/>
    <x v="4"/>
    <x v="4"/>
    <x v="0"/>
    <x v="0"/>
    <x v="52"/>
    <x v="79"/>
    <n v="0"/>
    <x v="0"/>
    <x v="0"/>
    <x v="3"/>
  </r>
  <r>
    <x v="0"/>
    <x v="0"/>
    <x v="0"/>
    <x v="0"/>
    <x v="0"/>
    <x v="53"/>
    <x v="80"/>
    <n v="0"/>
    <x v="0"/>
    <x v="0"/>
    <x v="3"/>
  </r>
  <r>
    <x v="0"/>
    <x v="1"/>
    <x v="1"/>
    <x v="0"/>
    <x v="0"/>
    <x v="53"/>
    <x v="80"/>
    <n v="0"/>
    <x v="0"/>
    <x v="0"/>
    <x v="3"/>
  </r>
  <r>
    <x v="0"/>
    <x v="2"/>
    <x v="2"/>
    <x v="0"/>
    <x v="0"/>
    <x v="53"/>
    <x v="80"/>
    <n v="0"/>
    <x v="0"/>
    <x v="0"/>
    <x v="3"/>
  </r>
  <r>
    <x v="0"/>
    <x v="3"/>
    <x v="3"/>
    <x v="0"/>
    <x v="0"/>
    <x v="53"/>
    <x v="80"/>
    <n v="0"/>
    <x v="0"/>
    <x v="0"/>
    <x v="3"/>
  </r>
  <r>
    <x v="0"/>
    <x v="4"/>
    <x v="4"/>
    <x v="0"/>
    <x v="0"/>
    <x v="53"/>
    <x v="80"/>
    <n v="0"/>
    <x v="0"/>
    <x v="0"/>
    <x v="3"/>
  </r>
  <r>
    <x v="0"/>
    <x v="0"/>
    <x v="0"/>
    <x v="0"/>
    <x v="0"/>
    <x v="54"/>
    <x v="81"/>
    <n v="0"/>
    <x v="0"/>
    <x v="0"/>
    <x v="3"/>
  </r>
  <r>
    <x v="0"/>
    <x v="1"/>
    <x v="1"/>
    <x v="0"/>
    <x v="0"/>
    <x v="54"/>
    <x v="81"/>
    <n v="0"/>
    <x v="0"/>
    <x v="0"/>
    <x v="3"/>
  </r>
  <r>
    <x v="0"/>
    <x v="2"/>
    <x v="2"/>
    <x v="0"/>
    <x v="0"/>
    <x v="54"/>
    <x v="81"/>
    <n v="0"/>
    <x v="0"/>
    <x v="0"/>
    <x v="3"/>
  </r>
  <r>
    <x v="0"/>
    <x v="3"/>
    <x v="3"/>
    <x v="0"/>
    <x v="0"/>
    <x v="54"/>
    <x v="81"/>
    <n v="0"/>
    <x v="0"/>
    <x v="0"/>
    <x v="3"/>
  </r>
  <r>
    <x v="0"/>
    <x v="4"/>
    <x v="4"/>
    <x v="0"/>
    <x v="0"/>
    <x v="54"/>
    <x v="81"/>
    <n v="0"/>
    <x v="0"/>
    <x v="0"/>
    <x v="3"/>
  </r>
  <r>
    <x v="0"/>
    <x v="0"/>
    <x v="0"/>
    <x v="0"/>
    <x v="0"/>
    <x v="55"/>
    <x v="82"/>
    <n v="0"/>
    <x v="0"/>
    <x v="0"/>
    <x v="3"/>
  </r>
  <r>
    <x v="0"/>
    <x v="1"/>
    <x v="1"/>
    <x v="0"/>
    <x v="0"/>
    <x v="55"/>
    <x v="82"/>
    <n v="0"/>
    <x v="0"/>
    <x v="0"/>
    <x v="3"/>
  </r>
  <r>
    <x v="0"/>
    <x v="2"/>
    <x v="2"/>
    <x v="0"/>
    <x v="0"/>
    <x v="55"/>
    <x v="82"/>
    <n v="0"/>
    <x v="0"/>
    <x v="0"/>
    <x v="3"/>
  </r>
  <r>
    <x v="0"/>
    <x v="3"/>
    <x v="3"/>
    <x v="0"/>
    <x v="0"/>
    <x v="55"/>
    <x v="82"/>
    <n v="0"/>
    <x v="0"/>
    <x v="0"/>
    <x v="3"/>
  </r>
  <r>
    <x v="0"/>
    <x v="4"/>
    <x v="4"/>
    <x v="0"/>
    <x v="0"/>
    <x v="55"/>
    <x v="82"/>
    <n v="0"/>
    <x v="0"/>
    <x v="0"/>
    <x v="3"/>
  </r>
  <r>
    <x v="0"/>
    <x v="0"/>
    <x v="0"/>
    <x v="0"/>
    <x v="0"/>
    <x v="56"/>
    <x v="83"/>
    <n v="0"/>
    <x v="0"/>
    <x v="0"/>
    <x v="3"/>
  </r>
  <r>
    <x v="0"/>
    <x v="1"/>
    <x v="1"/>
    <x v="0"/>
    <x v="0"/>
    <x v="56"/>
    <x v="83"/>
    <n v="0"/>
    <x v="0"/>
    <x v="0"/>
    <x v="3"/>
  </r>
  <r>
    <x v="0"/>
    <x v="2"/>
    <x v="2"/>
    <x v="0"/>
    <x v="0"/>
    <x v="56"/>
    <x v="83"/>
    <n v="0"/>
    <x v="0"/>
    <x v="0"/>
    <x v="3"/>
  </r>
  <r>
    <x v="0"/>
    <x v="3"/>
    <x v="3"/>
    <x v="0"/>
    <x v="0"/>
    <x v="56"/>
    <x v="83"/>
    <n v="0"/>
    <x v="0"/>
    <x v="0"/>
    <x v="3"/>
  </r>
  <r>
    <x v="0"/>
    <x v="4"/>
    <x v="4"/>
    <x v="0"/>
    <x v="0"/>
    <x v="56"/>
    <x v="83"/>
    <n v="0"/>
    <x v="0"/>
    <x v="0"/>
    <x v="3"/>
  </r>
  <r>
    <x v="0"/>
    <x v="0"/>
    <x v="0"/>
    <x v="0"/>
    <x v="0"/>
    <x v="57"/>
    <x v="84"/>
    <n v="0"/>
    <x v="0"/>
    <x v="0"/>
    <x v="2"/>
  </r>
  <r>
    <x v="0"/>
    <x v="1"/>
    <x v="1"/>
    <x v="0"/>
    <x v="0"/>
    <x v="57"/>
    <x v="84"/>
    <n v="1781366.85"/>
    <x v="0"/>
    <x v="0"/>
    <x v="2"/>
  </r>
  <r>
    <x v="0"/>
    <x v="2"/>
    <x v="2"/>
    <x v="0"/>
    <x v="0"/>
    <x v="57"/>
    <x v="84"/>
    <n v="86806370.359999999"/>
    <x v="0"/>
    <x v="0"/>
    <x v="2"/>
  </r>
  <r>
    <x v="0"/>
    <x v="3"/>
    <x v="3"/>
    <x v="0"/>
    <x v="0"/>
    <x v="57"/>
    <x v="84"/>
    <n v="917501.05"/>
    <x v="0"/>
    <x v="0"/>
    <x v="2"/>
  </r>
  <r>
    <x v="0"/>
    <x v="4"/>
    <x v="4"/>
    <x v="0"/>
    <x v="0"/>
    <x v="57"/>
    <x v="84"/>
    <n v="89505238.260000005"/>
    <x v="0"/>
    <x v="0"/>
    <x v="2"/>
  </r>
  <r>
    <x v="0"/>
    <x v="0"/>
    <x v="0"/>
    <x v="0"/>
    <x v="0"/>
    <x v="39"/>
    <x v="85"/>
    <n v="0"/>
    <x v="0"/>
    <x v="0"/>
    <x v="3"/>
  </r>
  <r>
    <x v="0"/>
    <x v="1"/>
    <x v="1"/>
    <x v="0"/>
    <x v="0"/>
    <x v="39"/>
    <x v="85"/>
    <n v="0"/>
    <x v="0"/>
    <x v="0"/>
    <x v="3"/>
  </r>
  <r>
    <x v="0"/>
    <x v="2"/>
    <x v="2"/>
    <x v="0"/>
    <x v="0"/>
    <x v="39"/>
    <x v="85"/>
    <n v="0"/>
    <x v="0"/>
    <x v="0"/>
    <x v="3"/>
  </r>
  <r>
    <x v="0"/>
    <x v="3"/>
    <x v="3"/>
    <x v="0"/>
    <x v="0"/>
    <x v="39"/>
    <x v="85"/>
    <n v="0"/>
    <x v="0"/>
    <x v="0"/>
    <x v="3"/>
  </r>
  <r>
    <x v="0"/>
    <x v="4"/>
    <x v="4"/>
    <x v="0"/>
    <x v="0"/>
    <x v="39"/>
    <x v="85"/>
    <n v="0"/>
    <x v="0"/>
    <x v="0"/>
    <x v="3"/>
  </r>
  <r>
    <x v="0"/>
    <x v="0"/>
    <x v="0"/>
    <x v="0"/>
    <x v="0"/>
    <x v="40"/>
    <x v="86"/>
    <n v="0"/>
    <x v="0"/>
    <x v="0"/>
    <x v="3"/>
  </r>
  <r>
    <x v="0"/>
    <x v="1"/>
    <x v="1"/>
    <x v="0"/>
    <x v="0"/>
    <x v="40"/>
    <x v="86"/>
    <n v="0"/>
    <x v="0"/>
    <x v="0"/>
    <x v="3"/>
  </r>
  <r>
    <x v="0"/>
    <x v="2"/>
    <x v="2"/>
    <x v="0"/>
    <x v="0"/>
    <x v="40"/>
    <x v="86"/>
    <n v="0"/>
    <x v="0"/>
    <x v="0"/>
    <x v="3"/>
  </r>
  <r>
    <x v="0"/>
    <x v="3"/>
    <x v="3"/>
    <x v="0"/>
    <x v="0"/>
    <x v="40"/>
    <x v="86"/>
    <n v="0"/>
    <x v="0"/>
    <x v="0"/>
    <x v="3"/>
  </r>
  <r>
    <x v="0"/>
    <x v="4"/>
    <x v="4"/>
    <x v="0"/>
    <x v="0"/>
    <x v="40"/>
    <x v="86"/>
    <n v="0"/>
    <x v="0"/>
    <x v="0"/>
    <x v="3"/>
  </r>
  <r>
    <x v="0"/>
    <x v="0"/>
    <x v="0"/>
    <x v="0"/>
    <x v="0"/>
    <x v="41"/>
    <x v="87"/>
    <n v="0"/>
    <x v="0"/>
    <x v="0"/>
    <x v="3"/>
  </r>
  <r>
    <x v="0"/>
    <x v="1"/>
    <x v="1"/>
    <x v="0"/>
    <x v="0"/>
    <x v="41"/>
    <x v="87"/>
    <n v="1781366.85"/>
    <x v="0"/>
    <x v="0"/>
    <x v="3"/>
  </r>
  <r>
    <x v="0"/>
    <x v="2"/>
    <x v="2"/>
    <x v="0"/>
    <x v="0"/>
    <x v="41"/>
    <x v="87"/>
    <n v="0"/>
    <x v="0"/>
    <x v="0"/>
    <x v="3"/>
  </r>
  <r>
    <x v="0"/>
    <x v="3"/>
    <x v="3"/>
    <x v="0"/>
    <x v="0"/>
    <x v="41"/>
    <x v="87"/>
    <n v="917501.05"/>
    <x v="0"/>
    <x v="0"/>
    <x v="3"/>
  </r>
  <r>
    <x v="0"/>
    <x v="4"/>
    <x v="4"/>
    <x v="0"/>
    <x v="0"/>
    <x v="41"/>
    <x v="87"/>
    <n v="2698867.9"/>
    <x v="0"/>
    <x v="0"/>
    <x v="3"/>
  </r>
  <r>
    <x v="0"/>
    <x v="0"/>
    <x v="0"/>
    <x v="0"/>
    <x v="0"/>
    <x v="58"/>
    <x v="88"/>
    <n v="0"/>
    <x v="0"/>
    <x v="0"/>
    <x v="3"/>
  </r>
  <r>
    <x v="0"/>
    <x v="1"/>
    <x v="1"/>
    <x v="0"/>
    <x v="0"/>
    <x v="58"/>
    <x v="88"/>
    <n v="0"/>
    <x v="0"/>
    <x v="0"/>
    <x v="3"/>
  </r>
  <r>
    <x v="0"/>
    <x v="2"/>
    <x v="2"/>
    <x v="0"/>
    <x v="0"/>
    <x v="58"/>
    <x v="88"/>
    <n v="15492992.23"/>
    <x v="0"/>
    <x v="0"/>
    <x v="3"/>
  </r>
  <r>
    <x v="0"/>
    <x v="3"/>
    <x v="3"/>
    <x v="0"/>
    <x v="0"/>
    <x v="58"/>
    <x v="88"/>
    <n v="0"/>
    <x v="0"/>
    <x v="0"/>
    <x v="3"/>
  </r>
  <r>
    <x v="0"/>
    <x v="4"/>
    <x v="4"/>
    <x v="0"/>
    <x v="0"/>
    <x v="58"/>
    <x v="88"/>
    <n v="15492992.23"/>
    <x v="0"/>
    <x v="0"/>
    <x v="3"/>
  </r>
  <r>
    <x v="0"/>
    <x v="0"/>
    <x v="0"/>
    <x v="0"/>
    <x v="0"/>
    <x v="59"/>
    <x v="89"/>
    <n v="0"/>
    <x v="0"/>
    <x v="0"/>
    <x v="3"/>
  </r>
  <r>
    <x v="0"/>
    <x v="1"/>
    <x v="1"/>
    <x v="0"/>
    <x v="0"/>
    <x v="59"/>
    <x v="89"/>
    <n v="0"/>
    <x v="0"/>
    <x v="0"/>
    <x v="3"/>
  </r>
  <r>
    <x v="0"/>
    <x v="2"/>
    <x v="2"/>
    <x v="0"/>
    <x v="0"/>
    <x v="59"/>
    <x v="89"/>
    <n v="27689251.43"/>
    <x v="0"/>
    <x v="0"/>
    <x v="3"/>
  </r>
  <r>
    <x v="0"/>
    <x v="3"/>
    <x v="3"/>
    <x v="0"/>
    <x v="0"/>
    <x v="59"/>
    <x v="89"/>
    <n v="0"/>
    <x v="0"/>
    <x v="0"/>
    <x v="3"/>
  </r>
  <r>
    <x v="0"/>
    <x v="4"/>
    <x v="4"/>
    <x v="0"/>
    <x v="0"/>
    <x v="59"/>
    <x v="89"/>
    <n v="27689251.43"/>
    <x v="0"/>
    <x v="0"/>
    <x v="3"/>
  </r>
  <r>
    <x v="0"/>
    <x v="0"/>
    <x v="0"/>
    <x v="0"/>
    <x v="0"/>
    <x v="60"/>
    <x v="90"/>
    <n v="0"/>
    <x v="0"/>
    <x v="0"/>
    <x v="3"/>
  </r>
  <r>
    <x v="0"/>
    <x v="1"/>
    <x v="1"/>
    <x v="0"/>
    <x v="0"/>
    <x v="60"/>
    <x v="90"/>
    <n v="0"/>
    <x v="0"/>
    <x v="0"/>
    <x v="3"/>
  </r>
  <r>
    <x v="0"/>
    <x v="2"/>
    <x v="2"/>
    <x v="0"/>
    <x v="0"/>
    <x v="60"/>
    <x v="90"/>
    <n v="37147790.399999999"/>
    <x v="0"/>
    <x v="0"/>
    <x v="3"/>
  </r>
  <r>
    <x v="0"/>
    <x v="3"/>
    <x v="3"/>
    <x v="0"/>
    <x v="0"/>
    <x v="60"/>
    <x v="90"/>
    <n v="0"/>
    <x v="0"/>
    <x v="0"/>
    <x v="3"/>
  </r>
  <r>
    <x v="0"/>
    <x v="4"/>
    <x v="4"/>
    <x v="0"/>
    <x v="0"/>
    <x v="60"/>
    <x v="90"/>
    <n v="37147790.399999999"/>
    <x v="0"/>
    <x v="0"/>
    <x v="3"/>
  </r>
  <r>
    <x v="0"/>
    <x v="0"/>
    <x v="0"/>
    <x v="0"/>
    <x v="0"/>
    <x v="61"/>
    <x v="91"/>
    <n v="0"/>
    <x v="0"/>
    <x v="0"/>
    <x v="3"/>
  </r>
  <r>
    <x v="0"/>
    <x v="1"/>
    <x v="1"/>
    <x v="0"/>
    <x v="0"/>
    <x v="61"/>
    <x v="91"/>
    <n v="0"/>
    <x v="0"/>
    <x v="0"/>
    <x v="3"/>
  </r>
  <r>
    <x v="0"/>
    <x v="2"/>
    <x v="2"/>
    <x v="0"/>
    <x v="0"/>
    <x v="61"/>
    <x v="91"/>
    <n v="6476336.2999999998"/>
    <x v="0"/>
    <x v="0"/>
    <x v="3"/>
  </r>
  <r>
    <x v="0"/>
    <x v="3"/>
    <x v="3"/>
    <x v="0"/>
    <x v="0"/>
    <x v="61"/>
    <x v="91"/>
    <n v="0"/>
    <x v="0"/>
    <x v="0"/>
    <x v="3"/>
  </r>
  <r>
    <x v="0"/>
    <x v="4"/>
    <x v="4"/>
    <x v="0"/>
    <x v="0"/>
    <x v="61"/>
    <x v="91"/>
    <n v="6476336.2999999998"/>
    <x v="0"/>
    <x v="0"/>
    <x v="3"/>
  </r>
  <r>
    <x v="0"/>
    <x v="0"/>
    <x v="0"/>
    <x v="0"/>
    <x v="0"/>
    <x v="62"/>
    <x v="92"/>
    <n v="0"/>
    <x v="0"/>
    <x v="0"/>
    <x v="3"/>
  </r>
  <r>
    <x v="0"/>
    <x v="1"/>
    <x v="1"/>
    <x v="0"/>
    <x v="0"/>
    <x v="62"/>
    <x v="92"/>
    <n v="0"/>
    <x v="0"/>
    <x v="0"/>
    <x v="3"/>
  </r>
  <r>
    <x v="0"/>
    <x v="2"/>
    <x v="2"/>
    <x v="0"/>
    <x v="0"/>
    <x v="62"/>
    <x v="92"/>
    <n v="0"/>
    <x v="0"/>
    <x v="0"/>
    <x v="3"/>
  </r>
  <r>
    <x v="0"/>
    <x v="3"/>
    <x v="3"/>
    <x v="0"/>
    <x v="0"/>
    <x v="62"/>
    <x v="92"/>
    <n v="0"/>
    <x v="0"/>
    <x v="0"/>
    <x v="3"/>
  </r>
  <r>
    <x v="0"/>
    <x v="4"/>
    <x v="4"/>
    <x v="0"/>
    <x v="0"/>
    <x v="62"/>
    <x v="92"/>
    <n v="0"/>
    <x v="0"/>
    <x v="0"/>
    <x v="3"/>
  </r>
  <r>
    <x v="0"/>
    <x v="0"/>
    <x v="0"/>
    <x v="0"/>
    <x v="0"/>
    <x v="63"/>
    <x v="93"/>
    <n v="316515.78999999998"/>
    <x v="0"/>
    <x v="0"/>
    <x v="2"/>
  </r>
  <r>
    <x v="0"/>
    <x v="1"/>
    <x v="1"/>
    <x v="0"/>
    <x v="0"/>
    <x v="63"/>
    <x v="93"/>
    <n v="0"/>
    <x v="0"/>
    <x v="0"/>
    <x v="2"/>
  </r>
  <r>
    <x v="0"/>
    <x v="2"/>
    <x v="2"/>
    <x v="0"/>
    <x v="0"/>
    <x v="63"/>
    <x v="93"/>
    <n v="456175.21"/>
    <x v="0"/>
    <x v="0"/>
    <x v="2"/>
  </r>
  <r>
    <x v="0"/>
    <x v="3"/>
    <x v="3"/>
    <x v="0"/>
    <x v="0"/>
    <x v="63"/>
    <x v="93"/>
    <n v="100000"/>
    <x v="0"/>
    <x v="0"/>
    <x v="2"/>
  </r>
  <r>
    <x v="0"/>
    <x v="4"/>
    <x v="4"/>
    <x v="0"/>
    <x v="0"/>
    <x v="63"/>
    <x v="93"/>
    <n v="872691"/>
    <x v="0"/>
    <x v="0"/>
    <x v="2"/>
  </r>
  <r>
    <x v="0"/>
    <x v="0"/>
    <x v="0"/>
    <x v="0"/>
    <x v="0"/>
    <x v="64"/>
    <x v="94"/>
    <n v="0"/>
    <x v="0"/>
    <x v="0"/>
    <x v="3"/>
  </r>
  <r>
    <x v="0"/>
    <x v="1"/>
    <x v="1"/>
    <x v="0"/>
    <x v="0"/>
    <x v="64"/>
    <x v="94"/>
    <n v="0"/>
    <x v="0"/>
    <x v="0"/>
    <x v="3"/>
  </r>
  <r>
    <x v="0"/>
    <x v="2"/>
    <x v="2"/>
    <x v="0"/>
    <x v="0"/>
    <x v="64"/>
    <x v="94"/>
    <n v="0"/>
    <x v="0"/>
    <x v="0"/>
    <x v="3"/>
  </r>
  <r>
    <x v="0"/>
    <x v="3"/>
    <x v="3"/>
    <x v="0"/>
    <x v="0"/>
    <x v="64"/>
    <x v="94"/>
    <n v="0"/>
    <x v="0"/>
    <x v="0"/>
    <x v="3"/>
  </r>
  <r>
    <x v="0"/>
    <x v="4"/>
    <x v="4"/>
    <x v="0"/>
    <x v="0"/>
    <x v="64"/>
    <x v="94"/>
    <n v="0"/>
    <x v="0"/>
    <x v="0"/>
    <x v="3"/>
  </r>
  <r>
    <x v="0"/>
    <x v="0"/>
    <x v="0"/>
    <x v="0"/>
    <x v="0"/>
    <x v="65"/>
    <x v="95"/>
    <n v="0"/>
    <x v="0"/>
    <x v="0"/>
    <x v="3"/>
  </r>
  <r>
    <x v="0"/>
    <x v="1"/>
    <x v="1"/>
    <x v="0"/>
    <x v="0"/>
    <x v="65"/>
    <x v="95"/>
    <n v="0"/>
    <x v="0"/>
    <x v="0"/>
    <x v="3"/>
  </r>
  <r>
    <x v="0"/>
    <x v="2"/>
    <x v="2"/>
    <x v="0"/>
    <x v="0"/>
    <x v="65"/>
    <x v="95"/>
    <n v="456175.21"/>
    <x v="0"/>
    <x v="0"/>
    <x v="3"/>
  </r>
  <r>
    <x v="0"/>
    <x v="3"/>
    <x v="3"/>
    <x v="0"/>
    <x v="0"/>
    <x v="65"/>
    <x v="95"/>
    <n v="0"/>
    <x v="0"/>
    <x v="0"/>
    <x v="3"/>
  </r>
  <r>
    <x v="0"/>
    <x v="4"/>
    <x v="4"/>
    <x v="0"/>
    <x v="0"/>
    <x v="65"/>
    <x v="95"/>
    <n v="456175.21"/>
    <x v="0"/>
    <x v="0"/>
    <x v="3"/>
  </r>
  <r>
    <x v="0"/>
    <x v="0"/>
    <x v="0"/>
    <x v="0"/>
    <x v="0"/>
    <x v="66"/>
    <x v="96"/>
    <n v="0"/>
    <x v="0"/>
    <x v="0"/>
    <x v="3"/>
  </r>
  <r>
    <x v="0"/>
    <x v="1"/>
    <x v="1"/>
    <x v="0"/>
    <x v="0"/>
    <x v="66"/>
    <x v="96"/>
    <n v="0"/>
    <x v="0"/>
    <x v="0"/>
    <x v="3"/>
  </r>
  <r>
    <x v="0"/>
    <x v="2"/>
    <x v="2"/>
    <x v="0"/>
    <x v="0"/>
    <x v="66"/>
    <x v="96"/>
    <n v="0"/>
    <x v="0"/>
    <x v="0"/>
    <x v="3"/>
  </r>
  <r>
    <x v="0"/>
    <x v="3"/>
    <x v="3"/>
    <x v="0"/>
    <x v="0"/>
    <x v="66"/>
    <x v="96"/>
    <n v="100000"/>
    <x v="0"/>
    <x v="0"/>
    <x v="3"/>
  </r>
  <r>
    <x v="0"/>
    <x v="4"/>
    <x v="4"/>
    <x v="0"/>
    <x v="0"/>
    <x v="66"/>
    <x v="96"/>
    <n v="100000"/>
    <x v="0"/>
    <x v="0"/>
    <x v="3"/>
  </r>
  <r>
    <x v="0"/>
    <x v="0"/>
    <x v="0"/>
    <x v="0"/>
    <x v="0"/>
    <x v="67"/>
    <x v="97"/>
    <n v="316515.78999999998"/>
    <x v="0"/>
    <x v="0"/>
    <x v="3"/>
  </r>
  <r>
    <x v="0"/>
    <x v="1"/>
    <x v="1"/>
    <x v="0"/>
    <x v="0"/>
    <x v="67"/>
    <x v="97"/>
    <n v="0"/>
    <x v="0"/>
    <x v="0"/>
    <x v="3"/>
  </r>
  <r>
    <x v="0"/>
    <x v="2"/>
    <x v="2"/>
    <x v="0"/>
    <x v="0"/>
    <x v="67"/>
    <x v="97"/>
    <n v="0"/>
    <x v="0"/>
    <x v="0"/>
    <x v="3"/>
  </r>
  <r>
    <x v="0"/>
    <x v="3"/>
    <x v="3"/>
    <x v="0"/>
    <x v="0"/>
    <x v="67"/>
    <x v="97"/>
    <n v="0"/>
    <x v="0"/>
    <x v="0"/>
    <x v="3"/>
  </r>
  <r>
    <x v="0"/>
    <x v="4"/>
    <x v="4"/>
    <x v="0"/>
    <x v="0"/>
    <x v="67"/>
    <x v="97"/>
    <n v="316515.78999999998"/>
    <x v="0"/>
    <x v="0"/>
    <x v="3"/>
  </r>
  <r>
    <x v="0"/>
    <x v="0"/>
    <x v="0"/>
    <x v="0"/>
    <x v="0"/>
    <x v="68"/>
    <x v="98"/>
    <n v="0"/>
    <x v="0"/>
    <x v="0"/>
    <x v="3"/>
  </r>
  <r>
    <x v="0"/>
    <x v="1"/>
    <x v="1"/>
    <x v="0"/>
    <x v="0"/>
    <x v="68"/>
    <x v="98"/>
    <n v="0"/>
    <x v="0"/>
    <x v="0"/>
    <x v="3"/>
  </r>
  <r>
    <x v="0"/>
    <x v="2"/>
    <x v="2"/>
    <x v="0"/>
    <x v="0"/>
    <x v="68"/>
    <x v="98"/>
    <n v="0"/>
    <x v="0"/>
    <x v="0"/>
    <x v="3"/>
  </r>
  <r>
    <x v="0"/>
    <x v="3"/>
    <x v="3"/>
    <x v="0"/>
    <x v="0"/>
    <x v="68"/>
    <x v="98"/>
    <n v="0"/>
    <x v="0"/>
    <x v="0"/>
    <x v="3"/>
  </r>
  <r>
    <x v="0"/>
    <x v="4"/>
    <x v="4"/>
    <x v="0"/>
    <x v="0"/>
    <x v="68"/>
    <x v="98"/>
    <n v="0"/>
    <x v="0"/>
    <x v="0"/>
    <x v="3"/>
  </r>
  <r>
    <x v="0"/>
    <x v="0"/>
    <x v="0"/>
    <x v="0"/>
    <x v="0"/>
    <x v="69"/>
    <x v="99"/>
    <n v="-3176.7"/>
    <x v="0"/>
    <x v="0"/>
    <x v="2"/>
  </r>
  <r>
    <x v="0"/>
    <x v="1"/>
    <x v="1"/>
    <x v="0"/>
    <x v="0"/>
    <x v="69"/>
    <x v="99"/>
    <n v="0"/>
    <x v="0"/>
    <x v="0"/>
    <x v="2"/>
  </r>
  <r>
    <x v="0"/>
    <x v="2"/>
    <x v="2"/>
    <x v="0"/>
    <x v="0"/>
    <x v="69"/>
    <x v="99"/>
    <n v="-176626.51"/>
    <x v="0"/>
    <x v="0"/>
    <x v="2"/>
  </r>
  <r>
    <x v="0"/>
    <x v="3"/>
    <x v="3"/>
    <x v="0"/>
    <x v="0"/>
    <x v="69"/>
    <x v="99"/>
    <n v="0"/>
    <x v="0"/>
    <x v="0"/>
    <x v="2"/>
  </r>
  <r>
    <x v="0"/>
    <x v="4"/>
    <x v="4"/>
    <x v="0"/>
    <x v="0"/>
    <x v="69"/>
    <x v="99"/>
    <n v="-179803.21"/>
    <x v="0"/>
    <x v="0"/>
    <x v="2"/>
  </r>
  <r>
    <x v="0"/>
    <x v="0"/>
    <x v="0"/>
    <x v="0"/>
    <x v="0"/>
    <x v="70"/>
    <x v="100"/>
    <n v="-3176.7"/>
    <x v="0"/>
    <x v="0"/>
    <x v="3"/>
  </r>
  <r>
    <x v="0"/>
    <x v="1"/>
    <x v="1"/>
    <x v="0"/>
    <x v="0"/>
    <x v="70"/>
    <x v="100"/>
    <n v="0"/>
    <x v="0"/>
    <x v="0"/>
    <x v="3"/>
  </r>
  <r>
    <x v="0"/>
    <x v="2"/>
    <x v="2"/>
    <x v="0"/>
    <x v="0"/>
    <x v="70"/>
    <x v="100"/>
    <n v="0"/>
    <x v="0"/>
    <x v="0"/>
    <x v="3"/>
  </r>
  <r>
    <x v="0"/>
    <x v="3"/>
    <x v="3"/>
    <x v="0"/>
    <x v="0"/>
    <x v="70"/>
    <x v="100"/>
    <n v="0"/>
    <x v="0"/>
    <x v="0"/>
    <x v="3"/>
  </r>
  <r>
    <x v="0"/>
    <x v="4"/>
    <x v="4"/>
    <x v="0"/>
    <x v="0"/>
    <x v="70"/>
    <x v="100"/>
    <n v="-3176.7"/>
    <x v="0"/>
    <x v="0"/>
    <x v="3"/>
  </r>
  <r>
    <x v="0"/>
    <x v="0"/>
    <x v="0"/>
    <x v="0"/>
    <x v="0"/>
    <x v="71"/>
    <x v="101"/>
    <n v="0"/>
    <x v="0"/>
    <x v="0"/>
    <x v="3"/>
  </r>
  <r>
    <x v="0"/>
    <x v="1"/>
    <x v="1"/>
    <x v="0"/>
    <x v="0"/>
    <x v="71"/>
    <x v="101"/>
    <n v="0"/>
    <x v="0"/>
    <x v="0"/>
    <x v="3"/>
  </r>
  <r>
    <x v="0"/>
    <x v="2"/>
    <x v="2"/>
    <x v="0"/>
    <x v="0"/>
    <x v="71"/>
    <x v="101"/>
    <n v="-176626.51"/>
    <x v="0"/>
    <x v="0"/>
    <x v="3"/>
  </r>
  <r>
    <x v="0"/>
    <x v="3"/>
    <x v="3"/>
    <x v="0"/>
    <x v="0"/>
    <x v="71"/>
    <x v="101"/>
    <n v="0"/>
    <x v="0"/>
    <x v="0"/>
    <x v="3"/>
  </r>
  <r>
    <x v="0"/>
    <x v="4"/>
    <x v="4"/>
    <x v="0"/>
    <x v="0"/>
    <x v="71"/>
    <x v="101"/>
    <n v="-176626.51"/>
    <x v="0"/>
    <x v="0"/>
    <x v="3"/>
  </r>
  <r>
    <x v="0"/>
    <x v="0"/>
    <x v="0"/>
    <x v="0"/>
    <x v="0"/>
    <x v="72"/>
    <x v="102"/>
    <n v="143988855.16999999"/>
    <x v="0"/>
    <x v="0"/>
    <x v="1"/>
  </r>
  <r>
    <x v="0"/>
    <x v="1"/>
    <x v="1"/>
    <x v="0"/>
    <x v="0"/>
    <x v="72"/>
    <x v="102"/>
    <n v="40082661.770000003"/>
    <x v="0"/>
    <x v="0"/>
    <x v="1"/>
  </r>
  <r>
    <x v="0"/>
    <x v="2"/>
    <x v="2"/>
    <x v="0"/>
    <x v="0"/>
    <x v="72"/>
    <x v="102"/>
    <n v="381555889.13"/>
    <x v="0"/>
    <x v="0"/>
    <x v="1"/>
  </r>
  <r>
    <x v="0"/>
    <x v="3"/>
    <x v="3"/>
    <x v="0"/>
    <x v="0"/>
    <x v="72"/>
    <x v="102"/>
    <n v="18566278.5"/>
    <x v="0"/>
    <x v="0"/>
    <x v="1"/>
  </r>
  <r>
    <x v="0"/>
    <x v="4"/>
    <x v="4"/>
    <x v="0"/>
    <x v="0"/>
    <x v="72"/>
    <x v="102"/>
    <n v="584193684.56999993"/>
    <x v="0"/>
    <x v="0"/>
    <x v="1"/>
  </r>
  <r>
    <x v="0"/>
    <x v="0"/>
    <x v="0"/>
    <x v="0"/>
    <x v="0"/>
    <x v="73"/>
    <x v="103"/>
    <n v="4532641.0599999996"/>
    <x v="0"/>
    <x v="0"/>
    <x v="2"/>
  </r>
  <r>
    <x v="0"/>
    <x v="1"/>
    <x v="1"/>
    <x v="0"/>
    <x v="0"/>
    <x v="73"/>
    <x v="103"/>
    <n v="396850.45"/>
    <x v="0"/>
    <x v="0"/>
    <x v="2"/>
  </r>
  <r>
    <x v="0"/>
    <x v="2"/>
    <x v="2"/>
    <x v="0"/>
    <x v="0"/>
    <x v="73"/>
    <x v="103"/>
    <n v="64115508.460000001"/>
    <x v="0"/>
    <x v="0"/>
    <x v="2"/>
  </r>
  <r>
    <x v="0"/>
    <x v="3"/>
    <x v="3"/>
    <x v="0"/>
    <x v="0"/>
    <x v="73"/>
    <x v="103"/>
    <n v="0"/>
    <x v="0"/>
    <x v="0"/>
    <x v="2"/>
  </r>
  <r>
    <x v="0"/>
    <x v="4"/>
    <x v="4"/>
    <x v="0"/>
    <x v="0"/>
    <x v="73"/>
    <x v="103"/>
    <n v="69044999.969999999"/>
    <x v="0"/>
    <x v="0"/>
    <x v="2"/>
  </r>
  <r>
    <x v="0"/>
    <x v="0"/>
    <x v="0"/>
    <x v="0"/>
    <x v="0"/>
    <x v="39"/>
    <x v="104"/>
    <n v="27116.35"/>
    <x v="0"/>
    <x v="0"/>
    <x v="3"/>
  </r>
  <r>
    <x v="0"/>
    <x v="1"/>
    <x v="1"/>
    <x v="0"/>
    <x v="0"/>
    <x v="39"/>
    <x v="104"/>
    <n v="16107.65"/>
    <x v="0"/>
    <x v="0"/>
    <x v="3"/>
  </r>
  <r>
    <x v="0"/>
    <x v="2"/>
    <x v="2"/>
    <x v="0"/>
    <x v="0"/>
    <x v="39"/>
    <x v="104"/>
    <n v="8347329.5899999999"/>
    <x v="0"/>
    <x v="0"/>
    <x v="3"/>
  </r>
  <r>
    <x v="0"/>
    <x v="3"/>
    <x v="3"/>
    <x v="0"/>
    <x v="0"/>
    <x v="39"/>
    <x v="104"/>
    <n v="0"/>
    <x v="0"/>
    <x v="0"/>
    <x v="3"/>
  </r>
  <r>
    <x v="0"/>
    <x v="4"/>
    <x v="4"/>
    <x v="0"/>
    <x v="0"/>
    <x v="39"/>
    <x v="104"/>
    <n v="8390553.5899999999"/>
    <x v="0"/>
    <x v="0"/>
    <x v="3"/>
  </r>
  <r>
    <x v="0"/>
    <x v="0"/>
    <x v="0"/>
    <x v="0"/>
    <x v="0"/>
    <x v="40"/>
    <x v="105"/>
    <n v="53196.74"/>
    <x v="0"/>
    <x v="0"/>
    <x v="3"/>
  </r>
  <r>
    <x v="0"/>
    <x v="1"/>
    <x v="1"/>
    <x v="0"/>
    <x v="0"/>
    <x v="40"/>
    <x v="105"/>
    <n v="20216.11"/>
    <x v="0"/>
    <x v="0"/>
    <x v="3"/>
  </r>
  <r>
    <x v="0"/>
    <x v="2"/>
    <x v="2"/>
    <x v="0"/>
    <x v="0"/>
    <x v="40"/>
    <x v="105"/>
    <n v="15602143.130000001"/>
    <x v="0"/>
    <x v="0"/>
    <x v="3"/>
  </r>
  <r>
    <x v="0"/>
    <x v="3"/>
    <x v="3"/>
    <x v="0"/>
    <x v="0"/>
    <x v="40"/>
    <x v="105"/>
    <n v="0"/>
    <x v="0"/>
    <x v="0"/>
    <x v="3"/>
  </r>
  <r>
    <x v="0"/>
    <x v="4"/>
    <x v="4"/>
    <x v="0"/>
    <x v="0"/>
    <x v="40"/>
    <x v="105"/>
    <n v="15675555.98"/>
    <x v="0"/>
    <x v="0"/>
    <x v="3"/>
  </r>
  <r>
    <x v="0"/>
    <x v="0"/>
    <x v="0"/>
    <x v="0"/>
    <x v="0"/>
    <x v="41"/>
    <x v="106"/>
    <n v="81652.2"/>
    <x v="0"/>
    <x v="0"/>
    <x v="3"/>
  </r>
  <r>
    <x v="0"/>
    <x v="1"/>
    <x v="1"/>
    <x v="0"/>
    <x v="0"/>
    <x v="41"/>
    <x v="106"/>
    <n v="30326.11"/>
    <x v="0"/>
    <x v="0"/>
    <x v="3"/>
  </r>
  <r>
    <x v="0"/>
    <x v="2"/>
    <x v="2"/>
    <x v="0"/>
    <x v="0"/>
    <x v="41"/>
    <x v="106"/>
    <n v="9893145.5"/>
    <x v="0"/>
    <x v="0"/>
    <x v="3"/>
  </r>
  <r>
    <x v="0"/>
    <x v="3"/>
    <x v="3"/>
    <x v="0"/>
    <x v="0"/>
    <x v="41"/>
    <x v="106"/>
    <n v="0"/>
    <x v="0"/>
    <x v="0"/>
    <x v="3"/>
  </r>
  <r>
    <x v="0"/>
    <x v="4"/>
    <x v="4"/>
    <x v="0"/>
    <x v="0"/>
    <x v="41"/>
    <x v="106"/>
    <n v="10005123.810000001"/>
    <x v="0"/>
    <x v="0"/>
    <x v="3"/>
  </r>
  <r>
    <x v="0"/>
    <x v="0"/>
    <x v="0"/>
    <x v="0"/>
    <x v="0"/>
    <x v="42"/>
    <x v="107"/>
    <n v="166909.51999999999"/>
    <x v="0"/>
    <x v="0"/>
    <x v="3"/>
  </r>
  <r>
    <x v="0"/>
    <x v="1"/>
    <x v="1"/>
    <x v="0"/>
    <x v="0"/>
    <x v="42"/>
    <x v="107"/>
    <n v="49076.06"/>
    <x v="0"/>
    <x v="0"/>
    <x v="3"/>
  </r>
  <r>
    <x v="0"/>
    <x v="2"/>
    <x v="2"/>
    <x v="0"/>
    <x v="0"/>
    <x v="42"/>
    <x v="107"/>
    <n v="6019772.4699999997"/>
    <x v="0"/>
    <x v="0"/>
    <x v="3"/>
  </r>
  <r>
    <x v="0"/>
    <x v="3"/>
    <x v="3"/>
    <x v="0"/>
    <x v="0"/>
    <x v="42"/>
    <x v="107"/>
    <n v="0"/>
    <x v="0"/>
    <x v="0"/>
    <x v="3"/>
  </r>
  <r>
    <x v="0"/>
    <x v="4"/>
    <x v="4"/>
    <x v="0"/>
    <x v="0"/>
    <x v="42"/>
    <x v="107"/>
    <n v="6235758.0499999998"/>
    <x v="0"/>
    <x v="0"/>
    <x v="3"/>
  </r>
  <r>
    <x v="0"/>
    <x v="0"/>
    <x v="0"/>
    <x v="0"/>
    <x v="0"/>
    <x v="43"/>
    <x v="108"/>
    <n v="4203766.25"/>
    <x v="0"/>
    <x v="0"/>
    <x v="3"/>
  </r>
  <r>
    <x v="0"/>
    <x v="1"/>
    <x v="1"/>
    <x v="0"/>
    <x v="0"/>
    <x v="43"/>
    <x v="108"/>
    <n v="281124.52"/>
    <x v="0"/>
    <x v="0"/>
    <x v="3"/>
  </r>
  <r>
    <x v="0"/>
    <x v="2"/>
    <x v="2"/>
    <x v="0"/>
    <x v="0"/>
    <x v="43"/>
    <x v="108"/>
    <n v="24253117.77"/>
    <x v="0"/>
    <x v="0"/>
    <x v="3"/>
  </r>
  <r>
    <x v="0"/>
    <x v="3"/>
    <x v="3"/>
    <x v="0"/>
    <x v="0"/>
    <x v="43"/>
    <x v="108"/>
    <n v="0"/>
    <x v="0"/>
    <x v="0"/>
    <x v="3"/>
  </r>
  <r>
    <x v="0"/>
    <x v="4"/>
    <x v="4"/>
    <x v="0"/>
    <x v="0"/>
    <x v="43"/>
    <x v="108"/>
    <n v="28738008.539999999"/>
    <x v="0"/>
    <x v="0"/>
    <x v="3"/>
  </r>
  <r>
    <x v="0"/>
    <x v="0"/>
    <x v="0"/>
    <x v="0"/>
    <x v="0"/>
    <x v="74"/>
    <x v="109"/>
    <n v="16270250.59"/>
    <x v="0"/>
    <x v="0"/>
    <x v="2"/>
  </r>
  <r>
    <x v="0"/>
    <x v="1"/>
    <x v="1"/>
    <x v="0"/>
    <x v="0"/>
    <x v="74"/>
    <x v="109"/>
    <n v="18599113.699999999"/>
    <x v="0"/>
    <x v="0"/>
    <x v="2"/>
  </r>
  <r>
    <x v="0"/>
    <x v="2"/>
    <x v="2"/>
    <x v="0"/>
    <x v="0"/>
    <x v="74"/>
    <x v="109"/>
    <n v="73179040.390000001"/>
    <x v="0"/>
    <x v="0"/>
    <x v="2"/>
  </r>
  <r>
    <x v="0"/>
    <x v="3"/>
    <x v="3"/>
    <x v="0"/>
    <x v="0"/>
    <x v="74"/>
    <x v="109"/>
    <n v="5093209.32"/>
    <x v="0"/>
    <x v="0"/>
    <x v="2"/>
  </r>
  <r>
    <x v="0"/>
    <x v="4"/>
    <x v="4"/>
    <x v="0"/>
    <x v="0"/>
    <x v="74"/>
    <x v="109"/>
    <n v="113141614"/>
    <x v="0"/>
    <x v="0"/>
    <x v="2"/>
  </r>
  <r>
    <x v="0"/>
    <x v="0"/>
    <x v="0"/>
    <x v="0"/>
    <x v="0"/>
    <x v="39"/>
    <x v="110"/>
    <n v="1903637.8"/>
    <x v="0"/>
    <x v="0"/>
    <x v="3"/>
  </r>
  <r>
    <x v="0"/>
    <x v="1"/>
    <x v="1"/>
    <x v="0"/>
    <x v="0"/>
    <x v="39"/>
    <x v="110"/>
    <n v="828903.16"/>
    <x v="0"/>
    <x v="0"/>
    <x v="3"/>
  </r>
  <r>
    <x v="0"/>
    <x v="2"/>
    <x v="2"/>
    <x v="0"/>
    <x v="0"/>
    <x v="39"/>
    <x v="110"/>
    <n v="16188518.640000001"/>
    <x v="0"/>
    <x v="0"/>
    <x v="3"/>
  </r>
  <r>
    <x v="0"/>
    <x v="3"/>
    <x v="3"/>
    <x v="0"/>
    <x v="0"/>
    <x v="39"/>
    <x v="110"/>
    <n v="128155.09"/>
    <x v="0"/>
    <x v="0"/>
    <x v="3"/>
  </r>
  <r>
    <x v="0"/>
    <x v="4"/>
    <x v="4"/>
    <x v="0"/>
    <x v="0"/>
    <x v="39"/>
    <x v="110"/>
    <n v="19049214.690000001"/>
    <x v="0"/>
    <x v="0"/>
    <x v="3"/>
  </r>
  <r>
    <x v="0"/>
    <x v="0"/>
    <x v="0"/>
    <x v="0"/>
    <x v="0"/>
    <x v="40"/>
    <x v="111"/>
    <n v="1152220.54"/>
    <x v="0"/>
    <x v="0"/>
    <x v="3"/>
  </r>
  <r>
    <x v="0"/>
    <x v="1"/>
    <x v="1"/>
    <x v="0"/>
    <x v="0"/>
    <x v="40"/>
    <x v="111"/>
    <n v="1093574.97"/>
    <x v="0"/>
    <x v="0"/>
    <x v="3"/>
  </r>
  <r>
    <x v="0"/>
    <x v="2"/>
    <x v="2"/>
    <x v="0"/>
    <x v="0"/>
    <x v="40"/>
    <x v="111"/>
    <n v="9016126.9399999995"/>
    <x v="0"/>
    <x v="0"/>
    <x v="3"/>
  </r>
  <r>
    <x v="0"/>
    <x v="3"/>
    <x v="3"/>
    <x v="0"/>
    <x v="0"/>
    <x v="40"/>
    <x v="111"/>
    <n v="211320.43"/>
    <x v="0"/>
    <x v="0"/>
    <x v="3"/>
  </r>
  <r>
    <x v="0"/>
    <x v="4"/>
    <x v="4"/>
    <x v="0"/>
    <x v="0"/>
    <x v="40"/>
    <x v="111"/>
    <n v="11473242.880000001"/>
    <x v="0"/>
    <x v="0"/>
    <x v="3"/>
  </r>
  <r>
    <x v="0"/>
    <x v="0"/>
    <x v="0"/>
    <x v="0"/>
    <x v="0"/>
    <x v="41"/>
    <x v="112"/>
    <n v="1304877.45"/>
    <x v="0"/>
    <x v="0"/>
    <x v="3"/>
  </r>
  <r>
    <x v="0"/>
    <x v="1"/>
    <x v="1"/>
    <x v="0"/>
    <x v="0"/>
    <x v="41"/>
    <x v="112"/>
    <n v="1475955.72"/>
    <x v="0"/>
    <x v="0"/>
    <x v="3"/>
  </r>
  <r>
    <x v="0"/>
    <x v="2"/>
    <x v="2"/>
    <x v="0"/>
    <x v="0"/>
    <x v="41"/>
    <x v="112"/>
    <n v="7661989.5700000003"/>
    <x v="0"/>
    <x v="0"/>
    <x v="3"/>
  </r>
  <r>
    <x v="0"/>
    <x v="3"/>
    <x v="3"/>
    <x v="0"/>
    <x v="0"/>
    <x v="41"/>
    <x v="112"/>
    <n v="295614.46000000002"/>
    <x v="0"/>
    <x v="0"/>
    <x v="3"/>
  </r>
  <r>
    <x v="0"/>
    <x v="4"/>
    <x v="4"/>
    <x v="0"/>
    <x v="0"/>
    <x v="41"/>
    <x v="112"/>
    <n v="10738437.199999999"/>
    <x v="0"/>
    <x v="0"/>
    <x v="3"/>
  </r>
  <r>
    <x v="0"/>
    <x v="0"/>
    <x v="0"/>
    <x v="0"/>
    <x v="0"/>
    <x v="42"/>
    <x v="113"/>
    <n v="1917255.53"/>
    <x v="0"/>
    <x v="0"/>
    <x v="3"/>
  </r>
  <r>
    <x v="0"/>
    <x v="1"/>
    <x v="1"/>
    <x v="0"/>
    <x v="0"/>
    <x v="42"/>
    <x v="113"/>
    <n v="2749547.98"/>
    <x v="0"/>
    <x v="0"/>
    <x v="3"/>
  </r>
  <r>
    <x v="0"/>
    <x v="2"/>
    <x v="2"/>
    <x v="0"/>
    <x v="0"/>
    <x v="42"/>
    <x v="113"/>
    <n v="11219814.109999999"/>
    <x v="0"/>
    <x v="0"/>
    <x v="3"/>
  </r>
  <r>
    <x v="0"/>
    <x v="3"/>
    <x v="3"/>
    <x v="0"/>
    <x v="0"/>
    <x v="42"/>
    <x v="113"/>
    <n v="557689.96"/>
    <x v="0"/>
    <x v="0"/>
    <x v="3"/>
  </r>
  <r>
    <x v="0"/>
    <x v="4"/>
    <x v="4"/>
    <x v="0"/>
    <x v="0"/>
    <x v="42"/>
    <x v="113"/>
    <n v="16444307.58"/>
    <x v="0"/>
    <x v="0"/>
    <x v="3"/>
  </r>
  <r>
    <x v="0"/>
    <x v="0"/>
    <x v="0"/>
    <x v="0"/>
    <x v="0"/>
    <x v="43"/>
    <x v="114"/>
    <n v="9992259.2699999996"/>
    <x v="0"/>
    <x v="0"/>
    <x v="3"/>
  </r>
  <r>
    <x v="0"/>
    <x v="1"/>
    <x v="1"/>
    <x v="0"/>
    <x v="0"/>
    <x v="43"/>
    <x v="114"/>
    <n v="12451131.869999999"/>
    <x v="0"/>
    <x v="0"/>
    <x v="3"/>
  </r>
  <r>
    <x v="0"/>
    <x v="2"/>
    <x v="2"/>
    <x v="0"/>
    <x v="0"/>
    <x v="43"/>
    <x v="114"/>
    <n v="29092591.129999999"/>
    <x v="0"/>
    <x v="0"/>
    <x v="3"/>
  </r>
  <r>
    <x v="0"/>
    <x v="3"/>
    <x v="3"/>
    <x v="0"/>
    <x v="0"/>
    <x v="43"/>
    <x v="114"/>
    <n v="3900429.38"/>
    <x v="0"/>
    <x v="0"/>
    <x v="3"/>
  </r>
  <r>
    <x v="0"/>
    <x v="4"/>
    <x v="4"/>
    <x v="0"/>
    <x v="0"/>
    <x v="43"/>
    <x v="114"/>
    <n v="55436411.649999999"/>
    <x v="0"/>
    <x v="0"/>
    <x v="3"/>
  </r>
  <r>
    <x v="0"/>
    <x v="0"/>
    <x v="0"/>
    <x v="0"/>
    <x v="0"/>
    <x v="75"/>
    <x v="115"/>
    <n v="107732798.63"/>
    <x v="0"/>
    <x v="0"/>
    <x v="2"/>
  </r>
  <r>
    <x v="0"/>
    <x v="1"/>
    <x v="1"/>
    <x v="0"/>
    <x v="0"/>
    <x v="75"/>
    <x v="115"/>
    <n v="15042108.16"/>
    <x v="0"/>
    <x v="0"/>
    <x v="2"/>
  </r>
  <r>
    <x v="0"/>
    <x v="2"/>
    <x v="2"/>
    <x v="0"/>
    <x v="0"/>
    <x v="75"/>
    <x v="115"/>
    <n v="155516392.38999999"/>
    <x v="0"/>
    <x v="0"/>
    <x v="2"/>
  </r>
  <r>
    <x v="0"/>
    <x v="3"/>
    <x v="3"/>
    <x v="0"/>
    <x v="0"/>
    <x v="75"/>
    <x v="115"/>
    <n v="5233434.37"/>
    <x v="0"/>
    <x v="0"/>
    <x v="2"/>
  </r>
  <r>
    <x v="0"/>
    <x v="4"/>
    <x v="4"/>
    <x v="0"/>
    <x v="0"/>
    <x v="75"/>
    <x v="115"/>
    <n v="283524733.54999995"/>
    <x v="0"/>
    <x v="0"/>
    <x v="2"/>
  </r>
  <r>
    <x v="0"/>
    <x v="0"/>
    <x v="0"/>
    <x v="0"/>
    <x v="0"/>
    <x v="39"/>
    <x v="116"/>
    <n v="855220.97"/>
    <x v="0"/>
    <x v="0"/>
    <x v="3"/>
  </r>
  <r>
    <x v="0"/>
    <x v="1"/>
    <x v="1"/>
    <x v="0"/>
    <x v="0"/>
    <x v="39"/>
    <x v="116"/>
    <n v="160786.51999999999"/>
    <x v="0"/>
    <x v="0"/>
    <x v="3"/>
  </r>
  <r>
    <x v="0"/>
    <x v="2"/>
    <x v="2"/>
    <x v="0"/>
    <x v="0"/>
    <x v="39"/>
    <x v="116"/>
    <n v="1792789.49"/>
    <x v="0"/>
    <x v="0"/>
    <x v="3"/>
  </r>
  <r>
    <x v="0"/>
    <x v="3"/>
    <x v="3"/>
    <x v="0"/>
    <x v="0"/>
    <x v="39"/>
    <x v="116"/>
    <n v="47710.81"/>
    <x v="0"/>
    <x v="0"/>
    <x v="3"/>
  </r>
  <r>
    <x v="0"/>
    <x v="4"/>
    <x v="4"/>
    <x v="0"/>
    <x v="0"/>
    <x v="39"/>
    <x v="116"/>
    <n v="2856507.79"/>
    <x v="0"/>
    <x v="0"/>
    <x v="3"/>
  </r>
  <r>
    <x v="0"/>
    <x v="0"/>
    <x v="0"/>
    <x v="0"/>
    <x v="0"/>
    <x v="40"/>
    <x v="117"/>
    <n v="1537580.7"/>
    <x v="0"/>
    <x v="0"/>
    <x v="3"/>
  </r>
  <r>
    <x v="0"/>
    <x v="1"/>
    <x v="1"/>
    <x v="0"/>
    <x v="0"/>
    <x v="40"/>
    <x v="117"/>
    <n v="256225.04"/>
    <x v="0"/>
    <x v="0"/>
    <x v="3"/>
  </r>
  <r>
    <x v="0"/>
    <x v="2"/>
    <x v="2"/>
    <x v="0"/>
    <x v="0"/>
    <x v="40"/>
    <x v="117"/>
    <n v="2488109.7799999998"/>
    <x v="0"/>
    <x v="0"/>
    <x v="3"/>
  </r>
  <r>
    <x v="0"/>
    <x v="3"/>
    <x v="3"/>
    <x v="0"/>
    <x v="0"/>
    <x v="40"/>
    <x v="117"/>
    <n v="89087.84"/>
    <x v="0"/>
    <x v="0"/>
    <x v="3"/>
  </r>
  <r>
    <x v="0"/>
    <x v="4"/>
    <x v="4"/>
    <x v="0"/>
    <x v="0"/>
    <x v="40"/>
    <x v="117"/>
    <n v="4371003.3600000003"/>
    <x v="0"/>
    <x v="0"/>
    <x v="3"/>
  </r>
  <r>
    <x v="0"/>
    <x v="0"/>
    <x v="0"/>
    <x v="0"/>
    <x v="0"/>
    <x v="41"/>
    <x v="118"/>
    <n v="2330407.9500000002"/>
    <x v="0"/>
    <x v="0"/>
    <x v="3"/>
  </r>
  <r>
    <x v="0"/>
    <x v="1"/>
    <x v="1"/>
    <x v="0"/>
    <x v="0"/>
    <x v="41"/>
    <x v="118"/>
    <n v="385593.43"/>
    <x v="0"/>
    <x v="0"/>
    <x v="3"/>
  </r>
  <r>
    <x v="0"/>
    <x v="2"/>
    <x v="2"/>
    <x v="0"/>
    <x v="0"/>
    <x v="41"/>
    <x v="118"/>
    <n v="3644286.31"/>
    <x v="0"/>
    <x v="0"/>
    <x v="3"/>
  </r>
  <r>
    <x v="0"/>
    <x v="3"/>
    <x v="3"/>
    <x v="0"/>
    <x v="0"/>
    <x v="41"/>
    <x v="118"/>
    <n v="131712.95999999999"/>
    <x v="0"/>
    <x v="0"/>
    <x v="3"/>
  </r>
  <r>
    <x v="0"/>
    <x v="4"/>
    <x v="4"/>
    <x v="0"/>
    <x v="0"/>
    <x v="41"/>
    <x v="118"/>
    <n v="6492000.6500000004"/>
    <x v="0"/>
    <x v="0"/>
    <x v="3"/>
  </r>
  <r>
    <x v="0"/>
    <x v="0"/>
    <x v="0"/>
    <x v="0"/>
    <x v="0"/>
    <x v="42"/>
    <x v="119"/>
    <n v="4674676.82"/>
    <x v="0"/>
    <x v="0"/>
    <x v="3"/>
  </r>
  <r>
    <x v="0"/>
    <x v="1"/>
    <x v="1"/>
    <x v="0"/>
    <x v="0"/>
    <x v="42"/>
    <x v="119"/>
    <n v="774678.47"/>
    <x v="0"/>
    <x v="0"/>
    <x v="3"/>
  </r>
  <r>
    <x v="0"/>
    <x v="2"/>
    <x v="2"/>
    <x v="0"/>
    <x v="0"/>
    <x v="42"/>
    <x v="119"/>
    <n v="6466632.4699999997"/>
    <x v="0"/>
    <x v="0"/>
    <x v="3"/>
  </r>
  <r>
    <x v="0"/>
    <x v="3"/>
    <x v="3"/>
    <x v="0"/>
    <x v="0"/>
    <x v="42"/>
    <x v="119"/>
    <n v="248268.09"/>
    <x v="0"/>
    <x v="0"/>
    <x v="3"/>
  </r>
  <r>
    <x v="0"/>
    <x v="4"/>
    <x v="4"/>
    <x v="0"/>
    <x v="0"/>
    <x v="42"/>
    <x v="119"/>
    <n v="12164255.85"/>
    <x v="0"/>
    <x v="0"/>
    <x v="3"/>
  </r>
  <r>
    <x v="0"/>
    <x v="0"/>
    <x v="0"/>
    <x v="0"/>
    <x v="0"/>
    <x v="43"/>
    <x v="120"/>
    <n v="98334912.189999998"/>
    <x v="0"/>
    <x v="0"/>
    <x v="3"/>
  </r>
  <r>
    <x v="0"/>
    <x v="1"/>
    <x v="1"/>
    <x v="0"/>
    <x v="0"/>
    <x v="43"/>
    <x v="120"/>
    <n v="13464824.699999999"/>
    <x v="0"/>
    <x v="0"/>
    <x v="3"/>
  </r>
  <r>
    <x v="0"/>
    <x v="2"/>
    <x v="2"/>
    <x v="0"/>
    <x v="0"/>
    <x v="43"/>
    <x v="120"/>
    <n v="141124574.34"/>
    <x v="0"/>
    <x v="0"/>
    <x v="3"/>
  </r>
  <r>
    <x v="0"/>
    <x v="3"/>
    <x v="3"/>
    <x v="0"/>
    <x v="0"/>
    <x v="43"/>
    <x v="120"/>
    <n v="4716654.67"/>
    <x v="0"/>
    <x v="0"/>
    <x v="3"/>
  </r>
  <r>
    <x v="0"/>
    <x v="4"/>
    <x v="4"/>
    <x v="0"/>
    <x v="0"/>
    <x v="43"/>
    <x v="120"/>
    <n v="257640965.89999998"/>
    <x v="0"/>
    <x v="0"/>
    <x v="3"/>
  </r>
  <r>
    <x v="0"/>
    <x v="0"/>
    <x v="0"/>
    <x v="0"/>
    <x v="0"/>
    <x v="76"/>
    <x v="121"/>
    <n v="387631.37"/>
    <x v="0"/>
    <x v="0"/>
    <x v="2"/>
  </r>
  <r>
    <x v="0"/>
    <x v="1"/>
    <x v="1"/>
    <x v="0"/>
    <x v="0"/>
    <x v="76"/>
    <x v="121"/>
    <n v="5981297.6200000001"/>
    <x v="0"/>
    <x v="0"/>
    <x v="2"/>
  </r>
  <r>
    <x v="0"/>
    <x v="2"/>
    <x v="2"/>
    <x v="0"/>
    <x v="0"/>
    <x v="76"/>
    <x v="121"/>
    <n v="41747088.609999999"/>
    <x v="0"/>
    <x v="0"/>
    <x v="2"/>
  </r>
  <r>
    <x v="0"/>
    <x v="3"/>
    <x v="3"/>
    <x v="0"/>
    <x v="0"/>
    <x v="76"/>
    <x v="121"/>
    <n v="5573896.0800000001"/>
    <x v="0"/>
    <x v="0"/>
    <x v="2"/>
  </r>
  <r>
    <x v="0"/>
    <x v="4"/>
    <x v="4"/>
    <x v="0"/>
    <x v="0"/>
    <x v="76"/>
    <x v="121"/>
    <n v="53689913.68"/>
    <x v="0"/>
    <x v="0"/>
    <x v="2"/>
  </r>
  <r>
    <x v="0"/>
    <x v="0"/>
    <x v="0"/>
    <x v="0"/>
    <x v="0"/>
    <x v="39"/>
    <x v="122"/>
    <n v="21824.87"/>
    <x v="0"/>
    <x v="0"/>
    <x v="3"/>
  </r>
  <r>
    <x v="0"/>
    <x v="1"/>
    <x v="1"/>
    <x v="0"/>
    <x v="0"/>
    <x v="39"/>
    <x v="122"/>
    <n v="214119.91"/>
    <x v="0"/>
    <x v="0"/>
    <x v="3"/>
  </r>
  <r>
    <x v="0"/>
    <x v="2"/>
    <x v="2"/>
    <x v="0"/>
    <x v="0"/>
    <x v="39"/>
    <x v="122"/>
    <n v="1679050.63"/>
    <x v="0"/>
    <x v="0"/>
    <x v="3"/>
  </r>
  <r>
    <x v="0"/>
    <x v="3"/>
    <x v="3"/>
    <x v="0"/>
    <x v="0"/>
    <x v="39"/>
    <x v="122"/>
    <n v="143169.95000000001"/>
    <x v="0"/>
    <x v="0"/>
    <x v="3"/>
  </r>
  <r>
    <x v="0"/>
    <x v="4"/>
    <x v="4"/>
    <x v="0"/>
    <x v="0"/>
    <x v="39"/>
    <x v="122"/>
    <n v="2058165.36"/>
    <x v="0"/>
    <x v="0"/>
    <x v="3"/>
  </r>
  <r>
    <x v="0"/>
    <x v="0"/>
    <x v="0"/>
    <x v="0"/>
    <x v="0"/>
    <x v="40"/>
    <x v="123"/>
    <n v="35409.449999999997"/>
    <x v="0"/>
    <x v="0"/>
    <x v="3"/>
  </r>
  <r>
    <x v="0"/>
    <x v="1"/>
    <x v="1"/>
    <x v="0"/>
    <x v="0"/>
    <x v="40"/>
    <x v="123"/>
    <n v="392743.2"/>
    <x v="0"/>
    <x v="0"/>
    <x v="3"/>
  </r>
  <r>
    <x v="0"/>
    <x v="2"/>
    <x v="2"/>
    <x v="0"/>
    <x v="0"/>
    <x v="40"/>
    <x v="123"/>
    <n v="3264641.87"/>
    <x v="0"/>
    <x v="0"/>
    <x v="3"/>
  </r>
  <r>
    <x v="0"/>
    <x v="3"/>
    <x v="3"/>
    <x v="0"/>
    <x v="0"/>
    <x v="40"/>
    <x v="123"/>
    <n v="248327.32"/>
    <x v="0"/>
    <x v="0"/>
    <x v="3"/>
  </r>
  <r>
    <x v="0"/>
    <x v="4"/>
    <x v="4"/>
    <x v="0"/>
    <x v="0"/>
    <x v="40"/>
    <x v="123"/>
    <n v="3941121.84"/>
    <x v="0"/>
    <x v="0"/>
    <x v="3"/>
  </r>
  <r>
    <x v="0"/>
    <x v="0"/>
    <x v="0"/>
    <x v="0"/>
    <x v="0"/>
    <x v="41"/>
    <x v="124"/>
    <n v="49529.35"/>
    <x v="0"/>
    <x v="0"/>
    <x v="3"/>
  </r>
  <r>
    <x v="0"/>
    <x v="1"/>
    <x v="1"/>
    <x v="0"/>
    <x v="0"/>
    <x v="41"/>
    <x v="124"/>
    <n v="597708.94999999995"/>
    <x v="0"/>
    <x v="0"/>
    <x v="3"/>
  </r>
  <r>
    <x v="0"/>
    <x v="2"/>
    <x v="2"/>
    <x v="0"/>
    <x v="0"/>
    <x v="41"/>
    <x v="124"/>
    <n v="4634739.42"/>
    <x v="0"/>
    <x v="0"/>
    <x v="3"/>
  </r>
  <r>
    <x v="0"/>
    <x v="3"/>
    <x v="3"/>
    <x v="0"/>
    <x v="0"/>
    <x v="41"/>
    <x v="124"/>
    <n v="378734.86"/>
    <x v="0"/>
    <x v="0"/>
    <x v="3"/>
  </r>
  <r>
    <x v="0"/>
    <x v="4"/>
    <x v="4"/>
    <x v="0"/>
    <x v="0"/>
    <x v="41"/>
    <x v="124"/>
    <n v="5660712.5800000001"/>
    <x v="0"/>
    <x v="0"/>
    <x v="3"/>
  </r>
  <r>
    <x v="0"/>
    <x v="0"/>
    <x v="0"/>
    <x v="0"/>
    <x v="0"/>
    <x v="42"/>
    <x v="125"/>
    <n v="82748.25"/>
    <x v="0"/>
    <x v="0"/>
    <x v="3"/>
  </r>
  <r>
    <x v="0"/>
    <x v="1"/>
    <x v="1"/>
    <x v="0"/>
    <x v="0"/>
    <x v="42"/>
    <x v="125"/>
    <n v="1121964.21"/>
    <x v="0"/>
    <x v="0"/>
    <x v="3"/>
  </r>
  <r>
    <x v="0"/>
    <x v="2"/>
    <x v="2"/>
    <x v="0"/>
    <x v="0"/>
    <x v="42"/>
    <x v="125"/>
    <n v="8917087.9900000002"/>
    <x v="0"/>
    <x v="0"/>
    <x v="3"/>
  </r>
  <r>
    <x v="0"/>
    <x v="3"/>
    <x v="3"/>
    <x v="0"/>
    <x v="0"/>
    <x v="42"/>
    <x v="125"/>
    <n v="720722.43"/>
    <x v="0"/>
    <x v="0"/>
    <x v="3"/>
  </r>
  <r>
    <x v="0"/>
    <x v="4"/>
    <x v="4"/>
    <x v="0"/>
    <x v="0"/>
    <x v="42"/>
    <x v="125"/>
    <n v="10842522.880000001"/>
    <x v="0"/>
    <x v="0"/>
    <x v="3"/>
  </r>
  <r>
    <x v="0"/>
    <x v="0"/>
    <x v="0"/>
    <x v="0"/>
    <x v="0"/>
    <x v="43"/>
    <x v="126"/>
    <n v="198119.45"/>
    <x v="0"/>
    <x v="0"/>
    <x v="3"/>
  </r>
  <r>
    <x v="0"/>
    <x v="1"/>
    <x v="1"/>
    <x v="0"/>
    <x v="0"/>
    <x v="43"/>
    <x v="126"/>
    <n v="3654761.35"/>
    <x v="0"/>
    <x v="0"/>
    <x v="3"/>
  </r>
  <r>
    <x v="0"/>
    <x v="2"/>
    <x v="2"/>
    <x v="0"/>
    <x v="0"/>
    <x v="43"/>
    <x v="126"/>
    <n v="23251568.699999999"/>
    <x v="0"/>
    <x v="0"/>
    <x v="3"/>
  </r>
  <r>
    <x v="0"/>
    <x v="3"/>
    <x v="3"/>
    <x v="0"/>
    <x v="0"/>
    <x v="43"/>
    <x v="126"/>
    <n v="4082941.52"/>
    <x v="0"/>
    <x v="0"/>
    <x v="3"/>
  </r>
  <r>
    <x v="0"/>
    <x v="4"/>
    <x v="4"/>
    <x v="0"/>
    <x v="0"/>
    <x v="43"/>
    <x v="126"/>
    <n v="31187391.02"/>
    <x v="0"/>
    <x v="0"/>
    <x v="3"/>
  </r>
  <r>
    <x v="0"/>
    <x v="0"/>
    <x v="0"/>
    <x v="0"/>
    <x v="0"/>
    <x v="77"/>
    <x v="127"/>
    <n v="0"/>
    <x v="0"/>
    <x v="0"/>
    <x v="2"/>
  </r>
  <r>
    <x v="0"/>
    <x v="1"/>
    <x v="1"/>
    <x v="0"/>
    <x v="0"/>
    <x v="77"/>
    <x v="127"/>
    <n v="0"/>
    <x v="0"/>
    <x v="0"/>
    <x v="2"/>
  </r>
  <r>
    <x v="0"/>
    <x v="2"/>
    <x v="2"/>
    <x v="0"/>
    <x v="0"/>
    <x v="77"/>
    <x v="127"/>
    <n v="1275977.6000000001"/>
    <x v="0"/>
    <x v="0"/>
    <x v="2"/>
  </r>
  <r>
    <x v="0"/>
    <x v="3"/>
    <x v="3"/>
    <x v="0"/>
    <x v="0"/>
    <x v="77"/>
    <x v="127"/>
    <n v="0"/>
    <x v="0"/>
    <x v="0"/>
    <x v="2"/>
  </r>
  <r>
    <x v="0"/>
    <x v="4"/>
    <x v="4"/>
    <x v="0"/>
    <x v="0"/>
    <x v="77"/>
    <x v="127"/>
    <n v="1275977.6000000001"/>
    <x v="0"/>
    <x v="0"/>
    <x v="2"/>
  </r>
  <r>
    <x v="0"/>
    <x v="0"/>
    <x v="0"/>
    <x v="0"/>
    <x v="0"/>
    <x v="39"/>
    <x v="128"/>
    <n v="0"/>
    <x v="0"/>
    <x v="0"/>
    <x v="3"/>
  </r>
  <r>
    <x v="0"/>
    <x v="1"/>
    <x v="1"/>
    <x v="0"/>
    <x v="0"/>
    <x v="39"/>
    <x v="128"/>
    <n v="0"/>
    <x v="0"/>
    <x v="0"/>
    <x v="3"/>
  </r>
  <r>
    <x v="0"/>
    <x v="2"/>
    <x v="2"/>
    <x v="0"/>
    <x v="0"/>
    <x v="39"/>
    <x v="128"/>
    <n v="34089.75"/>
    <x v="0"/>
    <x v="0"/>
    <x v="3"/>
  </r>
  <r>
    <x v="0"/>
    <x v="3"/>
    <x v="3"/>
    <x v="0"/>
    <x v="0"/>
    <x v="39"/>
    <x v="128"/>
    <n v="0"/>
    <x v="0"/>
    <x v="0"/>
    <x v="3"/>
  </r>
  <r>
    <x v="0"/>
    <x v="4"/>
    <x v="4"/>
    <x v="0"/>
    <x v="0"/>
    <x v="39"/>
    <x v="128"/>
    <n v="34089.75"/>
    <x v="0"/>
    <x v="0"/>
    <x v="3"/>
  </r>
  <r>
    <x v="0"/>
    <x v="0"/>
    <x v="0"/>
    <x v="0"/>
    <x v="0"/>
    <x v="40"/>
    <x v="129"/>
    <n v="0"/>
    <x v="0"/>
    <x v="0"/>
    <x v="3"/>
  </r>
  <r>
    <x v="0"/>
    <x v="1"/>
    <x v="1"/>
    <x v="0"/>
    <x v="0"/>
    <x v="40"/>
    <x v="129"/>
    <n v="0"/>
    <x v="0"/>
    <x v="0"/>
    <x v="3"/>
  </r>
  <r>
    <x v="0"/>
    <x v="2"/>
    <x v="2"/>
    <x v="0"/>
    <x v="0"/>
    <x v="40"/>
    <x v="129"/>
    <n v="64124.28"/>
    <x v="0"/>
    <x v="0"/>
    <x v="3"/>
  </r>
  <r>
    <x v="0"/>
    <x v="3"/>
    <x v="3"/>
    <x v="0"/>
    <x v="0"/>
    <x v="40"/>
    <x v="129"/>
    <n v="0"/>
    <x v="0"/>
    <x v="0"/>
    <x v="3"/>
  </r>
  <r>
    <x v="0"/>
    <x v="4"/>
    <x v="4"/>
    <x v="0"/>
    <x v="0"/>
    <x v="40"/>
    <x v="129"/>
    <n v="64124.28"/>
    <x v="0"/>
    <x v="0"/>
    <x v="3"/>
  </r>
  <r>
    <x v="0"/>
    <x v="0"/>
    <x v="0"/>
    <x v="0"/>
    <x v="0"/>
    <x v="41"/>
    <x v="130"/>
    <n v="0"/>
    <x v="0"/>
    <x v="0"/>
    <x v="3"/>
  </r>
  <r>
    <x v="0"/>
    <x v="1"/>
    <x v="1"/>
    <x v="0"/>
    <x v="0"/>
    <x v="41"/>
    <x v="130"/>
    <n v="0"/>
    <x v="0"/>
    <x v="0"/>
    <x v="3"/>
  </r>
  <r>
    <x v="0"/>
    <x v="2"/>
    <x v="2"/>
    <x v="0"/>
    <x v="0"/>
    <x v="41"/>
    <x v="130"/>
    <n v="87856.98"/>
    <x v="0"/>
    <x v="0"/>
    <x v="3"/>
  </r>
  <r>
    <x v="0"/>
    <x v="3"/>
    <x v="3"/>
    <x v="0"/>
    <x v="0"/>
    <x v="41"/>
    <x v="130"/>
    <n v="0"/>
    <x v="0"/>
    <x v="0"/>
    <x v="3"/>
  </r>
  <r>
    <x v="0"/>
    <x v="4"/>
    <x v="4"/>
    <x v="0"/>
    <x v="0"/>
    <x v="41"/>
    <x v="130"/>
    <n v="87856.98"/>
    <x v="0"/>
    <x v="0"/>
    <x v="3"/>
  </r>
  <r>
    <x v="0"/>
    <x v="0"/>
    <x v="0"/>
    <x v="0"/>
    <x v="0"/>
    <x v="42"/>
    <x v="131"/>
    <n v="0"/>
    <x v="0"/>
    <x v="0"/>
    <x v="3"/>
  </r>
  <r>
    <x v="0"/>
    <x v="1"/>
    <x v="1"/>
    <x v="0"/>
    <x v="0"/>
    <x v="42"/>
    <x v="131"/>
    <n v="0"/>
    <x v="0"/>
    <x v="0"/>
    <x v="3"/>
  </r>
  <r>
    <x v="0"/>
    <x v="2"/>
    <x v="2"/>
    <x v="0"/>
    <x v="0"/>
    <x v="42"/>
    <x v="131"/>
    <n v="182140.79999999999"/>
    <x v="0"/>
    <x v="0"/>
    <x v="3"/>
  </r>
  <r>
    <x v="0"/>
    <x v="3"/>
    <x v="3"/>
    <x v="0"/>
    <x v="0"/>
    <x v="42"/>
    <x v="131"/>
    <n v="0"/>
    <x v="0"/>
    <x v="0"/>
    <x v="3"/>
  </r>
  <r>
    <x v="0"/>
    <x v="4"/>
    <x v="4"/>
    <x v="0"/>
    <x v="0"/>
    <x v="42"/>
    <x v="131"/>
    <n v="182140.79999999999"/>
    <x v="0"/>
    <x v="0"/>
    <x v="3"/>
  </r>
  <r>
    <x v="0"/>
    <x v="0"/>
    <x v="0"/>
    <x v="0"/>
    <x v="0"/>
    <x v="43"/>
    <x v="132"/>
    <n v="0"/>
    <x v="0"/>
    <x v="0"/>
    <x v="3"/>
  </r>
  <r>
    <x v="0"/>
    <x v="1"/>
    <x v="1"/>
    <x v="0"/>
    <x v="0"/>
    <x v="43"/>
    <x v="132"/>
    <n v="0"/>
    <x v="0"/>
    <x v="0"/>
    <x v="3"/>
  </r>
  <r>
    <x v="0"/>
    <x v="2"/>
    <x v="2"/>
    <x v="0"/>
    <x v="0"/>
    <x v="43"/>
    <x v="132"/>
    <n v="907765.79"/>
    <x v="0"/>
    <x v="0"/>
    <x v="3"/>
  </r>
  <r>
    <x v="0"/>
    <x v="3"/>
    <x v="3"/>
    <x v="0"/>
    <x v="0"/>
    <x v="43"/>
    <x v="132"/>
    <n v="0"/>
    <x v="0"/>
    <x v="0"/>
    <x v="3"/>
  </r>
  <r>
    <x v="0"/>
    <x v="4"/>
    <x v="4"/>
    <x v="0"/>
    <x v="0"/>
    <x v="43"/>
    <x v="132"/>
    <n v="907765.79"/>
    <x v="0"/>
    <x v="0"/>
    <x v="3"/>
  </r>
  <r>
    <x v="0"/>
    <x v="0"/>
    <x v="0"/>
    <x v="0"/>
    <x v="0"/>
    <x v="78"/>
    <x v="133"/>
    <n v="14474422.16"/>
    <x v="0"/>
    <x v="0"/>
    <x v="2"/>
  </r>
  <r>
    <x v="0"/>
    <x v="1"/>
    <x v="1"/>
    <x v="0"/>
    <x v="0"/>
    <x v="78"/>
    <x v="133"/>
    <n v="0"/>
    <x v="0"/>
    <x v="0"/>
    <x v="2"/>
  </r>
  <r>
    <x v="0"/>
    <x v="2"/>
    <x v="2"/>
    <x v="0"/>
    <x v="0"/>
    <x v="78"/>
    <x v="133"/>
    <n v="29647985.149999999"/>
    <x v="0"/>
    <x v="0"/>
    <x v="2"/>
  </r>
  <r>
    <x v="0"/>
    <x v="3"/>
    <x v="3"/>
    <x v="0"/>
    <x v="0"/>
    <x v="78"/>
    <x v="133"/>
    <n v="0"/>
    <x v="0"/>
    <x v="0"/>
    <x v="2"/>
  </r>
  <r>
    <x v="0"/>
    <x v="4"/>
    <x v="4"/>
    <x v="0"/>
    <x v="0"/>
    <x v="78"/>
    <x v="133"/>
    <n v="44122407.310000002"/>
    <x v="0"/>
    <x v="0"/>
    <x v="2"/>
  </r>
  <r>
    <x v="0"/>
    <x v="0"/>
    <x v="0"/>
    <x v="0"/>
    <x v="0"/>
    <x v="39"/>
    <x v="134"/>
    <n v="318521.84999999998"/>
    <x v="0"/>
    <x v="0"/>
    <x v="3"/>
  </r>
  <r>
    <x v="0"/>
    <x v="1"/>
    <x v="1"/>
    <x v="0"/>
    <x v="0"/>
    <x v="39"/>
    <x v="134"/>
    <n v="0"/>
    <x v="0"/>
    <x v="0"/>
    <x v="3"/>
  </r>
  <r>
    <x v="0"/>
    <x v="2"/>
    <x v="2"/>
    <x v="0"/>
    <x v="0"/>
    <x v="39"/>
    <x v="134"/>
    <n v="579261.41"/>
    <x v="0"/>
    <x v="0"/>
    <x v="3"/>
  </r>
  <r>
    <x v="0"/>
    <x v="3"/>
    <x v="3"/>
    <x v="0"/>
    <x v="0"/>
    <x v="39"/>
    <x v="134"/>
    <n v="0"/>
    <x v="0"/>
    <x v="0"/>
    <x v="3"/>
  </r>
  <r>
    <x v="0"/>
    <x v="4"/>
    <x v="4"/>
    <x v="0"/>
    <x v="0"/>
    <x v="39"/>
    <x v="134"/>
    <n v="897783.26"/>
    <x v="0"/>
    <x v="0"/>
    <x v="3"/>
  </r>
  <r>
    <x v="0"/>
    <x v="0"/>
    <x v="0"/>
    <x v="0"/>
    <x v="0"/>
    <x v="40"/>
    <x v="135"/>
    <n v="588993.89"/>
    <x v="0"/>
    <x v="0"/>
    <x v="3"/>
  </r>
  <r>
    <x v="0"/>
    <x v="1"/>
    <x v="1"/>
    <x v="0"/>
    <x v="0"/>
    <x v="40"/>
    <x v="135"/>
    <n v="0"/>
    <x v="0"/>
    <x v="0"/>
    <x v="3"/>
  </r>
  <r>
    <x v="0"/>
    <x v="2"/>
    <x v="2"/>
    <x v="0"/>
    <x v="0"/>
    <x v="40"/>
    <x v="135"/>
    <n v="1149907.22"/>
    <x v="0"/>
    <x v="0"/>
    <x v="3"/>
  </r>
  <r>
    <x v="0"/>
    <x v="3"/>
    <x v="3"/>
    <x v="0"/>
    <x v="0"/>
    <x v="40"/>
    <x v="135"/>
    <n v="0"/>
    <x v="0"/>
    <x v="0"/>
    <x v="3"/>
  </r>
  <r>
    <x v="0"/>
    <x v="4"/>
    <x v="4"/>
    <x v="0"/>
    <x v="0"/>
    <x v="40"/>
    <x v="135"/>
    <n v="1738901.11"/>
    <x v="0"/>
    <x v="0"/>
    <x v="3"/>
  </r>
  <r>
    <x v="0"/>
    <x v="0"/>
    <x v="0"/>
    <x v="0"/>
    <x v="0"/>
    <x v="41"/>
    <x v="136"/>
    <n v="913057.43"/>
    <x v="0"/>
    <x v="0"/>
    <x v="3"/>
  </r>
  <r>
    <x v="0"/>
    <x v="1"/>
    <x v="1"/>
    <x v="0"/>
    <x v="0"/>
    <x v="41"/>
    <x v="136"/>
    <n v="0"/>
    <x v="0"/>
    <x v="0"/>
    <x v="3"/>
  </r>
  <r>
    <x v="0"/>
    <x v="2"/>
    <x v="2"/>
    <x v="0"/>
    <x v="0"/>
    <x v="41"/>
    <x v="136"/>
    <n v="1773007.74"/>
    <x v="0"/>
    <x v="0"/>
    <x v="3"/>
  </r>
  <r>
    <x v="0"/>
    <x v="3"/>
    <x v="3"/>
    <x v="0"/>
    <x v="0"/>
    <x v="41"/>
    <x v="136"/>
    <n v="0"/>
    <x v="0"/>
    <x v="0"/>
    <x v="3"/>
  </r>
  <r>
    <x v="0"/>
    <x v="4"/>
    <x v="4"/>
    <x v="0"/>
    <x v="0"/>
    <x v="41"/>
    <x v="136"/>
    <n v="2686065.17"/>
    <x v="0"/>
    <x v="0"/>
    <x v="3"/>
  </r>
  <r>
    <x v="0"/>
    <x v="0"/>
    <x v="0"/>
    <x v="0"/>
    <x v="0"/>
    <x v="42"/>
    <x v="137"/>
    <n v="1848013.06"/>
    <x v="0"/>
    <x v="0"/>
    <x v="3"/>
  </r>
  <r>
    <x v="0"/>
    <x v="1"/>
    <x v="1"/>
    <x v="0"/>
    <x v="0"/>
    <x v="42"/>
    <x v="137"/>
    <n v="0"/>
    <x v="0"/>
    <x v="0"/>
    <x v="3"/>
  </r>
  <r>
    <x v="0"/>
    <x v="2"/>
    <x v="2"/>
    <x v="0"/>
    <x v="0"/>
    <x v="42"/>
    <x v="137"/>
    <n v="3571524.54"/>
    <x v="0"/>
    <x v="0"/>
    <x v="3"/>
  </r>
  <r>
    <x v="0"/>
    <x v="3"/>
    <x v="3"/>
    <x v="0"/>
    <x v="0"/>
    <x v="42"/>
    <x v="137"/>
    <n v="0"/>
    <x v="0"/>
    <x v="0"/>
    <x v="3"/>
  </r>
  <r>
    <x v="0"/>
    <x v="4"/>
    <x v="4"/>
    <x v="0"/>
    <x v="0"/>
    <x v="42"/>
    <x v="137"/>
    <n v="5419537.5999999996"/>
    <x v="0"/>
    <x v="0"/>
    <x v="3"/>
  </r>
  <r>
    <x v="0"/>
    <x v="0"/>
    <x v="0"/>
    <x v="0"/>
    <x v="0"/>
    <x v="43"/>
    <x v="138"/>
    <n v="10805835.93"/>
    <x v="0"/>
    <x v="0"/>
    <x v="3"/>
  </r>
  <r>
    <x v="0"/>
    <x v="1"/>
    <x v="1"/>
    <x v="0"/>
    <x v="0"/>
    <x v="43"/>
    <x v="138"/>
    <n v="0"/>
    <x v="0"/>
    <x v="0"/>
    <x v="3"/>
  </r>
  <r>
    <x v="0"/>
    <x v="2"/>
    <x v="2"/>
    <x v="0"/>
    <x v="0"/>
    <x v="43"/>
    <x v="138"/>
    <n v="22574284.239999998"/>
    <x v="0"/>
    <x v="0"/>
    <x v="3"/>
  </r>
  <r>
    <x v="0"/>
    <x v="3"/>
    <x v="3"/>
    <x v="0"/>
    <x v="0"/>
    <x v="43"/>
    <x v="138"/>
    <n v="0"/>
    <x v="0"/>
    <x v="0"/>
    <x v="3"/>
  </r>
  <r>
    <x v="0"/>
    <x v="4"/>
    <x v="4"/>
    <x v="0"/>
    <x v="0"/>
    <x v="43"/>
    <x v="138"/>
    <n v="33380120.170000002"/>
    <x v="0"/>
    <x v="0"/>
    <x v="3"/>
  </r>
  <r>
    <x v="0"/>
    <x v="0"/>
    <x v="0"/>
    <x v="0"/>
    <x v="0"/>
    <x v="79"/>
    <x v="139"/>
    <n v="0"/>
    <x v="0"/>
    <x v="0"/>
    <x v="2"/>
  </r>
  <r>
    <x v="0"/>
    <x v="1"/>
    <x v="1"/>
    <x v="0"/>
    <x v="0"/>
    <x v="79"/>
    <x v="139"/>
    <n v="0"/>
    <x v="0"/>
    <x v="0"/>
    <x v="2"/>
  </r>
  <r>
    <x v="0"/>
    <x v="2"/>
    <x v="2"/>
    <x v="0"/>
    <x v="0"/>
    <x v="79"/>
    <x v="139"/>
    <n v="10070865.57"/>
    <x v="0"/>
    <x v="0"/>
    <x v="2"/>
  </r>
  <r>
    <x v="0"/>
    <x v="3"/>
    <x v="3"/>
    <x v="0"/>
    <x v="0"/>
    <x v="79"/>
    <x v="139"/>
    <n v="0"/>
    <x v="0"/>
    <x v="0"/>
    <x v="2"/>
  </r>
  <r>
    <x v="0"/>
    <x v="4"/>
    <x v="4"/>
    <x v="0"/>
    <x v="0"/>
    <x v="79"/>
    <x v="139"/>
    <n v="10070865.57"/>
    <x v="0"/>
    <x v="0"/>
    <x v="2"/>
  </r>
  <r>
    <x v="0"/>
    <x v="0"/>
    <x v="0"/>
    <x v="0"/>
    <x v="0"/>
    <x v="39"/>
    <x v="140"/>
    <n v="0"/>
    <x v="0"/>
    <x v="0"/>
    <x v="3"/>
  </r>
  <r>
    <x v="0"/>
    <x v="1"/>
    <x v="1"/>
    <x v="0"/>
    <x v="0"/>
    <x v="39"/>
    <x v="140"/>
    <n v="0"/>
    <x v="0"/>
    <x v="0"/>
    <x v="3"/>
  </r>
  <r>
    <x v="0"/>
    <x v="2"/>
    <x v="2"/>
    <x v="0"/>
    <x v="0"/>
    <x v="39"/>
    <x v="140"/>
    <n v="54968.89"/>
    <x v="0"/>
    <x v="0"/>
    <x v="3"/>
  </r>
  <r>
    <x v="0"/>
    <x v="3"/>
    <x v="3"/>
    <x v="0"/>
    <x v="0"/>
    <x v="39"/>
    <x v="140"/>
    <n v="0"/>
    <x v="0"/>
    <x v="0"/>
    <x v="3"/>
  </r>
  <r>
    <x v="0"/>
    <x v="4"/>
    <x v="4"/>
    <x v="0"/>
    <x v="0"/>
    <x v="39"/>
    <x v="140"/>
    <n v="54968.89"/>
    <x v="0"/>
    <x v="0"/>
    <x v="3"/>
  </r>
  <r>
    <x v="0"/>
    <x v="0"/>
    <x v="0"/>
    <x v="0"/>
    <x v="0"/>
    <x v="40"/>
    <x v="141"/>
    <n v="0"/>
    <x v="0"/>
    <x v="0"/>
    <x v="3"/>
  </r>
  <r>
    <x v="0"/>
    <x v="1"/>
    <x v="1"/>
    <x v="0"/>
    <x v="0"/>
    <x v="40"/>
    <x v="141"/>
    <n v="0"/>
    <x v="0"/>
    <x v="0"/>
    <x v="3"/>
  </r>
  <r>
    <x v="0"/>
    <x v="2"/>
    <x v="2"/>
    <x v="0"/>
    <x v="0"/>
    <x v="40"/>
    <x v="141"/>
    <n v="92441.43"/>
    <x v="0"/>
    <x v="0"/>
    <x v="3"/>
  </r>
  <r>
    <x v="0"/>
    <x v="3"/>
    <x v="3"/>
    <x v="0"/>
    <x v="0"/>
    <x v="40"/>
    <x v="141"/>
    <n v="0"/>
    <x v="0"/>
    <x v="0"/>
    <x v="3"/>
  </r>
  <r>
    <x v="0"/>
    <x v="4"/>
    <x v="4"/>
    <x v="0"/>
    <x v="0"/>
    <x v="40"/>
    <x v="141"/>
    <n v="92441.43"/>
    <x v="0"/>
    <x v="0"/>
    <x v="3"/>
  </r>
  <r>
    <x v="0"/>
    <x v="0"/>
    <x v="0"/>
    <x v="0"/>
    <x v="0"/>
    <x v="41"/>
    <x v="142"/>
    <n v="0"/>
    <x v="0"/>
    <x v="0"/>
    <x v="3"/>
  </r>
  <r>
    <x v="0"/>
    <x v="1"/>
    <x v="1"/>
    <x v="0"/>
    <x v="0"/>
    <x v="41"/>
    <x v="142"/>
    <n v="0"/>
    <x v="0"/>
    <x v="0"/>
    <x v="3"/>
  </r>
  <r>
    <x v="0"/>
    <x v="2"/>
    <x v="2"/>
    <x v="0"/>
    <x v="0"/>
    <x v="41"/>
    <x v="142"/>
    <n v="145100.99"/>
    <x v="0"/>
    <x v="0"/>
    <x v="3"/>
  </r>
  <r>
    <x v="0"/>
    <x v="3"/>
    <x v="3"/>
    <x v="0"/>
    <x v="0"/>
    <x v="41"/>
    <x v="142"/>
    <n v="0"/>
    <x v="0"/>
    <x v="0"/>
    <x v="3"/>
  </r>
  <r>
    <x v="0"/>
    <x v="4"/>
    <x v="4"/>
    <x v="0"/>
    <x v="0"/>
    <x v="41"/>
    <x v="142"/>
    <n v="145100.99"/>
    <x v="0"/>
    <x v="0"/>
    <x v="3"/>
  </r>
  <r>
    <x v="0"/>
    <x v="0"/>
    <x v="0"/>
    <x v="0"/>
    <x v="0"/>
    <x v="42"/>
    <x v="143"/>
    <n v="0"/>
    <x v="0"/>
    <x v="0"/>
    <x v="3"/>
  </r>
  <r>
    <x v="0"/>
    <x v="1"/>
    <x v="1"/>
    <x v="0"/>
    <x v="0"/>
    <x v="42"/>
    <x v="143"/>
    <n v="0"/>
    <x v="0"/>
    <x v="0"/>
    <x v="3"/>
  </r>
  <r>
    <x v="0"/>
    <x v="2"/>
    <x v="2"/>
    <x v="0"/>
    <x v="0"/>
    <x v="42"/>
    <x v="143"/>
    <n v="277713.93"/>
    <x v="0"/>
    <x v="0"/>
    <x v="3"/>
  </r>
  <r>
    <x v="0"/>
    <x v="3"/>
    <x v="3"/>
    <x v="0"/>
    <x v="0"/>
    <x v="42"/>
    <x v="143"/>
    <n v="0"/>
    <x v="0"/>
    <x v="0"/>
    <x v="3"/>
  </r>
  <r>
    <x v="0"/>
    <x v="4"/>
    <x v="4"/>
    <x v="0"/>
    <x v="0"/>
    <x v="42"/>
    <x v="143"/>
    <n v="277713.93"/>
    <x v="0"/>
    <x v="0"/>
    <x v="3"/>
  </r>
  <r>
    <x v="0"/>
    <x v="0"/>
    <x v="0"/>
    <x v="0"/>
    <x v="0"/>
    <x v="43"/>
    <x v="144"/>
    <n v="0"/>
    <x v="0"/>
    <x v="0"/>
    <x v="3"/>
  </r>
  <r>
    <x v="0"/>
    <x v="1"/>
    <x v="1"/>
    <x v="0"/>
    <x v="0"/>
    <x v="43"/>
    <x v="144"/>
    <n v="0"/>
    <x v="0"/>
    <x v="0"/>
    <x v="3"/>
  </r>
  <r>
    <x v="0"/>
    <x v="2"/>
    <x v="2"/>
    <x v="0"/>
    <x v="0"/>
    <x v="43"/>
    <x v="144"/>
    <n v="9500640.3300000001"/>
    <x v="0"/>
    <x v="0"/>
    <x v="3"/>
  </r>
  <r>
    <x v="0"/>
    <x v="3"/>
    <x v="3"/>
    <x v="0"/>
    <x v="0"/>
    <x v="43"/>
    <x v="144"/>
    <n v="0"/>
    <x v="0"/>
    <x v="0"/>
    <x v="3"/>
  </r>
  <r>
    <x v="0"/>
    <x v="4"/>
    <x v="4"/>
    <x v="0"/>
    <x v="0"/>
    <x v="43"/>
    <x v="144"/>
    <n v="9500640.3300000001"/>
    <x v="0"/>
    <x v="0"/>
    <x v="3"/>
  </r>
  <r>
    <x v="0"/>
    <x v="0"/>
    <x v="0"/>
    <x v="0"/>
    <x v="0"/>
    <x v="80"/>
    <x v="145"/>
    <n v="0"/>
    <x v="0"/>
    <x v="0"/>
    <x v="2"/>
  </r>
  <r>
    <x v="0"/>
    <x v="1"/>
    <x v="1"/>
    <x v="0"/>
    <x v="0"/>
    <x v="80"/>
    <x v="145"/>
    <n v="0"/>
    <x v="0"/>
    <x v="0"/>
    <x v="2"/>
  </r>
  <r>
    <x v="0"/>
    <x v="2"/>
    <x v="2"/>
    <x v="0"/>
    <x v="0"/>
    <x v="80"/>
    <x v="145"/>
    <n v="14873.01"/>
    <x v="0"/>
    <x v="0"/>
    <x v="2"/>
  </r>
  <r>
    <x v="0"/>
    <x v="3"/>
    <x v="3"/>
    <x v="0"/>
    <x v="0"/>
    <x v="80"/>
    <x v="145"/>
    <n v="0"/>
    <x v="0"/>
    <x v="0"/>
    <x v="2"/>
  </r>
  <r>
    <x v="0"/>
    <x v="4"/>
    <x v="4"/>
    <x v="0"/>
    <x v="0"/>
    <x v="80"/>
    <x v="145"/>
    <n v="14873.01"/>
    <x v="0"/>
    <x v="0"/>
    <x v="2"/>
  </r>
  <r>
    <x v="0"/>
    <x v="0"/>
    <x v="0"/>
    <x v="0"/>
    <x v="0"/>
    <x v="39"/>
    <x v="146"/>
    <n v="0"/>
    <x v="0"/>
    <x v="0"/>
    <x v="3"/>
  </r>
  <r>
    <x v="0"/>
    <x v="1"/>
    <x v="1"/>
    <x v="0"/>
    <x v="0"/>
    <x v="39"/>
    <x v="146"/>
    <n v="0"/>
    <x v="0"/>
    <x v="0"/>
    <x v="3"/>
  </r>
  <r>
    <x v="0"/>
    <x v="2"/>
    <x v="2"/>
    <x v="0"/>
    <x v="0"/>
    <x v="39"/>
    <x v="146"/>
    <n v="1753.42"/>
    <x v="0"/>
    <x v="0"/>
    <x v="3"/>
  </r>
  <r>
    <x v="0"/>
    <x v="3"/>
    <x v="3"/>
    <x v="0"/>
    <x v="0"/>
    <x v="39"/>
    <x v="146"/>
    <n v="0"/>
    <x v="0"/>
    <x v="0"/>
    <x v="3"/>
  </r>
  <r>
    <x v="0"/>
    <x v="4"/>
    <x v="4"/>
    <x v="0"/>
    <x v="0"/>
    <x v="39"/>
    <x v="146"/>
    <n v="1753.42"/>
    <x v="0"/>
    <x v="0"/>
    <x v="3"/>
  </r>
  <r>
    <x v="0"/>
    <x v="0"/>
    <x v="0"/>
    <x v="0"/>
    <x v="0"/>
    <x v="40"/>
    <x v="147"/>
    <n v="0"/>
    <x v="0"/>
    <x v="0"/>
    <x v="3"/>
  </r>
  <r>
    <x v="0"/>
    <x v="1"/>
    <x v="1"/>
    <x v="0"/>
    <x v="0"/>
    <x v="40"/>
    <x v="147"/>
    <n v="0"/>
    <x v="0"/>
    <x v="0"/>
    <x v="3"/>
  </r>
  <r>
    <x v="0"/>
    <x v="2"/>
    <x v="2"/>
    <x v="0"/>
    <x v="0"/>
    <x v="40"/>
    <x v="147"/>
    <n v="3557.33"/>
    <x v="0"/>
    <x v="0"/>
    <x v="3"/>
  </r>
  <r>
    <x v="0"/>
    <x v="3"/>
    <x v="3"/>
    <x v="0"/>
    <x v="0"/>
    <x v="40"/>
    <x v="147"/>
    <n v="0"/>
    <x v="0"/>
    <x v="0"/>
    <x v="3"/>
  </r>
  <r>
    <x v="0"/>
    <x v="4"/>
    <x v="4"/>
    <x v="0"/>
    <x v="0"/>
    <x v="40"/>
    <x v="147"/>
    <n v="3557.33"/>
    <x v="0"/>
    <x v="0"/>
    <x v="3"/>
  </r>
  <r>
    <x v="0"/>
    <x v="0"/>
    <x v="0"/>
    <x v="0"/>
    <x v="0"/>
    <x v="41"/>
    <x v="148"/>
    <n v="0"/>
    <x v="0"/>
    <x v="0"/>
    <x v="3"/>
  </r>
  <r>
    <x v="0"/>
    <x v="1"/>
    <x v="1"/>
    <x v="0"/>
    <x v="0"/>
    <x v="41"/>
    <x v="148"/>
    <n v="0"/>
    <x v="0"/>
    <x v="0"/>
    <x v="3"/>
  </r>
  <r>
    <x v="0"/>
    <x v="2"/>
    <x v="2"/>
    <x v="0"/>
    <x v="0"/>
    <x v="41"/>
    <x v="148"/>
    <n v="3504.06"/>
    <x v="0"/>
    <x v="0"/>
    <x v="3"/>
  </r>
  <r>
    <x v="0"/>
    <x v="3"/>
    <x v="3"/>
    <x v="0"/>
    <x v="0"/>
    <x v="41"/>
    <x v="148"/>
    <n v="0"/>
    <x v="0"/>
    <x v="0"/>
    <x v="3"/>
  </r>
  <r>
    <x v="0"/>
    <x v="4"/>
    <x v="4"/>
    <x v="0"/>
    <x v="0"/>
    <x v="41"/>
    <x v="148"/>
    <n v="3504.06"/>
    <x v="0"/>
    <x v="0"/>
    <x v="3"/>
  </r>
  <r>
    <x v="0"/>
    <x v="0"/>
    <x v="0"/>
    <x v="0"/>
    <x v="0"/>
    <x v="42"/>
    <x v="149"/>
    <n v="0"/>
    <x v="0"/>
    <x v="0"/>
    <x v="3"/>
  </r>
  <r>
    <x v="0"/>
    <x v="1"/>
    <x v="1"/>
    <x v="0"/>
    <x v="0"/>
    <x v="42"/>
    <x v="149"/>
    <n v="0"/>
    <x v="0"/>
    <x v="0"/>
    <x v="3"/>
  </r>
  <r>
    <x v="0"/>
    <x v="2"/>
    <x v="2"/>
    <x v="0"/>
    <x v="0"/>
    <x v="42"/>
    <x v="149"/>
    <n v="6058.2"/>
    <x v="0"/>
    <x v="0"/>
    <x v="3"/>
  </r>
  <r>
    <x v="0"/>
    <x v="3"/>
    <x v="3"/>
    <x v="0"/>
    <x v="0"/>
    <x v="42"/>
    <x v="149"/>
    <n v="0"/>
    <x v="0"/>
    <x v="0"/>
    <x v="3"/>
  </r>
  <r>
    <x v="0"/>
    <x v="4"/>
    <x v="4"/>
    <x v="0"/>
    <x v="0"/>
    <x v="42"/>
    <x v="149"/>
    <n v="6058.2"/>
    <x v="0"/>
    <x v="0"/>
    <x v="3"/>
  </r>
  <r>
    <x v="0"/>
    <x v="0"/>
    <x v="0"/>
    <x v="0"/>
    <x v="0"/>
    <x v="43"/>
    <x v="150"/>
    <n v="0"/>
    <x v="0"/>
    <x v="0"/>
    <x v="3"/>
  </r>
  <r>
    <x v="0"/>
    <x v="1"/>
    <x v="1"/>
    <x v="0"/>
    <x v="0"/>
    <x v="43"/>
    <x v="150"/>
    <n v="0"/>
    <x v="0"/>
    <x v="0"/>
    <x v="3"/>
  </r>
  <r>
    <x v="0"/>
    <x v="2"/>
    <x v="2"/>
    <x v="0"/>
    <x v="0"/>
    <x v="43"/>
    <x v="150"/>
    <n v="0"/>
    <x v="0"/>
    <x v="0"/>
    <x v="3"/>
  </r>
  <r>
    <x v="0"/>
    <x v="3"/>
    <x v="3"/>
    <x v="0"/>
    <x v="0"/>
    <x v="43"/>
    <x v="150"/>
    <n v="0"/>
    <x v="0"/>
    <x v="0"/>
    <x v="3"/>
  </r>
  <r>
    <x v="0"/>
    <x v="4"/>
    <x v="4"/>
    <x v="0"/>
    <x v="0"/>
    <x v="43"/>
    <x v="150"/>
    <n v="0"/>
    <x v="0"/>
    <x v="0"/>
    <x v="3"/>
  </r>
  <r>
    <x v="0"/>
    <x v="0"/>
    <x v="0"/>
    <x v="0"/>
    <x v="0"/>
    <x v="81"/>
    <x v="151"/>
    <n v="0"/>
    <x v="0"/>
    <x v="0"/>
    <x v="2"/>
  </r>
  <r>
    <x v="0"/>
    <x v="1"/>
    <x v="1"/>
    <x v="0"/>
    <x v="0"/>
    <x v="81"/>
    <x v="151"/>
    <n v="13183.34"/>
    <x v="0"/>
    <x v="0"/>
    <x v="2"/>
  </r>
  <r>
    <x v="0"/>
    <x v="2"/>
    <x v="2"/>
    <x v="0"/>
    <x v="0"/>
    <x v="81"/>
    <x v="151"/>
    <n v="220299.8"/>
    <x v="0"/>
    <x v="0"/>
    <x v="2"/>
  </r>
  <r>
    <x v="0"/>
    <x v="3"/>
    <x v="3"/>
    <x v="0"/>
    <x v="0"/>
    <x v="81"/>
    <x v="151"/>
    <n v="668839.94999999995"/>
    <x v="0"/>
    <x v="0"/>
    <x v="2"/>
  </r>
  <r>
    <x v="0"/>
    <x v="4"/>
    <x v="4"/>
    <x v="0"/>
    <x v="0"/>
    <x v="81"/>
    <x v="151"/>
    <n v="902323.09"/>
    <x v="0"/>
    <x v="0"/>
    <x v="2"/>
  </r>
  <r>
    <x v="0"/>
    <x v="0"/>
    <x v="0"/>
    <x v="0"/>
    <x v="0"/>
    <x v="39"/>
    <x v="152"/>
    <n v="0"/>
    <x v="0"/>
    <x v="0"/>
    <x v="3"/>
  </r>
  <r>
    <x v="0"/>
    <x v="1"/>
    <x v="1"/>
    <x v="0"/>
    <x v="0"/>
    <x v="39"/>
    <x v="152"/>
    <n v="156.71"/>
    <x v="0"/>
    <x v="0"/>
    <x v="3"/>
  </r>
  <r>
    <x v="0"/>
    <x v="2"/>
    <x v="2"/>
    <x v="0"/>
    <x v="0"/>
    <x v="39"/>
    <x v="152"/>
    <n v="27161.439999999999"/>
    <x v="0"/>
    <x v="0"/>
    <x v="3"/>
  </r>
  <r>
    <x v="0"/>
    <x v="3"/>
    <x v="3"/>
    <x v="0"/>
    <x v="0"/>
    <x v="39"/>
    <x v="152"/>
    <n v="10072.43"/>
    <x v="0"/>
    <x v="0"/>
    <x v="3"/>
  </r>
  <r>
    <x v="0"/>
    <x v="4"/>
    <x v="4"/>
    <x v="0"/>
    <x v="0"/>
    <x v="39"/>
    <x v="152"/>
    <n v="37390.58"/>
    <x v="0"/>
    <x v="0"/>
    <x v="3"/>
  </r>
  <r>
    <x v="0"/>
    <x v="0"/>
    <x v="0"/>
    <x v="0"/>
    <x v="0"/>
    <x v="40"/>
    <x v="153"/>
    <n v="0"/>
    <x v="0"/>
    <x v="0"/>
    <x v="3"/>
  </r>
  <r>
    <x v="0"/>
    <x v="1"/>
    <x v="1"/>
    <x v="0"/>
    <x v="0"/>
    <x v="40"/>
    <x v="153"/>
    <n v="319.68"/>
    <x v="0"/>
    <x v="0"/>
    <x v="3"/>
  </r>
  <r>
    <x v="0"/>
    <x v="2"/>
    <x v="2"/>
    <x v="0"/>
    <x v="0"/>
    <x v="40"/>
    <x v="153"/>
    <n v="24512.92"/>
    <x v="0"/>
    <x v="0"/>
    <x v="3"/>
  </r>
  <r>
    <x v="0"/>
    <x v="3"/>
    <x v="3"/>
    <x v="0"/>
    <x v="0"/>
    <x v="40"/>
    <x v="153"/>
    <n v="13766.07"/>
    <x v="0"/>
    <x v="0"/>
    <x v="3"/>
  </r>
  <r>
    <x v="0"/>
    <x v="4"/>
    <x v="4"/>
    <x v="0"/>
    <x v="0"/>
    <x v="40"/>
    <x v="153"/>
    <n v="38598.67"/>
    <x v="0"/>
    <x v="0"/>
    <x v="3"/>
  </r>
  <r>
    <x v="0"/>
    <x v="0"/>
    <x v="0"/>
    <x v="0"/>
    <x v="0"/>
    <x v="41"/>
    <x v="154"/>
    <n v="0"/>
    <x v="0"/>
    <x v="0"/>
    <x v="3"/>
  </r>
  <r>
    <x v="0"/>
    <x v="1"/>
    <x v="1"/>
    <x v="0"/>
    <x v="0"/>
    <x v="41"/>
    <x v="154"/>
    <n v="495.57"/>
    <x v="0"/>
    <x v="0"/>
    <x v="3"/>
  </r>
  <r>
    <x v="0"/>
    <x v="2"/>
    <x v="2"/>
    <x v="0"/>
    <x v="0"/>
    <x v="41"/>
    <x v="154"/>
    <n v="30061.37"/>
    <x v="0"/>
    <x v="0"/>
    <x v="3"/>
  </r>
  <r>
    <x v="0"/>
    <x v="3"/>
    <x v="3"/>
    <x v="0"/>
    <x v="0"/>
    <x v="41"/>
    <x v="154"/>
    <n v="19459.45"/>
    <x v="0"/>
    <x v="0"/>
    <x v="3"/>
  </r>
  <r>
    <x v="0"/>
    <x v="4"/>
    <x v="4"/>
    <x v="0"/>
    <x v="0"/>
    <x v="41"/>
    <x v="154"/>
    <n v="50016.39"/>
    <x v="0"/>
    <x v="0"/>
    <x v="3"/>
  </r>
  <r>
    <x v="0"/>
    <x v="0"/>
    <x v="0"/>
    <x v="0"/>
    <x v="0"/>
    <x v="42"/>
    <x v="155"/>
    <n v="0"/>
    <x v="0"/>
    <x v="0"/>
    <x v="3"/>
  </r>
  <r>
    <x v="0"/>
    <x v="1"/>
    <x v="1"/>
    <x v="0"/>
    <x v="0"/>
    <x v="42"/>
    <x v="155"/>
    <n v="1051.82"/>
    <x v="0"/>
    <x v="0"/>
    <x v="3"/>
  </r>
  <r>
    <x v="0"/>
    <x v="2"/>
    <x v="2"/>
    <x v="0"/>
    <x v="0"/>
    <x v="42"/>
    <x v="155"/>
    <n v="49898.75"/>
    <x v="0"/>
    <x v="0"/>
    <x v="3"/>
  </r>
  <r>
    <x v="0"/>
    <x v="3"/>
    <x v="3"/>
    <x v="0"/>
    <x v="0"/>
    <x v="42"/>
    <x v="155"/>
    <n v="39555.800000000003"/>
    <x v="0"/>
    <x v="0"/>
    <x v="3"/>
  </r>
  <r>
    <x v="0"/>
    <x v="4"/>
    <x v="4"/>
    <x v="0"/>
    <x v="0"/>
    <x v="42"/>
    <x v="155"/>
    <n v="90506.37"/>
    <x v="0"/>
    <x v="0"/>
    <x v="3"/>
  </r>
  <r>
    <x v="0"/>
    <x v="0"/>
    <x v="0"/>
    <x v="0"/>
    <x v="0"/>
    <x v="43"/>
    <x v="156"/>
    <n v="0"/>
    <x v="0"/>
    <x v="0"/>
    <x v="3"/>
  </r>
  <r>
    <x v="0"/>
    <x v="1"/>
    <x v="1"/>
    <x v="0"/>
    <x v="0"/>
    <x v="43"/>
    <x v="156"/>
    <n v="11159.56"/>
    <x v="0"/>
    <x v="0"/>
    <x v="3"/>
  </r>
  <r>
    <x v="0"/>
    <x v="2"/>
    <x v="2"/>
    <x v="0"/>
    <x v="0"/>
    <x v="43"/>
    <x v="156"/>
    <n v="88665.32"/>
    <x v="0"/>
    <x v="0"/>
    <x v="3"/>
  </r>
  <r>
    <x v="0"/>
    <x v="3"/>
    <x v="3"/>
    <x v="0"/>
    <x v="0"/>
    <x v="43"/>
    <x v="156"/>
    <n v="585986.19999999995"/>
    <x v="0"/>
    <x v="0"/>
    <x v="3"/>
  </r>
  <r>
    <x v="0"/>
    <x v="4"/>
    <x v="4"/>
    <x v="0"/>
    <x v="0"/>
    <x v="43"/>
    <x v="156"/>
    <n v="685811.08"/>
    <x v="0"/>
    <x v="0"/>
    <x v="3"/>
  </r>
  <r>
    <x v="0"/>
    <x v="0"/>
    <x v="0"/>
    <x v="0"/>
    <x v="0"/>
    <x v="82"/>
    <x v="157"/>
    <n v="0"/>
    <x v="0"/>
    <x v="0"/>
    <x v="2"/>
  </r>
  <r>
    <x v="0"/>
    <x v="1"/>
    <x v="1"/>
    <x v="0"/>
    <x v="0"/>
    <x v="82"/>
    <x v="157"/>
    <n v="23835.27"/>
    <x v="0"/>
    <x v="0"/>
    <x v="2"/>
  </r>
  <r>
    <x v="0"/>
    <x v="2"/>
    <x v="2"/>
    <x v="0"/>
    <x v="0"/>
    <x v="82"/>
    <x v="157"/>
    <n v="0"/>
    <x v="0"/>
    <x v="0"/>
    <x v="2"/>
  </r>
  <r>
    <x v="0"/>
    <x v="3"/>
    <x v="3"/>
    <x v="0"/>
    <x v="0"/>
    <x v="82"/>
    <x v="157"/>
    <n v="426386.59"/>
    <x v="0"/>
    <x v="0"/>
    <x v="2"/>
  </r>
  <r>
    <x v="0"/>
    <x v="4"/>
    <x v="4"/>
    <x v="0"/>
    <x v="0"/>
    <x v="82"/>
    <x v="157"/>
    <n v="450221.86"/>
    <x v="0"/>
    <x v="0"/>
    <x v="2"/>
  </r>
  <r>
    <x v="0"/>
    <x v="0"/>
    <x v="0"/>
    <x v="0"/>
    <x v="0"/>
    <x v="39"/>
    <x v="158"/>
    <n v="0"/>
    <x v="0"/>
    <x v="0"/>
    <x v="3"/>
  </r>
  <r>
    <x v="0"/>
    <x v="1"/>
    <x v="1"/>
    <x v="0"/>
    <x v="0"/>
    <x v="39"/>
    <x v="158"/>
    <n v="63.5"/>
    <x v="0"/>
    <x v="0"/>
    <x v="3"/>
  </r>
  <r>
    <x v="0"/>
    <x v="2"/>
    <x v="2"/>
    <x v="0"/>
    <x v="0"/>
    <x v="39"/>
    <x v="158"/>
    <n v="0"/>
    <x v="0"/>
    <x v="0"/>
    <x v="3"/>
  </r>
  <r>
    <x v="0"/>
    <x v="3"/>
    <x v="3"/>
    <x v="0"/>
    <x v="0"/>
    <x v="39"/>
    <x v="158"/>
    <n v="4946.6499999999996"/>
    <x v="0"/>
    <x v="0"/>
    <x v="3"/>
  </r>
  <r>
    <x v="0"/>
    <x v="4"/>
    <x v="4"/>
    <x v="0"/>
    <x v="0"/>
    <x v="39"/>
    <x v="158"/>
    <n v="5010.1499999999996"/>
    <x v="0"/>
    <x v="0"/>
    <x v="3"/>
  </r>
  <r>
    <x v="0"/>
    <x v="0"/>
    <x v="0"/>
    <x v="0"/>
    <x v="0"/>
    <x v="40"/>
    <x v="159"/>
    <n v="0"/>
    <x v="0"/>
    <x v="0"/>
    <x v="3"/>
  </r>
  <r>
    <x v="0"/>
    <x v="1"/>
    <x v="1"/>
    <x v="0"/>
    <x v="0"/>
    <x v="40"/>
    <x v="159"/>
    <n v="128.68"/>
    <x v="0"/>
    <x v="0"/>
    <x v="3"/>
  </r>
  <r>
    <x v="0"/>
    <x v="2"/>
    <x v="2"/>
    <x v="0"/>
    <x v="0"/>
    <x v="40"/>
    <x v="159"/>
    <n v="0"/>
    <x v="0"/>
    <x v="0"/>
    <x v="3"/>
  </r>
  <r>
    <x v="0"/>
    <x v="3"/>
    <x v="3"/>
    <x v="0"/>
    <x v="0"/>
    <x v="40"/>
    <x v="159"/>
    <n v="7413.34"/>
    <x v="0"/>
    <x v="0"/>
    <x v="3"/>
  </r>
  <r>
    <x v="0"/>
    <x v="4"/>
    <x v="4"/>
    <x v="0"/>
    <x v="0"/>
    <x v="40"/>
    <x v="159"/>
    <n v="7542.02"/>
    <x v="0"/>
    <x v="0"/>
    <x v="3"/>
  </r>
  <r>
    <x v="0"/>
    <x v="0"/>
    <x v="0"/>
    <x v="0"/>
    <x v="0"/>
    <x v="41"/>
    <x v="160"/>
    <n v="0"/>
    <x v="0"/>
    <x v="0"/>
    <x v="3"/>
  </r>
  <r>
    <x v="0"/>
    <x v="1"/>
    <x v="1"/>
    <x v="0"/>
    <x v="0"/>
    <x v="41"/>
    <x v="160"/>
    <n v="197.26"/>
    <x v="0"/>
    <x v="0"/>
    <x v="3"/>
  </r>
  <r>
    <x v="0"/>
    <x v="2"/>
    <x v="2"/>
    <x v="0"/>
    <x v="0"/>
    <x v="41"/>
    <x v="160"/>
    <n v="0"/>
    <x v="0"/>
    <x v="0"/>
    <x v="3"/>
  </r>
  <r>
    <x v="0"/>
    <x v="3"/>
    <x v="3"/>
    <x v="0"/>
    <x v="0"/>
    <x v="41"/>
    <x v="160"/>
    <n v="8891.0300000000007"/>
    <x v="0"/>
    <x v="0"/>
    <x v="3"/>
  </r>
  <r>
    <x v="0"/>
    <x v="4"/>
    <x v="4"/>
    <x v="0"/>
    <x v="0"/>
    <x v="41"/>
    <x v="160"/>
    <n v="9088.2900000000009"/>
    <x v="0"/>
    <x v="0"/>
    <x v="3"/>
  </r>
  <r>
    <x v="0"/>
    <x v="0"/>
    <x v="0"/>
    <x v="0"/>
    <x v="0"/>
    <x v="42"/>
    <x v="161"/>
    <n v="0"/>
    <x v="0"/>
    <x v="0"/>
    <x v="3"/>
  </r>
  <r>
    <x v="0"/>
    <x v="1"/>
    <x v="1"/>
    <x v="0"/>
    <x v="0"/>
    <x v="42"/>
    <x v="161"/>
    <n v="410.33"/>
    <x v="0"/>
    <x v="0"/>
    <x v="3"/>
  </r>
  <r>
    <x v="0"/>
    <x v="2"/>
    <x v="2"/>
    <x v="0"/>
    <x v="0"/>
    <x v="42"/>
    <x v="161"/>
    <n v="0"/>
    <x v="0"/>
    <x v="0"/>
    <x v="3"/>
  </r>
  <r>
    <x v="0"/>
    <x v="3"/>
    <x v="3"/>
    <x v="0"/>
    <x v="0"/>
    <x v="42"/>
    <x v="161"/>
    <n v="18978.919999999998"/>
    <x v="0"/>
    <x v="0"/>
    <x v="3"/>
  </r>
  <r>
    <x v="0"/>
    <x v="4"/>
    <x v="4"/>
    <x v="0"/>
    <x v="0"/>
    <x v="42"/>
    <x v="161"/>
    <n v="19389.25"/>
    <x v="0"/>
    <x v="0"/>
    <x v="3"/>
  </r>
  <r>
    <x v="0"/>
    <x v="0"/>
    <x v="0"/>
    <x v="0"/>
    <x v="0"/>
    <x v="43"/>
    <x v="162"/>
    <n v="0"/>
    <x v="0"/>
    <x v="0"/>
    <x v="3"/>
  </r>
  <r>
    <x v="0"/>
    <x v="1"/>
    <x v="1"/>
    <x v="0"/>
    <x v="0"/>
    <x v="43"/>
    <x v="162"/>
    <n v="23035.5"/>
    <x v="0"/>
    <x v="0"/>
    <x v="3"/>
  </r>
  <r>
    <x v="0"/>
    <x v="2"/>
    <x v="2"/>
    <x v="0"/>
    <x v="0"/>
    <x v="43"/>
    <x v="162"/>
    <n v="0"/>
    <x v="0"/>
    <x v="0"/>
    <x v="3"/>
  </r>
  <r>
    <x v="0"/>
    <x v="3"/>
    <x v="3"/>
    <x v="0"/>
    <x v="0"/>
    <x v="43"/>
    <x v="162"/>
    <n v="386156.65"/>
    <x v="0"/>
    <x v="0"/>
    <x v="3"/>
  </r>
  <r>
    <x v="0"/>
    <x v="4"/>
    <x v="4"/>
    <x v="0"/>
    <x v="0"/>
    <x v="43"/>
    <x v="162"/>
    <n v="409192.15"/>
    <x v="0"/>
    <x v="0"/>
    <x v="3"/>
  </r>
  <r>
    <x v="0"/>
    <x v="0"/>
    <x v="0"/>
    <x v="0"/>
    <x v="0"/>
    <x v="83"/>
    <x v="163"/>
    <n v="0"/>
    <x v="0"/>
    <x v="0"/>
    <x v="2"/>
  </r>
  <r>
    <x v="0"/>
    <x v="1"/>
    <x v="1"/>
    <x v="0"/>
    <x v="0"/>
    <x v="83"/>
    <x v="163"/>
    <n v="11700.26"/>
    <x v="0"/>
    <x v="0"/>
    <x v="2"/>
  </r>
  <r>
    <x v="0"/>
    <x v="2"/>
    <x v="2"/>
    <x v="0"/>
    <x v="0"/>
    <x v="83"/>
    <x v="163"/>
    <n v="3418.28"/>
    <x v="0"/>
    <x v="0"/>
    <x v="2"/>
  </r>
  <r>
    <x v="0"/>
    <x v="3"/>
    <x v="3"/>
    <x v="0"/>
    <x v="0"/>
    <x v="83"/>
    <x v="163"/>
    <n v="1008054.42"/>
    <x v="0"/>
    <x v="0"/>
    <x v="2"/>
  </r>
  <r>
    <x v="0"/>
    <x v="4"/>
    <x v="4"/>
    <x v="0"/>
    <x v="0"/>
    <x v="83"/>
    <x v="163"/>
    <n v="1023172.96"/>
    <x v="0"/>
    <x v="0"/>
    <x v="2"/>
  </r>
  <r>
    <x v="0"/>
    <x v="0"/>
    <x v="0"/>
    <x v="0"/>
    <x v="0"/>
    <x v="39"/>
    <x v="164"/>
    <n v="0"/>
    <x v="0"/>
    <x v="0"/>
    <x v="3"/>
  </r>
  <r>
    <x v="0"/>
    <x v="1"/>
    <x v="1"/>
    <x v="0"/>
    <x v="0"/>
    <x v="39"/>
    <x v="164"/>
    <n v="254.77"/>
    <x v="0"/>
    <x v="0"/>
    <x v="3"/>
  </r>
  <r>
    <x v="0"/>
    <x v="2"/>
    <x v="2"/>
    <x v="0"/>
    <x v="0"/>
    <x v="39"/>
    <x v="164"/>
    <n v="355.34"/>
    <x v="0"/>
    <x v="0"/>
    <x v="3"/>
  </r>
  <r>
    <x v="0"/>
    <x v="3"/>
    <x v="3"/>
    <x v="0"/>
    <x v="0"/>
    <x v="39"/>
    <x v="164"/>
    <n v="17658.900000000001"/>
    <x v="0"/>
    <x v="0"/>
    <x v="3"/>
  </r>
  <r>
    <x v="0"/>
    <x v="4"/>
    <x v="4"/>
    <x v="0"/>
    <x v="0"/>
    <x v="39"/>
    <x v="164"/>
    <n v="18269.009999999998"/>
    <x v="0"/>
    <x v="0"/>
    <x v="3"/>
  </r>
  <r>
    <x v="0"/>
    <x v="0"/>
    <x v="0"/>
    <x v="0"/>
    <x v="0"/>
    <x v="40"/>
    <x v="165"/>
    <n v="0"/>
    <x v="0"/>
    <x v="0"/>
    <x v="3"/>
  </r>
  <r>
    <x v="0"/>
    <x v="1"/>
    <x v="1"/>
    <x v="0"/>
    <x v="0"/>
    <x v="40"/>
    <x v="165"/>
    <n v="522.98"/>
    <x v="0"/>
    <x v="0"/>
    <x v="3"/>
  </r>
  <r>
    <x v="0"/>
    <x v="2"/>
    <x v="2"/>
    <x v="0"/>
    <x v="0"/>
    <x v="40"/>
    <x v="165"/>
    <n v="548.76"/>
    <x v="0"/>
    <x v="0"/>
    <x v="3"/>
  </r>
  <r>
    <x v="0"/>
    <x v="3"/>
    <x v="3"/>
    <x v="0"/>
    <x v="0"/>
    <x v="40"/>
    <x v="165"/>
    <n v="23699.77"/>
    <x v="0"/>
    <x v="0"/>
    <x v="3"/>
  </r>
  <r>
    <x v="0"/>
    <x v="4"/>
    <x v="4"/>
    <x v="0"/>
    <x v="0"/>
    <x v="40"/>
    <x v="165"/>
    <n v="24771.51"/>
    <x v="0"/>
    <x v="0"/>
    <x v="3"/>
  </r>
  <r>
    <x v="0"/>
    <x v="0"/>
    <x v="0"/>
    <x v="0"/>
    <x v="0"/>
    <x v="41"/>
    <x v="166"/>
    <n v="0"/>
    <x v="0"/>
    <x v="0"/>
    <x v="3"/>
  </r>
  <r>
    <x v="0"/>
    <x v="1"/>
    <x v="1"/>
    <x v="0"/>
    <x v="0"/>
    <x v="41"/>
    <x v="166"/>
    <n v="819.3"/>
    <x v="0"/>
    <x v="0"/>
    <x v="3"/>
  </r>
  <r>
    <x v="0"/>
    <x v="2"/>
    <x v="2"/>
    <x v="0"/>
    <x v="0"/>
    <x v="41"/>
    <x v="166"/>
    <n v="845.52"/>
    <x v="0"/>
    <x v="0"/>
    <x v="3"/>
  </r>
  <r>
    <x v="0"/>
    <x v="3"/>
    <x v="3"/>
    <x v="0"/>
    <x v="0"/>
    <x v="41"/>
    <x v="166"/>
    <n v="36182.339999999997"/>
    <x v="0"/>
    <x v="0"/>
    <x v="3"/>
  </r>
  <r>
    <x v="0"/>
    <x v="4"/>
    <x v="4"/>
    <x v="0"/>
    <x v="0"/>
    <x v="41"/>
    <x v="166"/>
    <n v="37847.160000000003"/>
    <x v="0"/>
    <x v="0"/>
    <x v="3"/>
  </r>
  <r>
    <x v="0"/>
    <x v="0"/>
    <x v="0"/>
    <x v="0"/>
    <x v="0"/>
    <x v="42"/>
    <x v="167"/>
    <n v="0"/>
    <x v="0"/>
    <x v="0"/>
    <x v="3"/>
  </r>
  <r>
    <x v="0"/>
    <x v="1"/>
    <x v="1"/>
    <x v="0"/>
    <x v="0"/>
    <x v="42"/>
    <x v="167"/>
    <n v="1772.25"/>
    <x v="0"/>
    <x v="0"/>
    <x v="3"/>
  </r>
  <r>
    <x v="0"/>
    <x v="2"/>
    <x v="2"/>
    <x v="0"/>
    <x v="0"/>
    <x v="42"/>
    <x v="167"/>
    <n v="1668.66"/>
    <x v="0"/>
    <x v="0"/>
    <x v="3"/>
  </r>
  <r>
    <x v="0"/>
    <x v="3"/>
    <x v="3"/>
    <x v="0"/>
    <x v="0"/>
    <x v="42"/>
    <x v="167"/>
    <n v="71430.7"/>
    <x v="0"/>
    <x v="0"/>
    <x v="3"/>
  </r>
  <r>
    <x v="0"/>
    <x v="4"/>
    <x v="4"/>
    <x v="0"/>
    <x v="0"/>
    <x v="42"/>
    <x v="167"/>
    <n v="74871.61"/>
    <x v="0"/>
    <x v="0"/>
    <x v="3"/>
  </r>
  <r>
    <x v="0"/>
    <x v="0"/>
    <x v="0"/>
    <x v="0"/>
    <x v="0"/>
    <x v="43"/>
    <x v="168"/>
    <n v="0"/>
    <x v="0"/>
    <x v="0"/>
    <x v="3"/>
  </r>
  <r>
    <x v="0"/>
    <x v="1"/>
    <x v="1"/>
    <x v="0"/>
    <x v="0"/>
    <x v="43"/>
    <x v="168"/>
    <n v="8330.9599999999991"/>
    <x v="0"/>
    <x v="0"/>
    <x v="3"/>
  </r>
  <r>
    <x v="0"/>
    <x v="2"/>
    <x v="2"/>
    <x v="0"/>
    <x v="0"/>
    <x v="43"/>
    <x v="168"/>
    <n v="0"/>
    <x v="0"/>
    <x v="0"/>
    <x v="3"/>
  </r>
  <r>
    <x v="0"/>
    <x v="3"/>
    <x v="3"/>
    <x v="0"/>
    <x v="0"/>
    <x v="43"/>
    <x v="168"/>
    <n v="859082.71"/>
    <x v="0"/>
    <x v="0"/>
    <x v="3"/>
  </r>
  <r>
    <x v="0"/>
    <x v="4"/>
    <x v="4"/>
    <x v="0"/>
    <x v="0"/>
    <x v="43"/>
    <x v="168"/>
    <n v="867413.67"/>
    <x v="0"/>
    <x v="0"/>
    <x v="3"/>
  </r>
  <r>
    <x v="0"/>
    <x v="0"/>
    <x v="0"/>
    <x v="0"/>
    <x v="0"/>
    <x v="84"/>
    <x v="169"/>
    <n v="0"/>
    <x v="0"/>
    <x v="0"/>
    <x v="2"/>
  </r>
  <r>
    <x v="0"/>
    <x v="1"/>
    <x v="1"/>
    <x v="0"/>
    <x v="0"/>
    <x v="84"/>
    <x v="169"/>
    <n v="0"/>
    <x v="0"/>
    <x v="0"/>
    <x v="2"/>
  </r>
  <r>
    <x v="0"/>
    <x v="2"/>
    <x v="2"/>
    <x v="0"/>
    <x v="0"/>
    <x v="84"/>
    <x v="169"/>
    <n v="0"/>
    <x v="0"/>
    <x v="0"/>
    <x v="2"/>
  </r>
  <r>
    <x v="0"/>
    <x v="3"/>
    <x v="3"/>
    <x v="0"/>
    <x v="0"/>
    <x v="84"/>
    <x v="169"/>
    <n v="0"/>
    <x v="0"/>
    <x v="0"/>
    <x v="2"/>
  </r>
  <r>
    <x v="0"/>
    <x v="4"/>
    <x v="4"/>
    <x v="0"/>
    <x v="0"/>
    <x v="84"/>
    <x v="169"/>
    <n v="0"/>
    <x v="0"/>
    <x v="0"/>
    <x v="2"/>
  </r>
  <r>
    <x v="0"/>
    <x v="0"/>
    <x v="0"/>
    <x v="0"/>
    <x v="0"/>
    <x v="39"/>
    <x v="170"/>
    <n v="0"/>
    <x v="0"/>
    <x v="0"/>
    <x v="3"/>
  </r>
  <r>
    <x v="0"/>
    <x v="1"/>
    <x v="1"/>
    <x v="0"/>
    <x v="0"/>
    <x v="39"/>
    <x v="170"/>
    <n v="0"/>
    <x v="0"/>
    <x v="0"/>
    <x v="3"/>
  </r>
  <r>
    <x v="0"/>
    <x v="2"/>
    <x v="2"/>
    <x v="0"/>
    <x v="0"/>
    <x v="39"/>
    <x v="170"/>
    <n v="0"/>
    <x v="0"/>
    <x v="0"/>
    <x v="3"/>
  </r>
  <r>
    <x v="0"/>
    <x v="3"/>
    <x v="3"/>
    <x v="0"/>
    <x v="0"/>
    <x v="39"/>
    <x v="170"/>
    <n v="0"/>
    <x v="0"/>
    <x v="0"/>
    <x v="3"/>
  </r>
  <r>
    <x v="0"/>
    <x v="4"/>
    <x v="4"/>
    <x v="0"/>
    <x v="0"/>
    <x v="39"/>
    <x v="170"/>
    <n v="0"/>
    <x v="0"/>
    <x v="0"/>
    <x v="3"/>
  </r>
  <r>
    <x v="0"/>
    <x v="0"/>
    <x v="0"/>
    <x v="0"/>
    <x v="0"/>
    <x v="40"/>
    <x v="171"/>
    <n v="0"/>
    <x v="0"/>
    <x v="0"/>
    <x v="3"/>
  </r>
  <r>
    <x v="0"/>
    <x v="1"/>
    <x v="1"/>
    <x v="0"/>
    <x v="0"/>
    <x v="40"/>
    <x v="171"/>
    <n v="0"/>
    <x v="0"/>
    <x v="0"/>
    <x v="3"/>
  </r>
  <r>
    <x v="0"/>
    <x v="2"/>
    <x v="2"/>
    <x v="0"/>
    <x v="0"/>
    <x v="40"/>
    <x v="171"/>
    <n v="0"/>
    <x v="0"/>
    <x v="0"/>
    <x v="3"/>
  </r>
  <r>
    <x v="0"/>
    <x v="3"/>
    <x v="3"/>
    <x v="0"/>
    <x v="0"/>
    <x v="40"/>
    <x v="171"/>
    <n v="0"/>
    <x v="0"/>
    <x v="0"/>
    <x v="3"/>
  </r>
  <r>
    <x v="0"/>
    <x v="4"/>
    <x v="4"/>
    <x v="0"/>
    <x v="0"/>
    <x v="40"/>
    <x v="171"/>
    <n v="0"/>
    <x v="0"/>
    <x v="0"/>
    <x v="3"/>
  </r>
  <r>
    <x v="0"/>
    <x v="0"/>
    <x v="0"/>
    <x v="0"/>
    <x v="0"/>
    <x v="41"/>
    <x v="172"/>
    <n v="0"/>
    <x v="0"/>
    <x v="0"/>
    <x v="3"/>
  </r>
  <r>
    <x v="0"/>
    <x v="1"/>
    <x v="1"/>
    <x v="0"/>
    <x v="0"/>
    <x v="41"/>
    <x v="172"/>
    <n v="0"/>
    <x v="0"/>
    <x v="0"/>
    <x v="3"/>
  </r>
  <r>
    <x v="0"/>
    <x v="2"/>
    <x v="2"/>
    <x v="0"/>
    <x v="0"/>
    <x v="41"/>
    <x v="172"/>
    <n v="0"/>
    <x v="0"/>
    <x v="0"/>
    <x v="3"/>
  </r>
  <r>
    <x v="0"/>
    <x v="3"/>
    <x v="3"/>
    <x v="0"/>
    <x v="0"/>
    <x v="41"/>
    <x v="172"/>
    <n v="0"/>
    <x v="0"/>
    <x v="0"/>
    <x v="3"/>
  </r>
  <r>
    <x v="0"/>
    <x v="4"/>
    <x v="4"/>
    <x v="0"/>
    <x v="0"/>
    <x v="41"/>
    <x v="172"/>
    <n v="0"/>
    <x v="0"/>
    <x v="0"/>
    <x v="3"/>
  </r>
  <r>
    <x v="0"/>
    <x v="0"/>
    <x v="0"/>
    <x v="0"/>
    <x v="0"/>
    <x v="42"/>
    <x v="173"/>
    <n v="0"/>
    <x v="0"/>
    <x v="0"/>
    <x v="3"/>
  </r>
  <r>
    <x v="0"/>
    <x v="1"/>
    <x v="1"/>
    <x v="0"/>
    <x v="0"/>
    <x v="42"/>
    <x v="173"/>
    <n v="0"/>
    <x v="0"/>
    <x v="0"/>
    <x v="3"/>
  </r>
  <r>
    <x v="0"/>
    <x v="2"/>
    <x v="2"/>
    <x v="0"/>
    <x v="0"/>
    <x v="42"/>
    <x v="173"/>
    <n v="0"/>
    <x v="0"/>
    <x v="0"/>
    <x v="3"/>
  </r>
  <r>
    <x v="0"/>
    <x v="3"/>
    <x v="3"/>
    <x v="0"/>
    <x v="0"/>
    <x v="42"/>
    <x v="173"/>
    <n v="0"/>
    <x v="0"/>
    <x v="0"/>
    <x v="3"/>
  </r>
  <r>
    <x v="0"/>
    <x v="4"/>
    <x v="4"/>
    <x v="0"/>
    <x v="0"/>
    <x v="42"/>
    <x v="173"/>
    <n v="0"/>
    <x v="0"/>
    <x v="0"/>
    <x v="3"/>
  </r>
  <r>
    <x v="0"/>
    <x v="0"/>
    <x v="0"/>
    <x v="0"/>
    <x v="0"/>
    <x v="43"/>
    <x v="174"/>
    <n v="0"/>
    <x v="0"/>
    <x v="0"/>
    <x v="3"/>
  </r>
  <r>
    <x v="0"/>
    <x v="1"/>
    <x v="1"/>
    <x v="0"/>
    <x v="0"/>
    <x v="43"/>
    <x v="174"/>
    <n v="0"/>
    <x v="0"/>
    <x v="0"/>
    <x v="3"/>
  </r>
  <r>
    <x v="0"/>
    <x v="2"/>
    <x v="2"/>
    <x v="0"/>
    <x v="0"/>
    <x v="43"/>
    <x v="174"/>
    <n v="0"/>
    <x v="0"/>
    <x v="0"/>
    <x v="3"/>
  </r>
  <r>
    <x v="0"/>
    <x v="3"/>
    <x v="3"/>
    <x v="0"/>
    <x v="0"/>
    <x v="43"/>
    <x v="174"/>
    <n v="0"/>
    <x v="0"/>
    <x v="0"/>
    <x v="3"/>
  </r>
  <r>
    <x v="0"/>
    <x v="4"/>
    <x v="4"/>
    <x v="0"/>
    <x v="0"/>
    <x v="43"/>
    <x v="174"/>
    <n v="0"/>
    <x v="0"/>
    <x v="0"/>
    <x v="3"/>
  </r>
  <r>
    <x v="0"/>
    <x v="0"/>
    <x v="0"/>
    <x v="0"/>
    <x v="0"/>
    <x v="85"/>
    <x v="175"/>
    <n v="0"/>
    <x v="0"/>
    <x v="0"/>
    <x v="2"/>
  </r>
  <r>
    <x v="0"/>
    <x v="1"/>
    <x v="1"/>
    <x v="0"/>
    <x v="0"/>
    <x v="85"/>
    <x v="175"/>
    <n v="0"/>
    <x v="0"/>
    <x v="0"/>
    <x v="2"/>
  </r>
  <r>
    <x v="0"/>
    <x v="2"/>
    <x v="2"/>
    <x v="0"/>
    <x v="0"/>
    <x v="85"/>
    <x v="175"/>
    <n v="18237.54"/>
    <x v="0"/>
    <x v="0"/>
    <x v="2"/>
  </r>
  <r>
    <x v="0"/>
    <x v="3"/>
    <x v="3"/>
    <x v="0"/>
    <x v="0"/>
    <x v="85"/>
    <x v="175"/>
    <n v="0"/>
    <x v="0"/>
    <x v="0"/>
    <x v="2"/>
  </r>
  <r>
    <x v="0"/>
    <x v="4"/>
    <x v="4"/>
    <x v="0"/>
    <x v="0"/>
    <x v="85"/>
    <x v="175"/>
    <n v="18237.54"/>
    <x v="0"/>
    <x v="0"/>
    <x v="2"/>
  </r>
  <r>
    <x v="0"/>
    <x v="0"/>
    <x v="0"/>
    <x v="0"/>
    <x v="0"/>
    <x v="39"/>
    <x v="176"/>
    <n v="0"/>
    <x v="0"/>
    <x v="0"/>
    <x v="3"/>
  </r>
  <r>
    <x v="0"/>
    <x v="1"/>
    <x v="1"/>
    <x v="0"/>
    <x v="0"/>
    <x v="39"/>
    <x v="176"/>
    <n v="0"/>
    <x v="0"/>
    <x v="0"/>
    <x v="3"/>
  </r>
  <r>
    <x v="0"/>
    <x v="2"/>
    <x v="2"/>
    <x v="0"/>
    <x v="0"/>
    <x v="39"/>
    <x v="176"/>
    <n v="568.25"/>
    <x v="0"/>
    <x v="0"/>
    <x v="3"/>
  </r>
  <r>
    <x v="0"/>
    <x v="3"/>
    <x v="3"/>
    <x v="0"/>
    <x v="0"/>
    <x v="39"/>
    <x v="176"/>
    <n v="0"/>
    <x v="0"/>
    <x v="0"/>
    <x v="3"/>
  </r>
  <r>
    <x v="0"/>
    <x v="4"/>
    <x v="4"/>
    <x v="0"/>
    <x v="0"/>
    <x v="39"/>
    <x v="176"/>
    <n v="568.25"/>
    <x v="0"/>
    <x v="0"/>
    <x v="3"/>
  </r>
  <r>
    <x v="0"/>
    <x v="0"/>
    <x v="0"/>
    <x v="0"/>
    <x v="0"/>
    <x v="40"/>
    <x v="177"/>
    <n v="0"/>
    <x v="0"/>
    <x v="0"/>
    <x v="3"/>
  </r>
  <r>
    <x v="0"/>
    <x v="1"/>
    <x v="1"/>
    <x v="0"/>
    <x v="0"/>
    <x v="40"/>
    <x v="177"/>
    <n v="0"/>
    <x v="0"/>
    <x v="0"/>
    <x v="3"/>
  </r>
  <r>
    <x v="0"/>
    <x v="2"/>
    <x v="2"/>
    <x v="0"/>
    <x v="0"/>
    <x v="40"/>
    <x v="177"/>
    <n v="1152.31"/>
    <x v="0"/>
    <x v="0"/>
    <x v="3"/>
  </r>
  <r>
    <x v="0"/>
    <x v="3"/>
    <x v="3"/>
    <x v="0"/>
    <x v="0"/>
    <x v="40"/>
    <x v="177"/>
    <n v="0"/>
    <x v="0"/>
    <x v="0"/>
    <x v="3"/>
  </r>
  <r>
    <x v="0"/>
    <x v="4"/>
    <x v="4"/>
    <x v="0"/>
    <x v="0"/>
    <x v="40"/>
    <x v="177"/>
    <n v="1152.31"/>
    <x v="0"/>
    <x v="0"/>
    <x v="3"/>
  </r>
  <r>
    <x v="0"/>
    <x v="0"/>
    <x v="0"/>
    <x v="0"/>
    <x v="0"/>
    <x v="41"/>
    <x v="178"/>
    <n v="0"/>
    <x v="0"/>
    <x v="0"/>
    <x v="3"/>
  </r>
  <r>
    <x v="0"/>
    <x v="1"/>
    <x v="1"/>
    <x v="0"/>
    <x v="0"/>
    <x v="41"/>
    <x v="178"/>
    <n v="0"/>
    <x v="0"/>
    <x v="0"/>
    <x v="3"/>
  </r>
  <r>
    <x v="0"/>
    <x v="2"/>
    <x v="2"/>
    <x v="0"/>
    <x v="0"/>
    <x v="41"/>
    <x v="178"/>
    <n v="1790.72"/>
    <x v="0"/>
    <x v="0"/>
    <x v="3"/>
  </r>
  <r>
    <x v="0"/>
    <x v="3"/>
    <x v="3"/>
    <x v="0"/>
    <x v="0"/>
    <x v="41"/>
    <x v="178"/>
    <n v="0"/>
    <x v="0"/>
    <x v="0"/>
    <x v="3"/>
  </r>
  <r>
    <x v="0"/>
    <x v="4"/>
    <x v="4"/>
    <x v="0"/>
    <x v="0"/>
    <x v="41"/>
    <x v="178"/>
    <n v="1790.72"/>
    <x v="0"/>
    <x v="0"/>
    <x v="3"/>
  </r>
  <r>
    <x v="0"/>
    <x v="0"/>
    <x v="0"/>
    <x v="0"/>
    <x v="0"/>
    <x v="42"/>
    <x v="179"/>
    <n v="0"/>
    <x v="0"/>
    <x v="0"/>
    <x v="3"/>
  </r>
  <r>
    <x v="0"/>
    <x v="1"/>
    <x v="1"/>
    <x v="0"/>
    <x v="0"/>
    <x v="42"/>
    <x v="179"/>
    <n v="0"/>
    <x v="0"/>
    <x v="0"/>
    <x v="3"/>
  </r>
  <r>
    <x v="0"/>
    <x v="2"/>
    <x v="2"/>
    <x v="0"/>
    <x v="0"/>
    <x v="42"/>
    <x v="179"/>
    <n v="3800.43"/>
    <x v="0"/>
    <x v="0"/>
    <x v="3"/>
  </r>
  <r>
    <x v="0"/>
    <x v="3"/>
    <x v="3"/>
    <x v="0"/>
    <x v="0"/>
    <x v="42"/>
    <x v="179"/>
    <n v="0"/>
    <x v="0"/>
    <x v="0"/>
    <x v="3"/>
  </r>
  <r>
    <x v="0"/>
    <x v="4"/>
    <x v="4"/>
    <x v="0"/>
    <x v="0"/>
    <x v="42"/>
    <x v="179"/>
    <n v="3800.43"/>
    <x v="0"/>
    <x v="0"/>
    <x v="3"/>
  </r>
  <r>
    <x v="0"/>
    <x v="0"/>
    <x v="0"/>
    <x v="0"/>
    <x v="0"/>
    <x v="43"/>
    <x v="180"/>
    <n v="0"/>
    <x v="0"/>
    <x v="0"/>
    <x v="3"/>
  </r>
  <r>
    <x v="0"/>
    <x v="1"/>
    <x v="1"/>
    <x v="0"/>
    <x v="0"/>
    <x v="43"/>
    <x v="180"/>
    <n v="0"/>
    <x v="0"/>
    <x v="0"/>
    <x v="3"/>
  </r>
  <r>
    <x v="0"/>
    <x v="2"/>
    <x v="2"/>
    <x v="0"/>
    <x v="0"/>
    <x v="43"/>
    <x v="180"/>
    <n v="10925.83"/>
    <x v="0"/>
    <x v="0"/>
    <x v="3"/>
  </r>
  <r>
    <x v="0"/>
    <x v="3"/>
    <x v="3"/>
    <x v="0"/>
    <x v="0"/>
    <x v="43"/>
    <x v="180"/>
    <n v="0"/>
    <x v="0"/>
    <x v="0"/>
    <x v="3"/>
  </r>
  <r>
    <x v="0"/>
    <x v="4"/>
    <x v="4"/>
    <x v="0"/>
    <x v="0"/>
    <x v="43"/>
    <x v="180"/>
    <n v="10925.83"/>
    <x v="0"/>
    <x v="0"/>
    <x v="3"/>
  </r>
  <r>
    <x v="0"/>
    <x v="0"/>
    <x v="0"/>
    <x v="0"/>
    <x v="0"/>
    <x v="86"/>
    <x v="181"/>
    <n v="0"/>
    <x v="0"/>
    <x v="0"/>
    <x v="2"/>
  </r>
  <r>
    <x v="0"/>
    <x v="1"/>
    <x v="1"/>
    <x v="0"/>
    <x v="0"/>
    <x v="86"/>
    <x v="181"/>
    <n v="0"/>
    <x v="0"/>
    <x v="0"/>
    <x v="2"/>
  </r>
  <r>
    <x v="0"/>
    <x v="2"/>
    <x v="2"/>
    <x v="0"/>
    <x v="0"/>
    <x v="86"/>
    <x v="181"/>
    <n v="0"/>
    <x v="0"/>
    <x v="0"/>
    <x v="2"/>
  </r>
  <r>
    <x v="0"/>
    <x v="3"/>
    <x v="3"/>
    <x v="0"/>
    <x v="0"/>
    <x v="86"/>
    <x v="181"/>
    <n v="0"/>
    <x v="0"/>
    <x v="0"/>
    <x v="2"/>
  </r>
  <r>
    <x v="0"/>
    <x v="4"/>
    <x v="4"/>
    <x v="0"/>
    <x v="0"/>
    <x v="86"/>
    <x v="181"/>
    <n v="0"/>
    <x v="0"/>
    <x v="0"/>
    <x v="2"/>
  </r>
  <r>
    <x v="0"/>
    <x v="0"/>
    <x v="0"/>
    <x v="0"/>
    <x v="0"/>
    <x v="39"/>
    <x v="182"/>
    <n v="0"/>
    <x v="0"/>
    <x v="0"/>
    <x v="3"/>
  </r>
  <r>
    <x v="0"/>
    <x v="1"/>
    <x v="1"/>
    <x v="0"/>
    <x v="0"/>
    <x v="39"/>
    <x v="182"/>
    <n v="0"/>
    <x v="0"/>
    <x v="0"/>
    <x v="3"/>
  </r>
  <r>
    <x v="0"/>
    <x v="2"/>
    <x v="2"/>
    <x v="0"/>
    <x v="0"/>
    <x v="39"/>
    <x v="182"/>
    <n v="0"/>
    <x v="0"/>
    <x v="0"/>
    <x v="3"/>
  </r>
  <r>
    <x v="0"/>
    <x v="3"/>
    <x v="3"/>
    <x v="0"/>
    <x v="0"/>
    <x v="39"/>
    <x v="182"/>
    <n v="0"/>
    <x v="0"/>
    <x v="0"/>
    <x v="3"/>
  </r>
  <r>
    <x v="0"/>
    <x v="4"/>
    <x v="4"/>
    <x v="0"/>
    <x v="0"/>
    <x v="39"/>
    <x v="182"/>
    <n v="0"/>
    <x v="0"/>
    <x v="0"/>
    <x v="3"/>
  </r>
  <r>
    <x v="0"/>
    <x v="0"/>
    <x v="0"/>
    <x v="0"/>
    <x v="0"/>
    <x v="40"/>
    <x v="183"/>
    <n v="0"/>
    <x v="0"/>
    <x v="0"/>
    <x v="3"/>
  </r>
  <r>
    <x v="0"/>
    <x v="1"/>
    <x v="1"/>
    <x v="0"/>
    <x v="0"/>
    <x v="40"/>
    <x v="183"/>
    <n v="0"/>
    <x v="0"/>
    <x v="0"/>
    <x v="3"/>
  </r>
  <r>
    <x v="0"/>
    <x v="2"/>
    <x v="2"/>
    <x v="0"/>
    <x v="0"/>
    <x v="40"/>
    <x v="183"/>
    <n v="0"/>
    <x v="0"/>
    <x v="0"/>
    <x v="3"/>
  </r>
  <r>
    <x v="0"/>
    <x v="3"/>
    <x v="3"/>
    <x v="0"/>
    <x v="0"/>
    <x v="40"/>
    <x v="183"/>
    <n v="0"/>
    <x v="0"/>
    <x v="0"/>
    <x v="3"/>
  </r>
  <r>
    <x v="0"/>
    <x v="4"/>
    <x v="4"/>
    <x v="0"/>
    <x v="0"/>
    <x v="40"/>
    <x v="183"/>
    <n v="0"/>
    <x v="0"/>
    <x v="0"/>
    <x v="3"/>
  </r>
  <r>
    <x v="0"/>
    <x v="0"/>
    <x v="0"/>
    <x v="0"/>
    <x v="0"/>
    <x v="41"/>
    <x v="184"/>
    <n v="0"/>
    <x v="0"/>
    <x v="0"/>
    <x v="3"/>
  </r>
  <r>
    <x v="0"/>
    <x v="1"/>
    <x v="1"/>
    <x v="0"/>
    <x v="0"/>
    <x v="41"/>
    <x v="184"/>
    <n v="0"/>
    <x v="0"/>
    <x v="0"/>
    <x v="3"/>
  </r>
  <r>
    <x v="0"/>
    <x v="2"/>
    <x v="2"/>
    <x v="0"/>
    <x v="0"/>
    <x v="41"/>
    <x v="184"/>
    <n v="0"/>
    <x v="0"/>
    <x v="0"/>
    <x v="3"/>
  </r>
  <r>
    <x v="0"/>
    <x v="3"/>
    <x v="3"/>
    <x v="0"/>
    <x v="0"/>
    <x v="41"/>
    <x v="184"/>
    <n v="0"/>
    <x v="0"/>
    <x v="0"/>
    <x v="3"/>
  </r>
  <r>
    <x v="0"/>
    <x v="4"/>
    <x v="4"/>
    <x v="0"/>
    <x v="0"/>
    <x v="41"/>
    <x v="184"/>
    <n v="0"/>
    <x v="0"/>
    <x v="0"/>
    <x v="3"/>
  </r>
  <r>
    <x v="0"/>
    <x v="0"/>
    <x v="0"/>
    <x v="0"/>
    <x v="0"/>
    <x v="42"/>
    <x v="185"/>
    <n v="0"/>
    <x v="0"/>
    <x v="0"/>
    <x v="3"/>
  </r>
  <r>
    <x v="0"/>
    <x v="1"/>
    <x v="1"/>
    <x v="0"/>
    <x v="0"/>
    <x v="42"/>
    <x v="185"/>
    <n v="0"/>
    <x v="0"/>
    <x v="0"/>
    <x v="3"/>
  </r>
  <r>
    <x v="0"/>
    <x v="2"/>
    <x v="2"/>
    <x v="0"/>
    <x v="0"/>
    <x v="42"/>
    <x v="185"/>
    <n v="0"/>
    <x v="0"/>
    <x v="0"/>
    <x v="3"/>
  </r>
  <r>
    <x v="0"/>
    <x v="3"/>
    <x v="3"/>
    <x v="0"/>
    <x v="0"/>
    <x v="42"/>
    <x v="185"/>
    <n v="0"/>
    <x v="0"/>
    <x v="0"/>
    <x v="3"/>
  </r>
  <r>
    <x v="0"/>
    <x v="4"/>
    <x v="4"/>
    <x v="0"/>
    <x v="0"/>
    <x v="42"/>
    <x v="185"/>
    <n v="0"/>
    <x v="0"/>
    <x v="0"/>
    <x v="3"/>
  </r>
  <r>
    <x v="0"/>
    <x v="0"/>
    <x v="0"/>
    <x v="0"/>
    <x v="0"/>
    <x v="43"/>
    <x v="186"/>
    <n v="0"/>
    <x v="0"/>
    <x v="0"/>
    <x v="3"/>
  </r>
  <r>
    <x v="0"/>
    <x v="1"/>
    <x v="1"/>
    <x v="0"/>
    <x v="0"/>
    <x v="43"/>
    <x v="186"/>
    <n v="0"/>
    <x v="0"/>
    <x v="0"/>
    <x v="3"/>
  </r>
  <r>
    <x v="0"/>
    <x v="2"/>
    <x v="2"/>
    <x v="0"/>
    <x v="0"/>
    <x v="43"/>
    <x v="186"/>
    <n v="0"/>
    <x v="0"/>
    <x v="0"/>
    <x v="3"/>
  </r>
  <r>
    <x v="0"/>
    <x v="3"/>
    <x v="3"/>
    <x v="0"/>
    <x v="0"/>
    <x v="43"/>
    <x v="186"/>
    <n v="0"/>
    <x v="0"/>
    <x v="0"/>
    <x v="3"/>
  </r>
  <r>
    <x v="0"/>
    <x v="4"/>
    <x v="4"/>
    <x v="0"/>
    <x v="0"/>
    <x v="43"/>
    <x v="186"/>
    <n v="0"/>
    <x v="0"/>
    <x v="0"/>
    <x v="3"/>
  </r>
  <r>
    <x v="0"/>
    <x v="0"/>
    <x v="0"/>
    <x v="0"/>
    <x v="0"/>
    <x v="87"/>
    <x v="187"/>
    <n v="0"/>
    <x v="0"/>
    <x v="0"/>
    <x v="2"/>
  </r>
  <r>
    <x v="0"/>
    <x v="1"/>
    <x v="1"/>
    <x v="0"/>
    <x v="0"/>
    <x v="87"/>
    <x v="187"/>
    <n v="0"/>
    <x v="0"/>
    <x v="0"/>
    <x v="2"/>
  </r>
  <r>
    <x v="0"/>
    <x v="2"/>
    <x v="2"/>
    <x v="0"/>
    <x v="0"/>
    <x v="87"/>
    <x v="187"/>
    <n v="0"/>
    <x v="0"/>
    <x v="0"/>
    <x v="2"/>
  </r>
  <r>
    <x v="0"/>
    <x v="3"/>
    <x v="3"/>
    <x v="0"/>
    <x v="0"/>
    <x v="87"/>
    <x v="187"/>
    <n v="0"/>
    <x v="0"/>
    <x v="0"/>
    <x v="2"/>
  </r>
  <r>
    <x v="0"/>
    <x v="4"/>
    <x v="4"/>
    <x v="0"/>
    <x v="0"/>
    <x v="87"/>
    <x v="187"/>
    <n v="0"/>
    <x v="0"/>
    <x v="0"/>
    <x v="2"/>
  </r>
  <r>
    <x v="0"/>
    <x v="0"/>
    <x v="0"/>
    <x v="0"/>
    <x v="0"/>
    <x v="39"/>
    <x v="188"/>
    <n v="0"/>
    <x v="0"/>
    <x v="0"/>
    <x v="3"/>
  </r>
  <r>
    <x v="0"/>
    <x v="1"/>
    <x v="1"/>
    <x v="0"/>
    <x v="0"/>
    <x v="39"/>
    <x v="188"/>
    <n v="0"/>
    <x v="0"/>
    <x v="0"/>
    <x v="3"/>
  </r>
  <r>
    <x v="0"/>
    <x v="2"/>
    <x v="2"/>
    <x v="0"/>
    <x v="0"/>
    <x v="39"/>
    <x v="188"/>
    <n v="0"/>
    <x v="0"/>
    <x v="0"/>
    <x v="3"/>
  </r>
  <r>
    <x v="0"/>
    <x v="3"/>
    <x v="3"/>
    <x v="0"/>
    <x v="0"/>
    <x v="39"/>
    <x v="188"/>
    <n v="0"/>
    <x v="0"/>
    <x v="0"/>
    <x v="3"/>
  </r>
  <r>
    <x v="0"/>
    <x v="4"/>
    <x v="4"/>
    <x v="0"/>
    <x v="0"/>
    <x v="39"/>
    <x v="188"/>
    <n v="0"/>
    <x v="0"/>
    <x v="0"/>
    <x v="3"/>
  </r>
  <r>
    <x v="0"/>
    <x v="0"/>
    <x v="0"/>
    <x v="0"/>
    <x v="0"/>
    <x v="40"/>
    <x v="189"/>
    <n v="0"/>
    <x v="0"/>
    <x v="0"/>
    <x v="3"/>
  </r>
  <r>
    <x v="0"/>
    <x v="1"/>
    <x v="1"/>
    <x v="0"/>
    <x v="0"/>
    <x v="40"/>
    <x v="189"/>
    <n v="0"/>
    <x v="0"/>
    <x v="0"/>
    <x v="3"/>
  </r>
  <r>
    <x v="0"/>
    <x v="2"/>
    <x v="2"/>
    <x v="0"/>
    <x v="0"/>
    <x v="40"/>
    <x v="189"/>
    <n v="0"/>
    <x v="0"/>
    <x v="0"/>
    <x v="3"/>
  </r>
  <r>
    <x v="0"/>
    <x v="3"/>
    <x v="3"/>
    <x v="0"/>
    <x v="0"/>
    <x v="40"/>
    <x v="189"/>
    <n v="0"/>
    <x v="0"/>
    <x v="0"/>
    <x v="3"/>
  </r>
  <r>
    <x v="0"/>
    <x v="4"/>
    <x v="4"/>
    <x v="0"/>
    <x v="0"/>
    <x v="40"/>
    <x v="189"/>
    <n v="0"/>
    <x v="0"/>
    <x v="0"/>
    <x v="3"/>
  </r>
  <r>
    <x v="0"/>
    <x v="0"/>
    <x v="0"/>
    <x v="0"/>
    <x v="0"/>
    <x v="41"/>
    <x v="190"/>
    <n v="0"/>
    <x v="0"/>
    <x v="0"/>
    <x v="3"/>
  </r>
  <r>
    <x v="0"/>
    <x v="1"/>
    <x v="1"/>
    <x v="0"/>
    <x v="0"/>
    <x v="41"/>
    <x v="190"/>
    <n v="0"/>
    <x v="0"/>
    <x v="0"/>
    <x v="3"/>
  </r>
  <r>
    <x v="0"/>
    <x v="2"/>
    <x v="2"/>
    <x v="0"/>
    <x v="0"/>
    <x v="41"/>
    <x v="190"/>
    <n v="0"/>
    <x v="0"/>
    <x v="0"/>
    <x v="3"/>
  </r>
  <r>
    <x v="0"/>
    <x v="3"/>
    <x v="3"/>
    <x v="0"/>
    <x v="0"/>
    <x v="41"/>
    <x v="190"/>
    <n v="0"/>
    <x v="0"/>
    <x v="0"/>
    <x v="3"/>
  </r>
  <r>
    <x v="0"/>
    <x v="4"/>
    <x v="4"/>
    <x v="0"/>
    <x v="0"/>
    <x v="41"/>
    <x v="190"/>
    <n v="0"/>
    <x v="0"/>
    <x v="0"/>
    <x v="3"/>
  </r>
  <r>
    <x v="0"/>
    <x v="0"/>
    <x v="0"/>
    <x v="0"/>
    <x v="0"/>
    <x v="42"/>
    <x v="191"/>
    <n v="0"/>
    <x v="0"/>
    <x v="0"/>
    <x v="3"/>
  </r>
  <r>
    <x v="0"/>
    <x v="1"/>
    <x v="1"/>
    <x v="0"/>
    <x v="0"/>
    <x v="42"/>
    <x v="191"/>
    <n v="0"/>
    <x v="0"/>
    <x v="0"/>
    <x v="3"/>
  </r>
  <r>
    <x v="0"/>
    <x v="2"/>
    <x v="2"/>
    <x v="0"/>
    <x v="0"/>
    <x v="42"/>
    <x v="191"/>
    <n v="0"/>
    <x v="0"/>
    <x v="0"/>
    <x v="3"/>
  </r>
  <r>
    <x v="0"/>
    <x v="3"/>
    <x v="3"/>
    <x v="0"/>
    <x v="0"/>
    <x v="42"/>
    <x v="191"/>
    <n v="0"/>
    <x v="0"/>
    <x v="0"/>
    <x v="3"/>
  </r>
  <r>
    <x v="0"/>
    <x v="4"/>
    <x v="4"/>
    <x v="0"/>
    <x v="0"/>
    <x v="42"/>
    <x v="191"/>
    <n v="0"/>
    <x v="0"/>
    <x v="0"/>
    <x v="3"/>
  </r>
  <r>
    <x v="0"/>
    <x v="0"/>
    <x v="0"/>
    <x v="0"/>
    <x v="0"/>
    <x v="43"/>
    <x v="192"/>
    <n v="0"/>
    <x v="0"/>
    <x v="0"/>
    <x v="3"/>
  </r>
  <r>
    <x v="0"/>
    <x v="1"/>
    <x v="1"/>
    <x v="0"/>
    <x v="0"/>
    <x v="43"/>
    <x v="192"/>
    <n v="0"/>
    <x v="0"/>
    <x v="0"/>
    <x v="3"/>
  </r>
  <r>
    <x v="0"/>
    <x v="2"/>
    <x v="2"/>
    <x v="0"/>
    <x v="0"/>
    <x v="43"/>
    <x v="192"/>
    <n v="0"/>
    <x v="0"/>
    <x v="0"/>
    <x v="3"/>
  </r>
  <r>
    <x v="0"/>
    <x v="3"/>
    <x v="3"/>
    <x v="0"/>
    <x v="0"/>
    <x v="43"/>
    <x v="192"/>
    <n v="0"/>
    <x v="0"/>
    <x v="0"/>
    <x v="3"/>
  </r>
  <r>
    <x v="0"/>
    <x v="4"/>
    <x v="4"/>
    <x v="0"/>
    <x v="0"/>
    <x v="43"/>
    <x v="192"/>
    <n v="0"/>
    <x v="0"/>
    <x v="0"/>
    <x v="3"/>
  </r>
  <r>
    <x v="0"/>
    <x v="0"/>
    <x v="0"/>
    <x v="0"/>
    <x v="0"/>
    <x v="88"/>
    <x v="193"/>
    <n v="0"/>
    <x v="0"/>
    <x v="0"/>
    <x v="2"/>
  </r>
  <r>
    <x v="0"/>
    <x v="1"/>
    <x v="1"/>
    <x v="0"/>
    <x v="0"/>
    <x v="88"/>
    <x v="193"/>
    <n v="9785.43"/>
    <x v="0"/>
    <x v="0"/>
    <x v="2"/>
  </r>
  <r>
    <x v="0"/>
    <x v="2"/>
    <x v="2"/>
    <x v="0"/>
    <x v="0"/>
    <x v="88"/>
    <x v="193"/>
    <n v="390314.01"/>
    <x v="0"/>
    <x v="0"/>
    <x v="2"/>
  </r>
  <r>
    <x v="0"/>
    <x v="3"/>
    <x v="3"/>
    <x v="0"/>
    <x v="0"/>
    <x v="88"/>
    <x v="193"/>
    <n v="0"/>
    <x v="0"/>
    <x v="0"/>
    <x v="2"/>
  </r>
  <r>
    <x v="0"/>
    <x v="4"/>
    <x v="4"/>
    <x v="0"/>
    <x v="0"/>
    <x v="88"/>
    <x v="193"/>
    <n v="400099.44"/>
    <x v="0"/>
    <x v="0"/>
    <x v="2"/>
  </r>
  <r>
    <x v="0"/>
    <x v="0"/>
    <x v="0"/>
    <x v="0"/>
    <x v="0"/>
    <x v="39"/>
    <x v="194"/>
    <n v="0"/>
    <x v="0"/>
    <x v="0"/>
    <x v="3"/>
  </r>
  <r>
    <x v="0"/>
    <x v="1"/>
    <x v="1"/>
    <x v="0"/>
    <x v="0"/>
    <x v="39"/>
    <x v="194"/>
    <n v="196.64"/>
    <x v="0"/>
    <x v="0"/>
    <x v="3"/>
  </r>
  <r>
    <x v="0"/>
    <x v="2"/>
    <x v="2"/>
    <x v="0"/>
    <x v="0"/>
    <x v="39"/>
    <x v="194"/>
    <n v="57828.29"/>
    <x v="0"/>
    <x v="0"/>
    <x v="3"/>
  </r>
  <r>
    <x v="0"/>
    <x v="3"/>
    <x v="3"/>
    <x v="0"/>
    <x v="0"/>
    <x v="39"/>
    <x v="194"/>
    <n v="0"/>
    <x v="0"/>
    <x v="0"/>
    <x v="3"/>
  </r>
  <r>
    <x v="0"/>
    <x v="4"/>
    <x v="4"/>
    <x v="0"/>
    <x v="0"/>
    <x v="39"/>
    <x v="194"/>
    <n v="58024.93"/>
    <x v="0"/>
    <x v="0"/>
    <x v="3"/>
  </r>
  <r>
    <x v="0"/>
    <x v="0"/>
    <x v="0"/>
    <x v="0"/>
    <x v="0"/>
    <x v="40"/>
    <x v="195"/>
    <n v="0"/>
    <x v="0"/>
    <x v="0"/>
    <x v="3"/>
  </r>
  <r>
    <x v="0"/>
    <x v="1"/>
    <x v="1"/>
    <x v="0"/>
    <x v="0"/>
    <x v="40"/>
    <x v="195"/>
    <n v="400.79"/>
    <x v="0"/>
    <x v="0"/>
    <x v="3"/>
  </r>
  <r>
    <x v="0"/>
    <x v="2"/>
    <x v="2"/>
    <x v="0"/>
    <x v="0"/>
    <x v="40"/>
    <x v="195"/>
    <n v="46499.8"/>
    <x v="0"/>
    <x v="0"/>
    <x v="3"/>
  </r>
  <r>
    <x v="0"/>
    <x v="3"/>
    <x v="3"/>
    <x v="0"/>
    <x v="0"/>
    <x v="40"/>
    <x v="195"/>
    <n v="0"/>
    <x v="0"/>
    <x v="0"/>
    <x v="3"/>
  </r>
  <r>
    <x v="0"/>
    <x v="4"/>
    <x v="4"/>
    <x v="0"/>
    <x v="0"/>
    <x v="40"/>
    <x v="195"/>
    <n v="46900.59"/>
    <x v="0"/>
    <x v="0"/>
    <x v="3"/>
  </r>
  <r>
    <x v="0"/>
    <x v="0"/>
    <x v="0"/>
    <x v="0"/>
    <x v="0"/>
    <x v="41"/>
    <x v="196"/>
    <n v="0"/>
    <x v="0"/>
    <x v="0"/>
    <x v="3"/>
  </r>
  <r>
    <x v="0"/>
    <x v="1"/>
    <x v="1"/>
    <x v="0"/>
    <x v="0"/>
    <x v="41"/>
    <x v="196"/>
    <n v="620.42999999999995"/>
    <x v="0"/>
    <x v="0"/>
    <x v="3"/>
  </r>
  <r>
    <x v="0"/>
    <x v="2"/>
    <x v="2"/>
    <x v="0"/>
    <x v="0"/>
    <x v="41"/>
    <x v="196"/>
    <n v="61819.8"/>
    <x v="0"/>
    <x v="0"/>
    <x v="3"/>
  </r>
  <r>
    <x v="0"/>
    <x v="3"/>
    <x v="3"/>
    <x v="0"/>
    <x v="0"/>
    <x v="41"/>
    <x v="196"/>
    <n v="0"/>
    <x v="0"/>
    <x v="0"/>
    <x v="3"/>
  </r>
  <r>
    <x v="0"/>
    <x v="4"/>
    <x v="4"/>
    <x v="0"/>
    <x v="0"/>
    <x v="41"/>
    <x v="196"/>
    <n v="62440.23"/>
    <x v="0"/>
    <x v="0"/>
    <x v="3"/>
  </r>
  <r>
    <x v="0"/>
    <x v="0"/>
    <x v="0"/>
    <x v="0"/>
    <x v="0"/>
    <x v="42"/>
    <x v="197"/>
    <n v="0"/>
    <x v="0"/>
    <x v="0"/>
    <x v="3"/>
  </r>
  <r>
    <x v="0"/>
    <x v="1"/>
    <x v="1"/>
    <x v="0"/>
    <x v="0"/>
    <x v="42"/>
    <x v="197"/>
    <n v="1313.38"/>
    <x v="0"/>
    <x v="0"/>
    <x v="3"/>
  </r>
  <r>
    <x v="0"/>
    <x v="2"/>
    <x v="2"/>
    <x v="0"/>
    <x v="0"/>
    <x v="42"/>
    <x v="197"/>
    <n v="89244.15"/>
    <x v="0"/>
    <x v="0"/>
    <x v="3"/>
  </r>
  <r>
    <x v="0"/>
    <x v="3"/>
    <x v="3"/>
    <x v="0"/>
    <x v="0"/>
    <x v="42"/>
    <x v="197"/>
    <n v="0"/>
    <x v="0"/>
    <x v="0"/>
    <x v="3"/>
  </r>
  <r>
    <x v="0"/>
    <x v="4"/>
    <x v="4"/>
    <x v="0"/>
    <x v="0"/>
    <x v="42"/>
    <x v="197"/>
    <n v="90557.53"/>
    <x v="0"/>
    <x v="0"/>
    <x v="3"/>
  </r>
  <r>
    <x v="0"/>
    <x v="0"/>
    <x v="0"/>
    <x v="0"/>
    <x v="0"/>
    <x v="43"/>
    <x v="198"/>
    <n v="0"/>
    <x v="0"/>
    <x v="0"/>
    <x v="3"/>
  </r>
  <r>
    <x v="0"/>
    <x v="1"/>
    <x v="1"/>
    <x v="0"/>
    <x v="0"/>
    <x v="43"/>
    <x v="198"/>
    <n v="7254.19"/>
    <x v="0"/>
    <x v="0"/>
    <x v="3"/>
  </r>
  <r>
    <x v="0"/>
    <x v="2"/>
    <x v="2"/>
    <x v="0"/>
    <x v="0"/>
    <x v="43"/>
    <x v="198"/>
    <n v="134921.97"/>
    <x v="0"/>
    <x v="0"/>
    <x v="3"/>
  </r>
  <r>
    <x v="0"/>
    <x v="3"/>
    <x v="3"/>
    <x v="0"/>
    <x v="0"/>
    <x v="43"/>
    <x v="198"/>
    <n v="0"/>
    <x v="0"/>
    <x v="0"/>
    <x v="3"/>
  </r>
  <r>
    <x v="0"/>
    <x v="4"/>
    <x v="4"/>
    <x v="0"/>
    <x v="0"/>
    <x v="43"/>
    <x v="198"/>
    <n v="142176.16"/>
    <x v="0"/>
    <x v="0"/>
    <x v="3"/>
  </r>
  <r>
    <x v="0"/>
    <x v="0"/>
    <x v="0"/>
    <x v="0"/>
    <x v="0"/>
    <x v="89"/>
    <x v="199"/>
    <n v="0"/>
    <x v="0"/>
    <x v="0"/>
    <x v="2"/>
  </r>
  <r>
    <x v="0"/>
    <x v="1"/>
    <x v="1"/>
    <x v="0"/>
    <x v="0"/>
    <x v="89"/>
    <x v="199"/>
    <n v="0"/>
    <x v="0"/>
    <x v="0"/>
    <x v="2"/>
  </r>
  <r>
    <x v="0"/>
    <x v="2"/>
    <x v="2"/>
    <x v="0"/>
    <x v="0"/>
    <x v="89"/>
    <x v="199"/>
    <n v="0"/>
    <x v="0"/>
    <x v="0"/>
    <x v="2"/>
  </r>
  <r>
    <x v="0"/>
    <x v="3"/>
    <x v="3"/>
    <x v="0"/>
    <x v="0"/>
    <x v="89"/>
    <x v="199"/>
    <n v="0"/>
    <x v="0"/>
    <x v="0"/>
    <x v="2"/>
  </r>
  <r>
    <x v="0"/>
    <x v="4"/>
    <x v="4"/>
    <x v="0"/>
    <x v="0"/>
    <x v="89"/>
    <x v="199"/>
    <n v="0"/>
    <x v="0"/>
    <x v="0"/>
    <x v="2"/>
  </r>
  <r>
    <x v="0"/>
    <x v="0"/>
    <x v="0"/>
    <x v="0"/>
    <x v="0"/>
    <x v="39"/>
    <x v="200"/>
    <n v="0"/>
    <x v="0"/>
    <x v="0"/>
    <x v="3"/>
  </r>
  <r>
    <x v="0"/>
    <x v="1"/>
    <x v="1"/>
    <x v="0"/>
    <x v="0"/>
    <x v="39"/>
    <x v="200"/>
    <n v="0"/>
    <x v="0"/>
    <x v="0"/>
    <x v="3"/>
  </r>
  <r>
    <x v="0"/>
    <x v="2"/>
    <x v="2"/>
    <x v="0"/>
    <x v="0"/>
    <x v="39"/>
    <x v="200"/>
    <n v="0"/>
    <x v="0"/>
    <x v="0"/>
    <x v="3"/>
  </r>
  <r>
    <x v="0"/>
    <x v="3"/>
    <x v="3"/>
    <x v="0"/>
    <x v="0"/>
    <x v="39"/>
    <x v="200"/>
    <n v="0"/>
    <x v="0"/>
    <x v="0"/>
    <x v="3"/>
  </r>
  <r>
    <x v="0"/>
    <x v="4"/>
    <x v="4"/>
    <x v="0"/>
    <x v="0"/>
    <x v="39"/>
    <x v="200"/>
    <n v="0"/>
    <x v="0"/>
    <x v="0"/>
    <x v="3"/>
  </r>
  <r>
    <x v="0"/>
    <x v="0"/>
    <x v="0"/>
    <x v="0"/>
    <x v="0"/>
    <x v="40"/>
    <x v="201"/>
    <n v="0"/>
    <x v="0"/>
    <x v="0"/>
    <x v="3"/>
  </r>
  <r>
    <x v="0"/>
    <x v="1"/>
    <x v="1"/>
    <x v="0"/>
    <x v="0"/>
    <x v="40"/>
    <x v="201"/>
    <n v="0"/>
    <x v="0"/>
    <x v="0"/>
    <x v="3"/>
  </r>
  <r>
    <x v="0"/>
    <x v="2"/>
    <x v="2"/>
    <x v="0"/>
    <x v="0"/>
    <x v="40"/>
    <x v="201"/>
    <n v="0"/>
    <x v="0"/>
    <x v="0"/>
    <x v="3"/>
  </r>
  <r>
    <x v="0"/>
    <x v="3"/>
    <x v="3"/>
    <x v="0"/>
    <x v="0"/>
    <x v="40"/>
    <x v="201"/>
    <n v="0"/>
    <x v="0"/>
    <x v="0"/>
    <x v="3"/>
  </r>
  <r>
    <x v="0"/>
    <x v="4"/>
    <x v="4"/>
    <x v="0"/>
    <x v="0"/>
    <x v="40"/>
    <x v="201"/>
    <n v="0"/>
    <x v="0"/>
    <x v="0"/>
    <x v="3"/>
  </r>
  <r>
    <x v="0"/>
    <x v="0"/>
    <x v="0"/>
    <x v="0"/>
    <x v="0"/>
    <x v="41"/>
    <x v="202"/>
    <n v="0"/>
    <x v="0"/>
    <x v="0"/>
    <x v="3"/>
  </r>
  <r>
    <x v="0"/>
    <x v="1"/>
    <x v="1"/>
    <x v="0"/>
    <x v="0"/>
    <x v="41"/>
    <x v="202"/>
    <n v="0"/>
    <x v="0"/>
    <x v="0"/>
    <x v="3"/>
  </r>
  <r>
    <x v="0"/>
    <x v="2"/>
    <x v="2"/>
    <x v="0"/>
    <x v="0"/>
    <x v="41"/>
    <x v="202"/>
    <n v="0"/>
    <x v="0"/>
    <x v="0"/>
    <x v="3"/>
  </r>
  <r>
    <x v="0"/>
    <x v="3"/>
    <x v="3"/>
    <x v="0"/>
    <x v="0"/>
    <x v="41"/>
    <x v="202"/>
    <n v="0"/>
    <x v="0"/>
    <x v="0"/>
    <x v="3"/>
  </r>
  <r>
    <x v="0"/>
    <x v="4"/>
    <x v="4"/>
    <x v="0"/>
    <x v="0"/>
    <x v="41"/>
    <x v="202"/>
    <n v="0"/>
    <x v="0"/>
    <x v="0"/>
    <x v="3"/>
  </r>
  <r>
    <x v="0"/>
    <x v="0"/>
    <x v="0"/>
    <x v="0"/>
    <x v="0"/>
    <x v="42"/>
    <x v="203"/>
    <n v="0"/>
    <x v="0"/>
    <x v="0"/>
    <x v="3"/>
  </r>
  <r>
    <x v="0"/>
    <x v="1"/>
    <x v="1"/>
    <x v="0"/>
    <x v="0"/>
    <x v="42"/>
    <x v="203"/>
    <n v="0"/>
    <x v="0"/>
    <x v="0"/>
    <x v="3"/>
  </r>
  <r>
    <x v="0"/>
    <x v="2"/>
    <x v="2"/>
    <x v="0"/>
    <x v="0"/>
    <x v="42"/>
    <x v="203"/>
    <n v="0"/>
    <x v="0"/>
    <x v="0"/>
    <x v="3"/>
  </r>
  <r>
    <x v="0"/>
    <x v="3"/>
    <x v="3"/>
    <x v="0"/>
    <x v="0"/>
    <x v="42"/>
    <x v="203"/>
    <n v="0"/>
    <x v="0"/>
    <x v="0"/>
    <x v="3"/>
  </r>
  <r>
    <x v="0"/>
    <x v="4"/>
    <x v="4"/>
    <x v="0"/>
    <x v="0"/>
    <x v="42"/>
    <x v="203"/>
    <n v="0"/>
    <x v="0"/>
    <x v="0"/>
    <x v="3"/>
  </r>
  <r>
    <x v="0"/>
    <x v="0"/>
    <x v="0"/>
    <x v="0"/>
    <x v="0"/>
    <x v="43"/>
    <x v="204"/>
    <n v="0"/>
    <x v="0"/>
    <x v="0"/>
    <x v="3"/>
  </r>
  <r>
    <x v="0"/>
    <x v="1"/>
    <x v="1"/>
    <x v="0"/>
    <x v="0"/>
    <x v="43"/>
    <x v="204"/>
    <n v="0"/>
    <x v="0"/>
    <x v="0"/>
    <x v="3"/>
  </r>
  <r>
    <x v="0"/>
    <x v="2"/>
    <x v="2"/>
    <x v="0"/>
    <x v="0"/>
    <x v="43"/>
    <x v="204"/>
    <n v="0"/>
    <x v="0"/>
    <x v="0"/>
    <x v="3"/>
  </r>
  <r>
    <x v="0"/>
    <x v="3"/>
    <x v="3"/>
    <x v="0"/>
    <x v="0"/>
    <x v="43"/>
    <x v="204"/>
    <n v="0"/>
    <x v="0"/>
    <x v="0"/>
    <x v="3"/>
  </r>
  <r>
    <x v="0"/>
    <x v="4"/>
    <x v="4"/>
    <x v="0"/>
    <x v="0"/>
    <x v="43"/>
    <x v="204"/>
    <n v="0"/>
    <x v="0"/>
    <x v="0"/>
    <x v="3"/>
  </r>
  <r>
    <x v="0"/>
    <x v="0"/>
    <x v="0"/>
    <x v="0"/>
    <x v="0"/>
    <x v="90"/>
    <x v="205"/>
    <n v="0"/>
    <x v="0"/>
    <x v="0"/>
    <x v="2"/>
  </r>
  <r>
    <x v="0"/>
    <x v="1"/>
    <x v="1"/>
    <x v="0"/>
    <x v="0"/>
    <x v="90"/>
    <x v="205"/>
    <n v="1423.65"/>
    <x v="0"/>
    <x v="0"/>
    <x v="2"/>
  </r>
  <r>
    <x v="0"/>
    <x v="2"/>
    <x v="2"/>
    <x v="0"/>
    <x v="0"/>
    <x v="90"/>
    <x v="205"/>
    <n v="0"/>
    <x v="0"/>
    <x v="0"/>
    <x v="2"/>
  </r>
  <r>
    <x v="0"/>
    <x v="3"/>
    <x v="3"/>
    <x v="0"/>
    <x v="0"/>
    <x v="90"/>
    <x v="205"/>
    <n v="0"/>
    <x v="0"/>
    <x v="0"/>
    <x v="2"/>
  </r>
  <r>
    <x v="0"/>
    <x v="4"/>
    <x v="4"/>
    <x v="0"/>
    <x v="0"/>
    <x v="90"/>
    <x v="205"/>
    <n v="1423.65"/>
    <x v="0"/>
    <x v="0"/>
    <x v="2"/>
  </r>
  <r>
    <x v="0"/>
    <x v="0"/>
    <x v="0"/>
    <x v="0"/>
    <x v="0"/>
    <x v="39"/>
    <x v="206"/>
    <n v="0"/>
    <x v="0"/>
    <x v="0"/>
    <x v="3"/>
  </r>
  <r>
    <x v="0"/>
    <x v="1"/>
    <x v="1"/>
    <x v="0"/>
    <x v="0"/>
    <x v="39"/>
    <x v="206"/>
    <n v="31.56"/>
    <x v="0"/>
    <x v="0"/>
    <x v="3"/>
  </r>
  <r>
    <x v="0"/>
    <x v="2"/>
    <x v="2"/>
    <x v="0"/>
    <x v="0"/>
    <x v="39"/>
    <x v="206"/>
    <n v="0"/>
    <x v="0"/>
    <x v="0"/>
    <x v="3"/>
  </r>
  <r>
    <x v="0"/>
    <x v="3"/>
    <x v="3"/>
    <x v="0"/>
    <x v="0"/>
    <x v="39"/>
    <x v="206"/>
    <n v="0"/>
    <x v="0"/>
    <x v="0"/>
    <x v="3"/>
  </r>
  <r>
    <x v="0"/>
    <x v="4"/>
    <x v="4"/>
    <x v="0"/>
    <x v="0"/>
    <x v="39"/>
    <x v="206"/>
    <n v="31.56"/>
    <x v="0"/>
    <x v="0"/>
    <x v="3"/>
  </r>
  <r>
    <x v="0"/>
    <x v="0"/>
    <x v="0"/>
    <x v="0"/>
    <x v="0"/>
    <x v="40"/>
    <x v="207"/>
    <n v="0"/>
    <x v="0"/>
    <x v="0"/>
    <x v="3"/>
  </r>
  <r>
    <x v="0"/>
    <x v="1"/>
    <x v="1"/>
    <x v="0"/>
    <x v="0"/>
    <x v="40"/>
    <x v="207"/>
    <n v="64.900000000000006"/>
    <x v="0"/>
    <x v="0"/>
    <x v="3"/>
  </r>
  <r>
    <x v="0"/>
    <x v="2"/>
    <x v="2"/>
    <x v="0"/>
    <x v="0"/>
    <x v="40"/>
    <x v="207"/>
    <n v="0"/>
    <x v="0"/>
    <x v="0"/>
    <x v="3"/>
  </r>
  <r>
    <x v="0"/>
    <x v="3"/>
    <x v="3"/>
    <x v="0"/>
    <x v="0"/>
    <x v="40"/>
    <x v="207"/>
    <n v="0"/>
    <x v="0"/>
    <x v="0"/>
    <x v="3"/>
  </r>
  <r>
    <x v="0"/>
    <x v="4"/>
    <x v="4"/>
    <x v="0"/>
    <x v="0"/>
    <x v="40"/>
    <x v="207"/>
    <n v="64.900000000000006"/>
    <x v="0"/>
    <x v="0"/>
    <x v="3"/>
  </r>
  <r>
    <x v="0"/>
    <x v="0"/>
    <x v="0"/>
    <x v="0"/>
    <x v="0"/>
    <x v="41"/>
    <x v="208"/>
    <n v="0"/>
    <x v="0"/>
    <x v="0"/>
    <x v="3"/>
  </r>
  <r>
    <x v="0"/>
    <x v="1"/>
    <x v="1"/>
    <x v="0"/>
    <x v="0"/>
    <x v="41"/>
    <x v="208"/>
    <n v="101.99"/>
    <x v="0"/>
    <x v="0"/>
    <x v="3"/>
  </r>
  <r>
    <x v="0"/>
    <x v="2"/>
    <x v="2"/>
    <x v="0"/>
    <x v="0"/>
    <x v="41"/>
    <x v="208"/>
    <n v="0"/>
    <x v="0"/>
    <x v="0"/>
    <x v="3"/>
  </r>
  <r>
    <x v="0"/>
    <x v="3"/>
    <x v="3"/>
    <x v="0"/>
    <x v="0"/>
    <x v="41"/>
    <x v="208"/>
    <n v="0"/>
    <x v="0"/>
    <x v="0"/>
    <x v="3"/>
  </r>
  <r>
    <x v="0"/>
    <x v="4"/>
    <x v="4"/>
    <x v="0"/>
    <x v="0"/>
    <x v="41"/>
    <x v="208"/>
    <n v="101.99"/>
    <x v="0"/>
    <x v="0"/>
    <x v="3"/>
  </r>
  <r>
    <x v="0"/>
    <x v="0"/>
    <x v="0"/>
    <x v="0"/>
    <x v="0"/>
    <x v="42"/>
    <x v="209"/>
    <n v="0"/>
    <x v="0"/>
    <x v="0"/>
    <x v="3"/>
  </r>
  <r>
    <x v="0"/>
    <x v="1"/>
    <x v="1"/>
    <x v="0"/>
    <x v="0"/>
    <x v="42"/>
    <x v="209"/>
    <n v="183.13"/>
    <x v="0"/>
    <x v="0"/>
    <x v="3"/>
  </r>
  <r>
    <x v="0"/>
    <x v="2"/>
    <x v="2"/>
    <x v="0"/>
    <x v="0"/>
    <x v="42"/>
    <x v="209"/>
    <n v="0"/>
    <x v="0"/>
    <x v="0"/>
    <x v="3"/>
  </r>
  <r>
    <x v="0"/>
    <x v="3"/>
    <x v="3"/>
    <x v="0"/>
    <x v="0"/>
    <x v="42"/>
    <x v="209"/>
    <n v="0"/>
    <x v="0"/>
    <x v="0"/>
    <x v="3"/>
  </r>
  <r>
    <x v="0"/>
    <x v="4"/>
    <x v="4"/>
    <x v="0"/>
    <x v="0"/>
    <x v="42"/>
    <x v="209"/>
    <n v="183.13"/>
    <x v="0"/>
    <x v="0"/>
    <x v="3"/>
  </r>
  <r>
    <x v="0"/>
    <x v="0"/>
    <x v="0"/>
    <x v="0"/>
    <x v="0"/>
    <x v="43"/>
    <x v="210"/>
    <n v="0"/>
    <x v="0"/>
    <x v="0"/>
    <x v="3"/>
  </r>
  <r>
    <x v="0"/>
    <x v="1"/>
    <x v="1"/>
    <x v="0"/>
    <x v="0"/>
    <x v="43"/>
    <x v="210"/>
    <n v="1042.07"/>
    <x v="0"/>
    <x v="0"/>
    <x v="3"/>
  </r>
  <r>
    <x v="0"/>
    <x v="2"/>
    <x v="2"/>
    <x v="0"/>
    <x v="0"/>
    <x v="43"/>
    <x v="210"/>
    <n v="0"/>
    <x v="0"/>
    <x v="0"/>
    <x v="3"/>
  </r>
  <r>
    <x v="0"/>
    <x v="3"/>
    <x v="3"/>
    <x v="0"/>
    <x v="0"/>
    <x v="43"/>
    <x v="210"/>
    <n v="0"/>
    <x v="0"/>
    <x v="0"/>
    <x v="3"/>
  </r>
  <r>
    <x v="0"/>
    <x v="4"/>
    <x v="4"/>
    <x v="0"/>
    <x v="0"/>
    <x v="43"/>
    <x v="210"/>
    <n v="1042.07"/>
    <x v="0"/>
    <x v="0"/>
    <x v="3"/>
  </r>
  <r>
    <x v="0"/>
    <x v="0"/>
    <x v="0"/>
    <x v="0"/>
    <x v="0"/>
    <x v="91"/>
    <x v="211"/>
    <n v="0"/>
    <x v="0"/>
    <x v="0"/>
    <x v="2"/>
  </r>
  <r>
    <x v="0"/>
    <x v="1"/>
    <x v="1"/>
    <x v="0"/>
    <x v="0"/>
    <x v="91"/>
    <x v="211"/>
    <n v="0"/>
    <x v="0"/>
    <x v="0"/>
    <x v="2"/>
  </r>
  <r>
    <x v="0"/>
    <x v="2"/>
    <x v="2"/>
    <x v="0"/>
    <x v="0"/>
    <x v="91"/>
    <x v="211"/>
    <n v="0"/>
    <x v="0"/>
    <x v="0"/>
    <x v="2"/>
  </r>
  <r>
    <x v="0"/>
    <x v="3"/>
    <x v="3"/>
    <x v="0"/>
    <x v="0"/>
    <x v="91"/>
    <x v="211"/>
    <n v="0"/>
    <x v="0"/>
    <x v="0"/>
    <x v="2"/>
  </r>
  <r>
    <x v="0"/>
    <x v="4"/>
    <x v="4"/>
    <x v="0"/>
    <x v="0"/>
    <x v="91"/>
    <x v="211"/>
    <n v="0"/>
    <x v="0"/>
    <x v="0"/>
    <x v="2"/>
  </r>
  <r>
    <x v="0"/>
    <x v="0"/>
    <x v="0"/>
    <x v="0"/>
    <x v="0"/>
    <x v="39"/>
    <x v="212"/>
    <n v="0"/>
    <x v="0"/>
    <x v="0"/>
    <x v="3"/>
  </r>
  <r>
    <x v="0"/>
    <x v="1"/>
    <x v="1"/>
    <x v="0"/>
    <x v="0"/>
    <x v="39"/>
    <x v="212"/>
    <n v="0"/>
    <x v="0"/>
    <x v="0"/>
    <x v="3"/>
  </r>
  <r>
    <x v="0"/>
    <x v="2"/>
    <x v="2"/>
    <x v="0"/>
    <x v="0"/>
    <x v="39"/>
    <x v="212"/>
    <n v="0"/>
    <x v="0"/>
    <x v="0"/>
    <x v="3"/>
  </r>
  <r>
    <x v="0"/>
    <x v="3"/>
    <x v="3"/>
    <x v="0"/>
    <x v="0"/>
    <x v="39"/>
    <x v="212"/>
    <n v="0"/>
    <x v="0"/>
    <x v="0"/>
    <x v="3"/>
  </r>
  <r>
    <x v="0"/>
    <x v="4"/>
    <x v="4"/>
    <x v="0"/>
    <x v="0"/>
    <x v="39"/>
    <x v="212"/>
    <n v="0"/>
    <x v="0"/>
    <x v="0"/>
    <x v="3"/>
  </r>
  <r>
    <x v="0"/>
    <x v="0"/>
    <x v="0"/>
    <x v="0"/>
    <x v="0"/>
    <x v="40"/>
    <x v="213"/>
    <n v="0"/>
    <x v="0"/>
    <x v="0"/>
    <x v="3"/>
  </r>
  <r>
    <x v="0"/>
    <x v="1"/>
    <x v="1"/>
    <x v="0"/>
    <x v="0"/>
    <x v="40"/>
    <x v="213"/>
    <n v="0"/>
    <x v="0"/>
    <x v="0"/>
    <x v="3"/>
  </r>
  <r>
    <x v="0"/>
    <x v="2"/>
    <x v="2"/>
    <x v="0"/>
    <x v="0"/>
    <x v="40"/>
    <x v="213"/>
    <n v="0"/>
    <x v="0"/>
    <x v="0"/>
    <x v="3"/>
  </r>
  <r>
    <x v="0"/>
    <x v="3"/>
    <x v="3"/>
    <x v="0"/>
    <x v="0"/>
    <x v="40"/>
    <x v="213"/>
    <n v="0"/>
    <x v="0"/>
    <x v="0"/>
    <x v="3"/>
  </r>
  <r>
    <x v="0"/>
    <x v="4"/>
    <x v="4"/>
    <x v="0"/>
    <x v="0"/>
    <x v="40"/>
    <x v="213"/>
    <n v="0"/>
    <x v="0"/>
    <x v="0"/>
    <x v="3"/>
  </r>
  <r>
    <x v="0"/>
    <x v="0"/>
    <x v="0"/>
    <x v="0"/>
    <x v="0"/>
    <x v="41"/>
    <x v="214"/>
    <n v="0"/>
    <x v="0"/>
    <x v="0"/>
    <x v="3"/>
  </r>
  <r>
    <x v="0"/>
    <x v="1"/>
    <x v="1"/>
    <x v="0"/>
    <x v="0"/>
    <x v="41"/>
    <x v="214"/>
    <n v="0"/>
    <x v="0"/>
    <x v="0"/>
    <x v="3"/>
  </r>
  <r>
    <x v="0"/>
    <x v="2"/>
    <x v="2"/>
    <x v="0"/>
    <x v="0"/>
    <x v="41"/>
    <x v="214"/>
    <n v="0"/>
    <x v="0"/>
    <x v="0"/>
    <x v="3"/>
  </r>
  <r>
    <x v="0"/>
    <x v="3"/>
    <x v="3"/>
    <x v="0"/>
    <x v="0"/>
    <x v="41"/>
    <x v="214"/>
    <n v="0"/>
    <x v="0"/>
    <x v="0"/>
    <x v="3"/>
  </r>
  <r>
    <x v="0"/>
    <x v="4"/>
    <x v="4"/>
    <x v="0"/>
    <x v="0"/>
    <x v="41"/>
    <x v="214"/>
    <n v="0"/>
    <x v="0"/>
    <x v="0"/>
    <x v="3"/>
  </r>
  <r>
    <x v="0"/>
    <x v="0"/>
    <x v="0"/>
    <x v="0"/>
    <x v="0"/>
    <x v="42"/>
    <x v="215"/>
    <n v="0"/>
    <x v="0"/>
    <x v="0"/>
    <x v="3"/>
  </r>
  <r>
    <x v="0"/>
    <x v="1"/>
    <x v="1"/>
    <x v="0"/>
    <x v="0"/>
    <x v="42"/>
    <x v="215"/>
    <n v="0"/>
    <x v="0"/>
    <x v="0"/>
    <x v="3"/>
  </r>
  <r>
    <x v="0"/>
    <x v="2"/>
    <x v="2"/>
    <x v="0"/>
    <x v="0"/>
    <x v="42"/>
    <x v="215"/>
    <n v="0"/>
    <x v="0"/>
    <x v="0"/>
    <x v="3"/>
  </r>
  <r>
    <x v="0"/>
    <x v="3"/>
    <x v="3"/>
    <x v="0"/>
    <x v="0"/>
    <x v="42"/>
    <x v="215"/>
    <n v="0"/>
    <x v="0"/>
    <x v="0"/>
    <x v="3"/>
  </r>
  <r>
    <x v="0"/>
    <x v="4"/>
    <x v="4"/>
    <x v="0"/>
    <x v="0"/>
    <x v="42"/>
    <x v="215"/>
    <n v="0"/>
    <x v="0"/>
    <x v="0"/>
    <x v="3"/>
  </r>
  <r>
    <x v="0"/>
    <x v="0"/>
    <x v="0"/>
    <x v="0"/>
    <x v="0"/>
    <x v="43"/>
    <x v="216"/>
    <n v="0"/>
    <x v="0"/>
    <x v="0"/>
    <x v="3"/>
  </r>
  <r>
    <x v="0"/>
    <x v="1"/>
    <x v="1"/>
    <x v="0"/>
    <x v="0"/>
    <x v="43"/>
    <x v="216"/>
    <n v="0"/>
    <x v="0"/>
    <x v="0"/>
    <x v="3"/>
  </r>
  <r>
    <x v="0"/>
    <x v="2"/>
    <x v="2"/>
    <x v="0"/>
    <x v="0"/>
    <x v="43"/>
    <x v="216"/>
    <n v="0"/>
    <x v="0"/>
    <x v="0"/>
    <x v="3"/>
  </r>
  <r>
    <x v="0"/>
    <x v="3"/>
    <x v="3"/>
    <x v="0"/>
    <x v="0"/>
    <x v="43"/>
    <x v="216"/>
    <n v="0"/>
    <x v="0"/>
    <x v="0"/>
    <x v="3"/>
  </r>
  <r>
    <x v="0"/>
    <x v="4"/>
    <x v="4"/>
    <x v="0"/>
    <x v="0"/>
    <x v="43"/>
    <x v="216"/>
    <n v="0"/>
    <x v="0"/>
    <x v="0"/>
    <x v="3"/>
  </r>
  <r>
    <x v="0"/>
    <x v="0"/>
    <x v="0"/>
    <x v="0"/>
    <x v="0"/>
    <x v="92"/>
    <x v="217"/>
    <n v="0"/>
    <x v="0"/>
    <x v="0"/>
    <x v="2"/>
  </r>
  <r>
    <x v="0"/>
    <x v="1"/>
    <x v="1"/>
    <x v="0"/>
    <x v="0"/>
    <x v="92"/>
    <x v="217"/>
    <n v="0"/>
    <x v="0"/>
    <x v="0"/>
    <x v="2"/>
  </r>
  <r>
    <x v="0"/>
    <x v="2"/>
    <x v="2"/>
    <x v="0"/>
    <x v="0"/>
    <x v="92"/>
    <x v="217"/>
    <n v="0"/>
    <x v="0"/>
    <x v="0"/>
    <x v="2"/>
  </r>
  <r>
    <x v="0"/>
    <x v="3"/>
    <x v="3"/>
    <x v="0"/>
    <x v="0"/>
    <x v="92"/>
    <x v="217"/>
    <n v="0"/>
    <x v="0"/>
    <x v="0"/>
    <x v="2"/>
  </r>
  <r>
    <x v="0"/>
    <x v="4"/>
    <x v="4"/>
    <x v="0"/>
    <x v="0"/>
    <x v="92"/>
    <x v="217"/>
    <n v="0"/>
    <x v="0"/>
    <x v="0"/>
    <x v="2"/>
  </r>
  <r>
    <x v="0"/>
    <x v="0"/>
    <x v="0"/>
    <x v="0"/>
    <x v="0"/>
    <x v="39"/>
    <x v="218"/>
    <n v="0"/>
    <x v="0"/>
    <x v="0"/>
    <x v="3"/>
  </r>
  <r>
    <x v="0"/>
    <x v="1"/>
    <x v="1"/>
    <x v="0"/>
    <x v="0"/>
    <x v="39"/>
    <x v="218"/>
    <n v="0"/>
    <x v="0"/>
    <x v="0"/>
    <x v="3"/>
  </r>
  <r>
    <x v="0"/>
    <x v="2"/>
    <x v="2"/>
    <x v="0"/>
    <x v="0"/>
    <x v="39"/>
    <x v="218"/>
    <n v="0"/>
    <x v="0"/>
    <x v="0"/>
    <x v="3"/>
  </r>
  <r>
    <x v="0"/>
    <x v="3"/>
    <x v="3"/>
    <x v="0"/>
    <x v="0"/>
    <x v="39"/>
    <x v="218"/>
    <n v="0"/>
    <x v="0"/>
    <x v="0"/>
    <x v="3"/>
  </r>
  <r>
    <x v="0"/>
    <x v="4"/>
    <x v="4"/>
    <x v="0"/>
    <x v="0"/>
    <x v="39"/>
    <x v="218"/>
    <n v="0"/>
    <x v="0"/>
    <x v="0"/>
    <x v="3"/>
  </r>
  <r>
    <x v="0"/>
    <x v="0"/>
    <x v="0"/>
    <x v="0"/>
    <x v="0"/>
    <x v="40"/>
    <x v="219"/>
    <n v="0"/>
    <x v="0"/>
    <x v="0"/>
    <x v="3"/>
  </r>
  <r>
    <x v="0"/>
    <x v="1"/>
    <x v="1"/>
    <x v="0"/>
    <x v="0"/>
    <x v="40"/>
    <x v="219"/>
    <n v="0"/>
    <x v="0"/>
    <x v="0"/>
    <x v="3"/>
  </r>
  <r>
    <x v="0"/>
    <x v="2"/>
    <x v="2"/>
    <x v="0"/>
    <x v="0"/>
    <x v="40"/>
    <x v="219"/>
    <n v="0"/>
    <x v="0"/>
    <x v="0"/>
    <x v="3"/>
  </r>
  <r>
    <x v="0"/>
    <x v="3"/>
    <x v="3"/>
    <x v="0"/>
    <x v="0"/>
    <x v="40"/>
    <x v="219"/>
    <n v="0"/>
    <x v="0"/>
    <x v="0"/>
    <x v="3"/>
  </r>
  <r>
    <x v="0"/>
    <x v="4"/>
    <x v="4"/>
    <x v="0"/>
    <x v="0"/>
    <x v="40"/>
    <x v="219"/>
    <n v="0"/>
    <x v="0"/>
    <x v="0"/>
    <x v="3"/>
  </r>
  <r>
    <x v="0"/>
    <x v="0"/>
    <x v="0"/>
    <x v="0"/>
    <x v="0"/>
    <x v="41"/>
    <x v="220"/>
    <n v="0"/>
    <x v="0"/>
    <x v="0"/>
    <x v="3"/>
  </r>
  <r>
    <x v="0"/>
    <x v="1"/>
    <x v="1"/>
    <x v="0"/>
    <x v="0"/>
    <x v="41"/>
    <x v="220"/>
    <n v="0"/>
    <x v="0"/>
    <x v="0"/>
    <x v="3"/>
  </r>
  <r>
    <x v="0"/>
    <x v="2"/>
    <x v="2"/>
    <x v="0"/>
    <x v="0"/>
    <x v="41"/>
    <x v="220"/>
    <n v="0"/>
    <x v="0"/>
    <x v="0"/>
    <x v="3"/>
  </r>
  <r>
    <x v="0"/>
    <x v="3"/>
    <x v="3"/>
    <x v="0"/>
    <x v="0"/>
    <x v="41"/>
    <x v="220"/>
    <n v="0"/>
    <x v="0"/>
    <x v="0"/>
    <x v="3"/>
  </r>
  <r>
    <x v="0"/>
    <x v="4"/>
    <x v="4"/>
    <x v="0"/>
    <x v="0"/>
    <x v="41"/>
    <x v="220"/>
    <n v="0"/>
    <x v="0"/>
    <x v="0"/>
    <x v="3"/>
  </r>
  <r>
    <x v="0"/>
    <x v="0"/>
    <x v="0"/>
    <x v="0"/>
    <x v="0"/>
    <x v="42"/>
    <x v="221"/>
    <n v="0"/>
    <x v="0"/>
    <x v="0"/>
    <x v="3"/>
  </r>
  <r>
    <x v="0"/>
    <x v="1"/>
    <x v="1"/>
    <x v="0"/>
    <x v="0"/>
    <x v="42"/>
    <x v="221"/>
    <n v="0"/>
    <x v="0"/>
    <x v="0"/>
    <x v="3"/>
  </r>
  <r>
    <x v="0"/>
    <x v="2"/>
    <x v="2"/>
    <x v="0"/>
    <x v="0"/>
    <x v="42"/>
    <x v="221"/>
    <n v="0"/>
    <x v="0"/>
    <x v="0"/>
    <x v="3"/>
  </r>
  <r>
    <x v="0"/>
    <x v="3"/>
    <x v="3"/>
    <x v="0"/>
    <x v="0"/>
    <x v="42"/>
    <x v="221"/>
    <n v="0"/>
    <x v="0"/>
    <x v="0"/>
    <x v="3"/>
  </r>
  <r>
    <x v="0"/>
    <x v="4"/>
    <x v="4"/>
    <x v="0"/>
    <x v="0"/>
    <x v="42"/>
    <x v="221"/>
    <n v="0"/>
    <x v="0"/>
    <x v="0"/>
    <x v="3"/>
  </r>
  <r>
    <x v="0"/>
    <x v="0"/>
    <x v="0"/>
    <x v="0"/>
    <x v="0"/>
    <x v="43"/>
    <x v="222"/>
    <n v="0"/>
    <x v="0"/>
    <x v="0"/>
    <x v="3"/>
  </r>
  <r>
    <x v="0"/>
    <x v="1"/>
    <x v="1"/>
    <x v="0"/>
    <x v="0"/>
    <x v="43"/>
    <x v="222"/>
    <n v="0"/>
    <x v="0"/>
    <x v="0"/>
    <x v="3"/>
  </r>
  <r>
    <x v="0"/>
    <x v="2"/>
    <x v="2"/>
    <x v="0"/>
    <x v="0"/>
    <x v="43"/>
    <x v="222"/>
    <n v="0"/>
    <x v="0"/>
    <x v="0"/>
    <x v="3"/>
  </r>
  <r>
    <x v="0"/>
    <x v="3"/>
    <x v="3"/>
    <x v="0"/>
    <x v="0"/>
    <x v="43"/>
    <x v="222"/>
    <n v="0"/>
    <x v="0"/>
    <x v="0"/>
    <x v="3"/>
  </r>
  <r>
    <x v="0"/>
    <x v="4"/>
    <x v="4"/>
    <x v="0"/>
    <x v="0"/>
    <x v="43"/>
    <x v="222"/>
    <n v="0"/>
    <x v="0"/>
    <x v="0"/>
    <x v="3"/>
  </r>
  <r>
    <x v="0"/>
    <x v="0"/>
    <x v="0"/>
    <x v="0"/>
    <x v="0"/>
    <x v="93"/>
    <x v="223"/>
    <n v="0"/>
    <x v="0"/>
    <x v="0"/>
    <x v="2"/>
  </r>
  <r>
    <x v="0"/>
    <x v="1"/>
    <x v="1"/>
    <x v="0"/>
    <x v="0"/>
    <x v="93"/>
    <x v="223"/>
    <n v="0"/>
    <x v="0"/>
    <x v="0"/>
    <x v="2"/>
  </r>
  <r>
    <x v="0"/>
    <x v="2"/>
    <x v="2"/>
    <x v="0"/>
    <x v="0"/>
    <x v="93"/>
    <x v="223"/>
    <n v="0"/>
    <x v="0"/>
    <x v="0"/>
    <x v="2"/>
  </r>
  <r>
    <x v="0"/>
    <x v="3"/>
    <x v="3"/>
    <x v="0"/>
    <x v="0"/>
    <x v="93"/>
    <x v="223"/>
    <n v="0"/>
    <x v="0"/>
    <x v="0"/>
    <x v="2"/>
  </r>
  <r>
    <x v="0"/>
    <x v="4"/>
    <x v="4"/>
    <x v="0"/>
    <x v="0"/>
    <x v="93"/>
    <x v="223"/>
    <n v="0"/>
    <x v="0"/>
    <x v="0"/>
    <x v="2"/>
  </r>
  <r>
    <x v="0"/>
    <x v="0"/>
    <x v="0"/>
    <x v="0"/>
    <x v="0"/>
    <x v="39"/>
    <x v="224"/>
    <n v="0"/>
    <x v="0"/>
    <x v="0"/>
    <x v="3"/>
  </r>
  <r>
    <x v="0"/>
    <x v="1"/>
    <x v="1"/>
    <x v="0"/>
    <x v="0"/>
    <x v="39"/>
    <x v="224"/>
    <n v="0"/>
    <x v="0"/>
    <x v="0"/>
    <x v="3"/>
  </r>
  <r>
    <x v="0"/>
    <x v="2"/>
    <x v="2"/>
    <x v="0"/>
    <x v="0"/>
    <x v="39"/>
    <x v="224"/>
    <n v="0"/>
    <x v="0"/>
    <x v="0"/>
    <x v="3"/>
  </r>
  <r>
    <x v="0"/>
    <x v="3"/>
    <x v="3"/>
    <x v="0"/>
    <x v="0"/>
    <x v="39"/>
    <x v="224"/>
    <n v="0"/>
    <x v="0"/>
    <x v="0"/>
    <x v="3"/>
  </r>
  <r>
    <x v="0"/>
    <x v="4"/>
    <x v="4"/>
    <x v="0"/>
    <x v="0"/>
    <x v="39"/>
    <x v="224"/>
    <n v="0"/>
    <x v="0"/>
    <x v="0"/>
    <x v="3"/>
  </r>
  <r>
    <x v="0"/>
    <x v="0"/>
    <x v="0"/>
    <x v="0"/>
    <x v="0"/>
    <x v="40"/>
    <x v="225"/>
    <n v="0"/>
    <x v="0"/>
    <x v="0"/>
    <x v="3"/>
  </r>
  <r>
    <x v="0"/>
    <x v="1"/>
    <x v="1"/>
    <x v="0"/>
    <x v="0"/>
    <x v="40"/>
    <x v="225"/>
    <n v="0"/>
    <x v="0"/>
    <x v="0"/>
    <x v="3"/>
  </r>
  <r>
    <x v="0"/>
    <x v="2"/>
    <x v="2"/>
    <x v="0"/>
    <x v="0"/>
    <x v="40"/>
    <x v="225"/>
    <n v="0"/>
    <x v="0"/>
    <x v="0"/>
    <x v="3"/>
  </r>
  <r>
    <x v="0"/>
    <x v="3"/>
    <x v="3"/>
    <x v="0"/>
    <x v="0"/>
    <x v="40"/>
    <x v="225"/>
    <n v="0"/>
    <x v="0"/>
    <x v="0"/>
    <x v="3"/>
  </r>
  <r>
    <x v="0"/>
    <x v="4"/>
    <x v="4"/>
    <x v="0"/>
    <x v="0"/>
    <x v="40"/>
    <x v="225"/>
    <n v="0"/>
    <x v="0"/>
    <x v="0"/>
    <x v="3"/>
  </r>
  <r>
    <x v="0"/>
    <x v="0"/>
    <x v="0"/>
    <x v="0"/>
    <x v="0"/>
    <x v="41"/>
    <x v="226"/>
    <n v="0"/>
    <x v="0"/>
    <x v="0"/>
    <x v="3"/>
  </r>
  <r>
    <x v="0"/>
    <x v="1"/>
    <x v="1"/>
    <x v="0"/>
    <x v="0"/>
    <x v="41"/>
    <x v="226"/>
    <n v="0"/>
    <x v="0"/>
    <x v="0"/>
    <x v="3"/>
  </r>
  <r>
    <x v="0"/>
    <x v="2"/>
    <x v="2"/>
    <x v="0"/>
    <x v="0"/>
    <x v="41"/>
    <x v="226"/>
    <n v="0"/>
    <x v="0"/>
    <x v="0"/>
    <x v="3"/>
  </r>
  <r>
    <x v="0"/>
    <x v="3"/>
    <x v="3"/>
    <x v="0"/>
    <x v="0"/>
    <x v="41"/>
    <x v="226"/>
    <n v="0"/>
    <x v="0"/>
    <x v="0"/>
    <x v="3"/>
  </r>
  <r>
    <x v="0"/>
    <x v="4"/>
    <x v="4"/>
    <x v="0"/>
    <x v="0"/>
    <x v="41"/>
    <x v="226"/>
    <n v="0"/>
    <x v="0"/>
    <x v="0"/>
    <x v="3"/>
  </r>
  <r>
    <x v="0"/>
    <x v="0"/>
    <x v="0"/>
    <x v="0"/>
    <x v="0"/>
    <x v="42"/>
    <x v="227"/>
    <n v="0"/>
    <x v="0"/>
    <x v="0"/>
    <x v="3"/>
  </r>
  <r>
    <x v="0"/>
    <x v="1"/>
    <x v="1"/>
    <x v="0"/>
    <x v="0"/>
    <x v="42"/>
    <x v="227"/>
    <n v="0"/>
    <x v="0"/>
    <x v="0"/>
    <x v="3"/>
  </r>
  <r>
    <x v="0"/>
    <x v="2"/>
    <x v="2"/>
    <x v="0"/>
    <x v="0"/>
    <x v="42"/>
    <x v="227"/>
    <n v="0"/>
    <x v="0"/>
    <x v="0"/>
    <x v="3"/>
  </r>
  <r>
    <x v="0"/>
    <x v="3"/>
    <x v="3"/>
    <x v="0"/>
    <x v="0"/>
    <x v="42"/>
    <x v="227"/>
    <n v="0"/>
    <x v="0"/>
    <x v="0"/>
    <x v="3"/>
  </r>
  <r>
    <x v="0"/>
    <x v="4"/>
    <x v="4"/>
    <x v="0"/>
    <x v="0"/>
    <x v="42"/>
    <x v="227"/>
    <n v="0"/>
    <x v="0"/>
    <x v="0"/>
    <x v="3"/>
  </r>
  <r>
    <x v="0"/>
    <x v="0"/>
    <x v="0"/>
    <x v="0"/>
    <x v="0"/>
    <x v="43"/>
    <x v="228"/>
    <n v="0"/>
    <x v="0"/>
    <x v="0"/>
    <x v="3"/>
  </r>
  <r>
    <x v="0"/>
    <x v="1"/>
    <x v="1"/>
    <x v="0"/>
    <x v="0"/>
    <x v="43"/>
    <x v="228"/>
    <n v="0"/>
    <x v="0"/>
    <x v="0"/>
    <x v="3"/>
  </r>
  <r>
    <x v="0"/>
    <x v="2"/>
    <x v="2"/>
    <x v="0"/>
    <x v="0"/>
    <x v="43"/>
    <x v="228"/>
    <n v="0"/>
    <x v="0"/>
    <x v="0"/>
    <x v="3"/>
  </r>
  <r>
    <x v="0"/>
    <x v="3"/>
    <x v="3"/>
    <x v="0"/>
    <x v="0"/>
    <x v="43"/>
    <x v="228"/>
    <n v="0"/>
    <x v="0"/>
    <x v="0"/>
    <x v="3"/>
  </r>
  <r>
    <x v="0"/>
    <x v="4"/>
    <x v="4"/>
    <x v="0"/>
    <x v="0"/>
    <x v="43"/>
    <x v="228"/>
    <n v="0"/>
    <x v="0"/>
    <x v="0"/>
    <x v="3"/>
  </r>
  <r>
    <x v="0"/>
    <x v="0"/>
    <x v="0"/>
    <x v="0"/>
    <x v="0"/>
    <x v="94"/>
    <x v="229"/>
    <n v="158782.32"/>
    <x v="0"/>
    <x v="0"/>
    <x v="2"/>
  </r>
  <r>
    <x v="0"/>
    <x v="1"/>
    <x v="1"/>
    <x v="0"/>
    <x v="0"/>
    <x v="94"/>
    <x v="229"/>
    <n v="59193.68"/>
    <x v="0"/>
    <x v="0"/>
    <x v="2"/>
  </r>
  <r>
    <x v="0"/>
    <x v="2"/>
    <x v="2"/>
    <x v="0"/>
    <x v="0"/>
    <x v="94"/>
    <x v="229"/>
    <n v="669584.68999999994"/>
    <x v="0"/>
    <x v="0"/>
    <x v="2"/>
  </r>
  <r>
    <x v="0"/>
    <x v="3"/>
    <x v="3"/>
    <x v="0"/>
    <x v="0"/>
    <x v="94"/>
    <x v="229"/>
    <n v="0"/>
    <x v="0"/>
    <x v="0"/>
    <x v="2"/>
  </r>
  <r>
    <x v="0"/>
    <x v="4"/>
    <x v="4"/>
    <x v="0"/>
    <x v="0"/>
    <x v="94"/>
    <x v="229"/>
    <n v="887560.69"/>
    <x v="0"/>
    <x v="0"/>
    <x v="2"/>
  </r>
  <r>
    <x v="0"/>
    <x v="0"/>
    <x v="0"/>
    <x v="0"/>
    <x v="0"/>
    <x v="39"/>
    <x v="230"/>
    <n v="1533.27"/>
    <x v="0"/>
    <x v="0"/>
    <x v="3"/>
  </r>
  <r>
    <x v="0"/>
    <x v="1"/>
    <x v="1"/>
    <x v="0"/>
    <x v="0"/>
    <x v="39"/>
    <x v="230"/>
    <n v="3080.39"/>
    <x v="0"/>
    <x v="0"/>
    <x v="3"/>
  </r>
  <r>
    <x v="0"/>
    <x v="2"/>
    <x v="2"/>
    <x v="0"/>
    <x v="0"/>
    <x v="39"/>
    <x v="230"/>
    <n v="58072.52"/>
    <x v="0"/>
    <x v="0"/>
    <x v="3"/>
  </r>
  <r>
    <x v="0"/>
    <x v="3"/>
    <x v="3"/>
    <x v="0"/>
    <x v="0"/>
    <x v="39"/>
    <x v="230"/>
    <n v="0"/>
    <x v="0"/>
    <x v="0"/>
    <x v="3"/>
  </r>
  <r>
    <x v="0"/>
    <x v="4"/>
    <x v="4"/>
    <x v="0"/>
    <x v="0"/>
    <x v="39"/>
    <x v="230"/>
    <n v="62686.18"/>
    <x v="0"/>
    <x v="0"/>
    <x v="3"/>
  </r>
  <r>
    <x v="0"/>
    <x v="0"/>
    <x v="0"/>
    <x v="0"/>
    <x v="0"/>
    <x v="40"/>
    <x v="231"/>
    <n v="1560.95"/>
    <x v="0"/>
    <x v="0"/>
    <x v="3"/>
  </r>
  <r>
    <x v="0"/>
    <x v="1"/>
    <x v="1"/>
    <x v="0"/>
    <x v="0"/>
    <x v="40"/>
    <x v="231"/>
    <n v="3138.15"/>
    <x v="0"/>
    <x v="0"/>
    <x v="3"/>
  </r>
  <r>
    <x v="0"/>
    <x v="2"/>
    <x v="2"/>
    <x v="0"/>
    <x v="0"/>
    <x v="40"/>
    <x v="231"/>
    <n v="52824.37"/>
    <x v="0"/>
    <x v="0"/>
    <x v="3"/>
  </r>
  <r>
    <x v="0"/>
    <x v="3"/>
    <x v="3"/>
    <x v="0"/>
    <x v="0"/>
    <x v="40"/>
    <x v="231"/>
    <n v="0"/>
    <x v="0"/>
    <x v="0"/>
    <x v="3"/>
  </r>
  <r>
    <x v="0"/>
    <x v="4"/>
    <x v="4"/>
    <x v="0"/>
    <x v="0"/>
    <x v="40"/>
    <x v="231"/>
    <n v="57523.47"/>
    <x v="0"/>
    <x v="0"/>
    <x v="3"/>
  </r>
  <r>
    <x v="0"/>
    <x v="0"/>
    <x v="0"/>
    <x v="0"/>
    <x v="0"/>
    <x v="41"/>
    <x v="232"/>
    <n v="2394.41"/>
    <x v="0"/>
    <x v="0"/>
    <x v="3"/>
  </r>
  <r>
    <x v="0"/>
    <x v="1"/>
    <x v="1"/>
    <x v="0"/>
    <x v="0"/>
    <x v="41"/>
    <x v="232"/>
    <n v="4817.91"/>
    <x v="0"/>
    <x v="0"/>
    <x v="3"/>
  </r>
  <r>
    <x v="0"/>
    <x v="2"/>
    <x v="2"/>
    <x v="0"/>
    <x v="0"/>
    <x v="41"/>
    <x v="232"/>
    <n v="74649.179999999993"/>
    <x v="0"/>
    <x v="0"/>
    <x v="3"/>
  </r>
  <r>
    <x v="0"/>
    <x v="3"/>
    <x v="3"/>
    <x v="0"/>
    <x v="0"/>
    <x v="41"/>
    <x v="232"/>
    <n v="0"/>
    <x v="0"/>
    <x v="0"/>
    <x v="3"/>
  </r>
  <r>
    <x v="0"/>
    <x v="4"/>
    <x v="4"/>
    <x v="0"/>
    <x v="0"/>
    <x v="41"/>
    <x v="232"/>
    <n v="81861.5"/>
    <x v="0"/>
    <x v="0"/>
    <x v="3"/>
  </r>
  <r>
    <x v="0"/>
    <x v="0"/>
    <x v="0"/>
    <x v="0"/>
    <x v="0"/>
    <x v="42"/>
    <x v="233"/>
    <n v="4985.8999999999996"/>
    <x v="0"/>
    <x v="0"/>
    <x v="3"/>
  </r>
  <r>
    <x v="0"/>
    <x v="1"/>
    <x v="1"/>
    <x v="0"/>
    <x v="0"/>
    <x v="42"/>
    <x v="233"/>
    <n v="10048.18"/>
    <x v="0"/>
    <x v="0"/>
    <x v="3"/>
  </r>
  <r>
    <x v="0"/>
    <x v="2"/>
    <x v="2"/>
    <x v="0"/>
    <x v="0"/>
    <x v="42"/>
    <x v="233"/>
    <n v="111970.54"/>
    <x v="0"/>
    <x v="0"/>
    <x v="3"/>
  </r>
  <r>
    <x v="0"/>
    <x v="3"/>
    <x v="3"/>
    <x v="0"/>
    <x v="0"/>
    <x v="42"/>
    <x v="233"/>
    <n v="0"/>
    <x v="0"/>
    <x v="0"/>
    <x v="3"/>
  </r>
  <r>
    <x v="0"/>
    <x v="4"/>
    <x v="4"/>
    <x v="0"/>
    <x v="0"/>
    <x v="42"/>
    <x v="233"/>
    <n v="127004.62"/>
    <x v="0"/>
    <x v="0"/>
    <x v="3"/>
  </r>
  <r>
    <x v="0"/>
    <x v="0"/>
    <x v="0"/>
    <x v="0"/>
    <x v="0"/>
    <x v="43"/>
    <x v="234"/>
    <n v="148307.79"/>
    <x v="0"/>
    <x v="0"/>
    <x v="3"/>
  </r>
  <r>
    <x v="0"/>
    <x v="1"/>
    <x v="1"/>
    <x v="0"/>
    <x v="0"/>
    <x v="43"/>
    <x v="234"/>
    <n v="38109.050000000003"/>
    <x v="0"/>
    <x v="0"/>
    <x v="3"/>
  </r>
  <r>
    <x v="0"/>
    <x v="2"/>
    <x v="2"/>
    <x v="0"/>
    <x v="0"/>
    <x v="43"/>
    <x v="234"/>
    <n v="372068.08"/>
    <x v="0"/>
    <x v="0"/>
    <x v="3"/>
  </r>
  <r>
    <x v="0"/>
    <x v="3"/>
    <x v="3"/>
    <x v="0"/>
    <x v="0"/>
    <x v="43"/>
    <x v="234"/>
    <n v="0"/>
    <x v="0"/>
    <x v="0"/>
    <x v="3"/>
  </r>
  <r>
    <x v="0"/>
    <x v="4"/>
    <x v="4"/>
    <x v="0"/>
    <x v="0"/>
    <x v="43"/>
    <x v="234"/>
    <n v="558484.92000000004"/>
    <x v="0"/>
    <x v="0"/>
    <x v="3"/>
  </r>
  <r>
    <x v="0"/>
    <x v="0"/>
    <x v="0"/>
    <x v="0"/>
    <x v="0"/>
    <x v="95"/>
    <x v="235"/>
    <n v="397261.82"/>
    <x v="0"/>
    <x v="0"/>
    <x v="2"/>
  </r>
  <r>
    <x v="0"/>
    <x v="1"/>
    <x v="1"/>
    <x v="0"/>
    <x v="0"/>
    <x v="95"/>
    <x v="235"/>
    <n v="438219.59"/>
    <x v="0"/>
    <x v="0"/>
    <x v="2"/>
  </r>
  <r>
    <x v="0"/>
    <x v="2"/>
    <x v="2"/>
    <x v="0"/>
    <x v="0"/>
    <x v="95"/>
    <x v="235"/>
    <n v="3820982.46"/>
    <x v="0"/>
    <x v="0"/>
    <x v="2"/>
  </r>
  <r>
    <x v="0"/>
    <x v="3"/>
    <x v="3"/>
    <x v="0"/>
    <x v="0"/>
    <x v="95"/>
    <x v="235"/>
    <n v="141312.29"/>
    <x v="0"/>
    <x v="0"/>
    <x v="2"/>
  </r>
  <r>
    <x v="0"/>
    <x v="4"/>
    <x v="4"/>
    <x v="0"/>
    <x v="0"/>
    <x v="95"/>
    <x v="235"/>
    <n v="4797776.16"/>
    <x v="0"/>
    <x v="0"/>
    <x v="2"/>
  </r>
  <r>
    <x v="0"/>
    <x v="0"/>
    <x v="0"/>
    <x v="0"/>
    <x v="0"/>
    <x v="39"/>
    <x v="236"/>
    <n v="56053.52"/>
    <x v="0"/>
    <x v="0"/>
    <x v="3"/>
  </r>
  <r>
    <x v="0"/>
    <x v="1"/>
    <x v="1"/>
    <x v="0"/>
    <x v="0"/>
    <x v="39"/>
    <x v="236"/>
    <n v="36677.620000000003"/>
    <x v="0"/>
    <x v="0"/>
    <x v="3"/>
  </r>
  <r>
    <x v="0"/>
    <x v="2"/>
    <x v="2"/>
    <x v="0"/>
    <x v="0"/>
    <x v="39"/>
    <x v="236"/>
    <n v="467448.09"/>
    <x v="0"/>
    <x v="0"/>
    <x v="3"/>
  </r>
  <r>
    <x v="0"/>
    <x v="3"/>
    <x v="3"/>
    <x v="0"/>
    <x v="0"/>
    <x v="39"/>
    <x v="236"/>
    <n v="8797.17"/>
    <x v="0"/>
    <x v="0"/>
    <x v="3"/>
  </r>
  <r>
    <x v="0"/>
    <x v="4"/>
    <x v="4"/>
    <x v="0"/>
    <x v="0"/>
    <x v="39"/>
    <x v="236"/>
    <n v="568976.4"/>
    <x v="0"/>
    <x v="0"/>
    <x v="3"/>
  </r>
  <r>
    <x v="0"/>
    <x v="0"/>
    <x v="0"/>
    <x v="0"/>
    <x v="0"/>
    <x v="40"/>
    <x v="237"/>
    <n v="31130.47"/>
    <x v="0"/>
    <x v="0"/>
    <x v="3"/>
  </r>
  <r>
    <x v="0"/>
    <x v="1"/>
    <x v="1"/>
    <x v="0"/>
    <x v="0"/>
    <x v="40"/>
    <x v="237"/>
    <n v="39887.910000000003"/>
    <x v="0"/>
    <x v="0"/>
    <x v="3"/>
  </r>
  <r>
    <x v="0"/>
    <x v="2"/>
    <x v="2"/>
    <x v="0"/>
    <x v="0"/>
    <x v="40"/>
    <x v="237"/>
    <n v="694380.22"/>
    <x v="0"/>
    <x v="0"/>
    <x v="3"/>
  </r>
  <r>
    <x v="0"/>
    <x v="3"/>
    <x v="3"/>
    <x v="0"/>
    <x v="0"/>
    <x v="40"/>
    <x v="237"/>
    <n v="8776.57"/>
    <x v="0"/>
    <x v="0"/>
    <x v="3"/>
  </r>
  <r>
    <x v="0"/>
    <x v="4"/>
    <x v="4"/>
    <x v="0"/>
    <x v="0"/>
    <x v="40"/>
    <x v="237"/>
    <n v="774175.17"/>
    <x v="0"/>
    <x v="0"/>
    <x v="3"/>
  </r>
  <r>
    <x v="0"/>
    <x v="0"/>
    <x v="0"/>
    <x v="0"/>
    <x v="0"/>
    <x v="41"/>
    <x v="238"/>
    <n v="38427.56"/>
    <x v="0"/>
    <x v="0"/>
    <x v="3"/>
  </r>
  <r>
    <x v="0"/>
    <x v="1"/>
    <x v="1"/>
    <x v="0"/>
    <x v="0"/>
    <x v="41"/>
    <x v="238"/>
    <n v="50869.41"/>
    <x v="0"/>
    <x v="0"/>
    <x v="3"/>
  </r>
  <r>
    <x v="0"/>
    <x v="2"/>
    <x v="2"/>
    <x v="0"/>
    <x v="0"/>
    <x v="41"/>
    <x v="238"/>
    <n v="594419.27"/>
    <x v="0"/>
    <x v="0"/>
    <x v="3"/>
  </r>
  <r>
    <x v="0"/>
    <x v="3"/>
    <x v="3"/>
    <x v="0"/>
    <x v="0"/>
    <x v="41"/>
    <x v="238"/>
    <n v="13237.97"/>
    <x v="0"/>
    <x v="0"/>
    <x v="3"/>
  </r>
  <r>
    <x v="0"/>
    <x v="4"/>
    <x v="4"/>
    <x v="0"/>
    <x v="0"/>
    <x v="41"/>
    <x v="238"/>
    <n v="696954.21"/>
    <x v="0"/>
    <x v="0"/>
    <x v="3"/>
  </r>
  <r>
    <x v="0"/>
    <x v="0"/>
    <x v="0"/>
    <x v="0"/>
    <x v="0"/>
    <x v="42"/>
    <x v="239"/>
    <n v="65173.1"/>
    <x v="0"/>
    <x v="0"/>
    <x v="3"/>
  </r>
  <r>
    <x v="0"/>
    <x v="1"/>
    <x v="1"/>
    <x v="0"/>
    <x v="0"/>
    <x v="42"/>
    <x v="239"/>
    <n v="86741.46"/>
    <x v="0"/>
    <x v="0"/>
    <x v="3"/>
  </r>
  <r>
    <x v="0"/>
    <x v="2"/>
    <x v="2"/>
    <x v="0"/>
    <x v="0"/>
    <x v="42"/>
    <x v="239"/>
    <n v="890055.79"/>
    <x v="0"/>
    <x v="0"/>
    <x v="3"/>
  </r>
  <r>
    <x v="0"/>
    <x v="3"/>
    <x v="3"/>
    <x v="0"/>
    <x v="0"/>
    <x v="42"/>
    <x v="239"/>
    <n v="24460.19"/>
    <x v="0"/>
    <x v="0"/>
    <x v="3"/>
  </r>
  <r>
    <x v="0"/>
    <x v="4"/>
    <x v="4"/>
    <x v="0"/>
    <x v="0"/>
    <x v="42"/>
    <x v="239"/>
    <n v="1066430.54"/>
    <x v="0"/>
    <x v="0"/>
    <x v="3"/>
  </r>
  <r>
    <x v="0"/>
    <x v="0"/>
    <x v="0"/>
    <x v="0"/>
    <x v="0"/>
    <x v="43"/>
    <x v="240"/>
    <n v="206477.17"/>
    <x v="0"/>
    <x v="0"/>
    <x v="3"/>
  </r>
  <r>
    <x v="0"/>
    <x v="1"/>
    <x v="1"/>
    <x v="0"/>
    <x v="0"/>
    <x v="43"/>
    <x v="240"/>
    <n v="224043.19"/>
    <x v="0"/>
    <x v="0"/>
    <x v="3"/>
  </r>
  <r>
    <x v="0"/>
    <x v="2"/>
    <x v="2"/>
    <x v="0"/>
    <x v="0"/>
    <x v="43"/>
    <x v="240"/>
    <n v="1174679.0900000001"/>
    <x v="0"/>
    <x v="0"/>
    <x v="3"/>
  </r>
  <r>
    <x v="0"/>
    <x v="3"/>
    <x v="3"/>
    <x v="0"/>
    <x v="0"/>
    <x v="43"/>
    <x v="240"/>
    <n v="86040.39"/>
    <x v="0"/>
    <x v="0"/>
    <x v="3"/>
  </r>
  <r>
    <x v="0"/>
    <x v="4"/>
    <x v="4"/>
    <x v="0"/>
    <x v="0"/>
    <x v="43"/>
    <x v="240"/>
    <n v="1691239.8399999999"/>
    <x v="0"/>
    <x v="0"/>
    <x v="3"/>
  </r>
  <r>
    <x v="0"/>
    <x v="0"/>
    <x v="0"/>
    <x v="0"/>
    <x v="0"/>
    <x v="96"/>
    <x v="241"/>
    <n v="2619488.88"/>
    <x v="0"/>
    <x v="0"/>
    <x v="2"/>
  </r>
  <r>
    <x v="0"/>
    <x v="1"/>
    <x v="1"/>
    <x v="0"/>
    <x v="0"/>
    <x v="96"/>
    <x v="241"/>
    <n v="368930.48"/>
    <x v="0"/>
    <x v="0"/>
    <x v="2"/>
  </r>
  <r>
    <x v="0"/>
    <x v="2"/>
    <x v="2"/>
    <x v="0"/>
    <x v="0"/>
    <x v="96"/>
    <x v="241"/>
    <n v="6341648.0700000003"/>
    <x v="0"/>
    <x v="0"/>
    <x v="2"/>
  </r>
  <r>
    <x v="0"/>
    <x v="3"/>
    <x v="3"/>
    <x v="0"/>
    <x v="0"/>
    <x v="96"/>
    <x v="241"/>
    <n v="332624.77"/>
    <x v="0"/>
    <x v="0"/>
    <x v="2"/>
  </r>
  <r>
    <x v="0"/>
    <x v="4"/>
    <x v="4"/>
    <x v="0"/>
    <x v="0"/>
    <x v="96"/>
    <x v="241"/>
    <n v="9662692.1999999993"/>
    <x v="0"/>
    <x v="0"/>
    <x v="2"/>
  </r>
  <r>
    <x v="0"/>
    <x v="0"/>
    <x v="0"/>
    <x v="0"/>
    <x v="0"/>
    <x v="39"/>
    <x v="242"/>
    <n v="57428.72"/>
    <x v="0"/>
    <x v="0"/>
    <x v="3"/>
  </r>
  <r>
    <x v="0"/>
    <x v="1"/>
    <x v="1"/>
    <x v="0"/>
    <x v="0"/>
    <x v="39"/>
    <x v="242"/>
    <n v="13028.5"/>
    <x v="0"/>
    <x v="0"/>
    <x v="3"/>
  </r>
  <r>
    <x v="0"/>
    <x v="2"/>
    <x v="2"/>
    <x v="0"/>
    <x v="0"/>
    <x v="39"/>
    <x v="242"/>
    <n v="207768.77"/>
    <x v="0"/>
    <x v="0"/>
    <x v="3"/>
  </r>
  <r>
    <x v="0"/>
    <x v="3"/>
    <x v="3"/>
    <x v="0"/>
    <x v="0"/>
    <x v="39"/>
    <x v="242"/>
    <n v="6975.29"/>
    <x v="0"/>
    <x v="0"/>
    <x v="3"/>
  </r>
  <r>
    <x v="0"/>
    <x v="4"/>
    <x v="4"/>
    <x v="0"/>
    <x v="0"/>
    <x v="39"/>
    <x v="242"/>
    <n v="285201.28000000003"/>
    <x v="0"/>
    <x v="0"/>
    <x v="3"/>
  </r>
  <r>
    <x v="0"/>
    <x v="0"/>
    <x v="0"/>
    <x v="0"/>
    <x v="0"/>
    <x v="40"/>
    <x v="243"/>
    <n v="39665.519999999997"/>
    <x v="0"/>
    <x v="0"/>
    <x v="3"/>
  </r>
  <r>
    <x v="0"/>
    <x v="1"/>
    <x v="1"/>
    <x v="0"/>
    <x v="0"/>
    <x v="40"/>
    <x v="243"/>
    <n v="8764.5"/>
    <x v="0"/>
    <x v="0"/>
    <x v="3"/>
  </r>
  <r>
    <x v="0"/>
    <x v="2"/>
    <x v="2"/>
    <x v="0"/>
    <x v="0"/>
    <x v="40"/>
    <x v="243"/>
    <n v="126307.42"/>
    <x v="0"/>
    <x v="0"/>
    <x v="3"/>
  </r>
  <r>
    <x v="0"/>
    <x v="3"/>
    <x v="3"/>
    <x v="0"/>
    <x v="0"/>
    <x v="40"/>
    <x v="243"/>
    <n v="10910.54"/>
    <x v="0"/>
    <x v="0"/>
    <x v="3"/>
  </r>
  <r>
    <x v="0"/>
    <x v="4"/>
    <x v="4"/>
    <x v="0"/>
    <x v="0"/>
    <x v="40"/>
    <x v="243"/>
    <n v="185647.98"/>
    <x v="0"/>
    <x v="0"/>
    <x v="3"/>
  </r>
  <r>
    <x v="0"/>
    <x v="0"/>
    <x v="0"/>
    <x v="0"/>
    <x v="0"/>
    <x v="41"/>
    <x v="244"/>
    <n v="59972.15"/>
    <x v="0"/>
    <x v="0"/>
    <x v="3"/>
  </r>
  <r>
    <x v="0"/>
    <x v="1"/>
    <x v="1"/>
    <x v="0"/>
    <x v="0"/>
    <x v="41"/>
    <x v="244"/>
    <n v="13436.54"/>
    <x v="0"/>
    <x v="0"/>
    <x v="3"/>
  </r>
  <r>
    <x v="0"/>
    <x v="2"/>
    <x v="2"/>
    <x v="0"/>
    <x v="0"/>
    <x v="41"/>
    <x v="244"/>
    <n v="183885.24"/>
    <x v="0"/>
    <x v="0"/>
    <x v="3"/>
  </r>
  <r>
    <x v="0"/>
    <x v="3"/>
    <x v="3"/>
    <x v="0"/>
    <x v="0"/>
    <x v="41"/>
    <x v="244"/>
    <n v="10914.04"/>
    <x v="0"/>
    <x v="0"/>
    <x v="3"/>
  </r>
  <r>
    <x v="0"/>
    <x v="4"/>
    <x v="4"/>
    <x v="0"/>
    <x v="0"/>
    <x v="41"/>
    <x v="244"/>
    <n v="268207.96999999997"/>
    <x v="0"/>
    <x v="0"/>
    <x v="3"/>
  </r>
  <r>
    <x v="0"/>
    <x v="0"/>
    <x v="0"/>
    <x v="0"/>
    <x v="0"/>
    <x v="42"/>
    <x v="245"/>
    <n v="123981.67"/>
    <x v="0"/>
    <x v="0"/>
    <x v="3"/>
  </r>
  <r>
    <x v="0"/>
    <x v="1"/>
    <x v="1"/>
    <x v="0"/>
    <x v="0"/>
    <x v="42"/>
    <x v="245"/>
    <n v="25693.55"/>
    <x v="0"/>
    <x v="0"/>
    <x v="3"/>
  </r>
  <r>
    <x v="0"/>
    <x v="2"/>
    <x v="2"/>
    <x v="0"/>
    <x v="0"/>
    <x v="42"/>
    <x v="245"/>
    <n v="351205.57"/>
    <x v="0"/>
    <x v="0"/>
    <x v="3"/>
  </r>
  <r>
    <x v="0"/>
    <x v="3"/>
    <x v="3"/>
    <x v="0"/>
    <x v="0"/>
    <x v="42"/>
    <x v="245"/>
    <n v="22352.1"/>
    <x v="0"/>
    <x v="0"/>
    <x v="3"/>
  </r>
  <r>
    <x v="0"/>
    <x v="4"/>
    <x v="4"/>
    <x v="0"/>
    <x v="0"/>
    <x v="42"/>
    <x v="245"/>
    <n v="523232.89"/>
    <x v="0"/>
    <x v="0"/>
    <x v="3"/>
  </r>
  <r>
    <x v="0"/>
    <x v="0"/>
    <x v="0"/>
    <x v="0"/>
    <x v="0"/>
    <x v="43"/>
    <x v="246"/>
    <n v="2338440.8199999998"/>
    <x v="0"/>
    <x v="0"/>
    <x v="3"/>
  </r>
  <r>
    <x v="0"/>
    <x v="1"/>
    <x v="1"/>
    <x v="0"/>
    <x v="0"/>
    <x v="43"/>
    <x v="246"/>
    <n v="308007.39"/>
    <x v="0"/>
    <x v="0"/>
    <x v="3"/>
  </r>
  <r>
    <x v="0"/>
    <x v="2"/>
    <x v="2"/>
    <x v="0"/>
    <x v="0"/>
    <x v="43"/>
    <x v="246"/>
    <n v="5472481.0700000003"/>
    <x v="0"/>
    <x v="0"/>
    <x v="3"/>
  </r>
  <r>
    <x v="0"/>
    <x v="3"/>
    <x v="3"/>
    <x v="0"/>
    <x v="0"/>
    <x v="43"/>
    <x v="246"/>
    <n v="281472.8"/>
    <x v="0"/>
    <x v="0"/>
    <x v="3"/>
  </r>
  <r>
    <x v="0"/>
    <x v="4"/>
    <x v="4"/>
    <x v="0"/>
    <x v="0"/>
    <x v="43"/>
    <x v="246"/>
    <n v="8400402.0800000001"/>
    <x v="0"/>
    <x v="0"/>
    <x v="3"/>
  </r>
  <r>
    <x v="0"/>
    <x v="0"/>
    <x v="0"/>
    <x v="0"/>
    <x v="0"/>
    <x v="97"/>
    <x v="247"/>
    <n v="29776.29"/>
    <x v="0"/>
    <x v="0"/>
    <x v="2"/>
  </r>
  <r>
    <x v="0"/>
    <x v="1"/>
    <x v="1"/>
    <x v="0"/>
    <x v="0"/>
    <x v="97"/>
    <x v="247"/>
    <n v="166842.15"/>
    <x v="0"/>
    <x v="0"/>
    <x v="2"/>
  </r>
  <r>
    <x v="0"/>
    <x v="2"/>
    <x v="2"/>
    <x v="0"/>
    <x v="0"/>
    <x v="97"/>
    <x v="247"/>
    <n v="545111.65"/>
    <x v="0"/>
    <x v="0"/>
    <x v="2"/>
  </r>
  <r>
    <x v="0"/>
    <x v="3"/>
    <x v="3"/>
    <x v="0"/>
    <x v="0"/>
    <x v="97"/>
    <x v="247"/>
    <n v="339179.17"/>
    <x v="0"/>
    <x v="0"/>
    <x v="2"/>
  </r>
  <r>
    <x v="0"/>
    <x v="4"/>
    <x v="4"/>
    <x v="0"/>
    <x v="0"/>
    <x v="97"/>
    <x v="247"/>
    <n v="1080909.26"/>
    <x v="0"/>
    <x v="0"/>
    <x v="2"/>
  </r>
  <r>
    <x v="0"/>
    <x v="0"/>
    <x v="0"/>
    <x v="0"/>
    <x v="0"/>
    <x v="39"/>
    <x v="248"/>
    <n v="3806.59"/>
    <x v="0"/>
    <x v="0"/>
    <x v="3"/>
  </r>
  <r>
    <x v="0"/>
    <x v="1"/>
    <x v="1"/>
    <x v="0"/>
    <x v="0"/>
    <x v="39"/>
    <x v="248"/>
    <n v="17687.849999999999"/>
    <x v="0"/>
    <x v="0"/>
    <x v="3"/>
  </r>
  <r>
    <x v="0"/>
    <x v="2"/>
    <x v="2"/>
    <x v="0"/>
    <x v="0"/>
    <x v="39"/>
    <x v="248"/>
    <n v="60005.55"/>
    <x v="0"/>
    <x v="0"/>
    <x v="3"/>
  </r>
  <r>
    <x v="0"/>
    <x v="3"/>
    <x v="3"/>
    <x v="0"/>
    <x v="0"/>
    <x v="39"/>
    <x v="248"/>
    <n v="14200.46"/>
    <x v="0"/>
    <x v="0"/>
    <x v="3"/>
  </r>
  <r>
    <x v="0"/>
    <x v="4"/>
    <x v="4"/>
    <x v="0"/>
    <x v="0"/>
    <x v="39"/>
    <x v="248"/>
    <n v="95700.45"/>
    <x v="0"/>
    <x v="0"/>
    <x v="3"/>
  </r>
  <r>
    <x v="0"/>
    <x v="0"/>
    <x v="0"/>
    <x v="0"/>
    <x v="0"/>
    <x v="40"/>
    <x v="249"/>
    <n v="3551.71"/>
    <x v="0"/>
    <x v="0"/>
    <x v="3"/>
  </r>
  <r>
    <x v="0"/>
    <x v="1"/>
    <x v="1"/>
    <x v="0"/>
    <x v="0"/>
    <x v="40"/>
    <x v="249"/>
    <n v="16634.23"/>
    <x v="0"/>
    <x v="0"/>
    <x v="3"/>
  </r>
  <r>
    <x v="0"/>
    <x v="2"/>
    <x v="2"/>
    <x v="0"/>
    <x v="0"/>
    <x v="40"/>
    <x v="249"/>
    <n v="54405.599999999999"/>
    <x v="0"/>
    <x v="0"/>
    <x v="3"/>
  </r>
  <r>
    <x v="0"/>
    <x v="3"/>
    <x v="3"/>
    <x v="0"/>
    <x v="0"/>
    <x v="40"/>
    <x v="249"/>
    <n v="14442.72"/>
    <x v="0"/>
    <x v="0"/>
    <x v="3"/>
  </r>
  <r>
    <x v="0"/>
    <x v="4"/>
    <x v="4"/>
    <x v="0"/>
    <x v="0"/>
    <x v="40"/>
    <x v="249"/>
    <n v="89034.26"/>
    <x v="0"/>
    <x v="0"/>
    <x v="3"/>
  </r>
  <r>
    <x v="0"/>
    <x v="0"/>
    <x v="0"/>
    <x v="0"/>
    <x v="0"/>
    <x v="41"/>
    <x v="250"/>
    <n v="5523.7"/>
    <x v="0"/>
    <x v="0"/>
    <x v="3"/>
  </r>
  <r>
    <x v="0"/>
    <x v="1"/>
    <x v="1"/>
    <x v="0"/>
    <x v="0"/>
    <x v="41"/>
    <x v="250"/>
    <n v="24182.31"/>
    <x v="0"/>
    <x v="0"/>
    <x v="3"/>
  </r>
  <r>
    <x v="0"/>
    <x v="2"/>
    <x v="2"/>
    <x v="0"/>
    <x v="0"/>
    <x v="41"/>
    <x v="250"/>
    <n v="56804.66"/>
    <x v="0"/>
    <x v="0"/>
    <x v="3"/>
  </r>
  <r>
    <x v="0"/>
    <x v="3"/>
    <x v="3"/>
    <x v="0"/>
    <x v="0"/>
    <x v="41"/>
    <x v="250"/>
    <n v="21172.98"/>
    <x v="0"/>
    <x v="0"/>
    <x v="3"/>
  </r>
  <r>
    <x v="0"/>
    <x v="4"/>
    <x v="4"/>
    <x v="0"/>
    <x v="0"/>
    <x v="41"/>
    <x v="250"/>
    <n v="107683.65"/>
    <x v="0"/>
    <x v="0"/>
    <x v="3"/>
  </r>
  <r>
    <x v="0"/>
    <x v="0"/>
    <x v="0"/>
    <x v="0"/>
    <x v="0"/>
    <x v="42"/>
    <x v="251"/>
    <n v="9293.31"/>
    <x v="0"/>
    <x v="0"/>
    <x v="3"/>
  </r>
  <r>
    <x v="0"/>
    <x v="1"/>
    <x v="1"/>
    <x v="0"/>
    <x v="0"/>
    <x v="42"/>
    <x v="251"/>
    <n v="39678.660000000003"/>
    <x v="0"/>
    <x v="0"/>
    <x v="3"/>
  </r>
  <r>
    <x v="0"/>
    <x v="2"/>
    <x v="2"/>
    <x v="0"/>
    <x v="0"/>
    <x v="42"/>
    <x v="251"/>
    <n v="108087.58"/>
    <x v="0"/>
    <x v="0"/>
    <x v="3"/>
  </r>
  <r>
    <x v="0"/>
    <x v="3"/>
    <x v="3"/>
    <x v="0"/>
    <x v="0"/>
    <x v="42"/>
    <x v="251"/>
    <n v="41353.71"/>
    <x v="0"/>
    <x v="0"/>
    <x v="3"/>
  </r>
  <r>
    <x v="0"/>
    <x v="4"/>
    <x v="4"/>
    <x v="0"/>
    <x v="0"/>
    <x v="42"/>
    <x v="251"/>
    <n v="198413.26"/>
    <x v="0"/>
    <x v="0"/>
    <x v="3"/>
  </r>
  <r>
    <x v="0"/>
    <x v="0"/>
    <x v="0"/>
    <x v="0"/>
    <x v="0"/>
    <x v="43"/>
    <x v="252"/>
    <n v="7600.98"/>
    <x v="0"/>
    <x v="0"/>
    <x v="3"/>
  </r>
  <r>
    <x v="0"/>
    <x v="1"/>
    <x v="1"/>
    <x v="0"/>
    <x v="0"/>
    <x v="43"/>
    <x v="252"/>
    <n v="68659.100000000006"/>
    <x v="0"/>
    <x v="0"/>
    <x v="3"/>
  </r>
  <r>
    <x v="0"/>
    <x v="2"/>
    <x v="2"/>
    <x v="0"/>
    <x v="0"/>
    <x v="43"/>
    <x v="252"/>
    <n v="265808.26"/>
    <x v="0"/>
    <x v="0"/>
    <x v="3"/>
  </r>
  <r>
    <x v="0"/>
    <x v="3"/>
    <x v="3"/>
    <x v="0"/>
    <x v="0"/>
    <x v="43"/>
    <x v="252"/>
    <n v="248009.3"/>
    <x v="0"/>
    <x v="0"/>
    <x v="3"/>
  </r>
  <r>
    <x v="0"/>
    <x v="4"/>
    <x v="4"/>
    <x v="0"/>
    <x v="0"/>
    <x v="43"/>
    <x v="252"/>
    <n v="590077.64"/>
    <x v="0"/>
    <x v="0"/>
    <x v="3"/>
  </r>
  <r>
    <x v="0"/>
    <x v="0"/>
    <x v="0"/>
    <x v="0"/>
    <x v="0"/>
    <x v="98"/>
    <x v="253"/>
    <n v="0"/>
    <x v="0"/>
    <x v="0"/>
    <x v="2"/>
  </r>
  <r>
    <x v="0"/>
    <x v="1"/>
    <x v="1"/>
    <x v="0"/>
    <x v="0"/>
    <x v="98"/>
    <x v="253"/>
    <n v="0"/>
    <x v="0"/>
    <x v="0"/>
    <x v="2"/>
  </r>
  <r>
    <x v="0"/>
    <x v="2"/>
    <x v="2"/>
    <x v="0"/>
    <x v="0"/>
    <x v="98"/>
    <x v="253"/>
    <n v="0"/>
    <x v="0"/>
    <x v="0"/>
    <x v="2"/>
  </r>
  <r>
    <x v="0"/>
    <x v="3"/>
    <x v="3"/>
    <x v="0"/>
    <x v="0"/>
    <x v="98"/>
    <x v="253"/>
    <n v="0"/>
    <x v="0"/>
    <x v="0"/>
    <x v="2"/>
  </r>
  <r>
    <x v="0"/>
    <x v="4"/>
    <x v="4"/>
    <x v="0"/>
    <x v="0"/>
    <x v="98"/>
    <x v="253"/>
    <n v="0"/>
    <x v="0"/>
    <x v="0"/>
    <x v="2"/>
  </r>
  <r>
    <x v="0"/>
    <x v="0"/>
    <x v="0"/>
    <x v="0"/>
    <x v="0"/>
    <x v="39"/>
    <x v="254"/>
    <n v="0"/>
    <x v="0"/>
    <x v="0"/>
    <x v="3"/>
  </r>
  <r>
    <x v="0"/>
    <x v="1"/>
    <x v="1"/>
    <x v="0"/>
    <x v="0"/>
    <x v="39"/>
    <x v="254"/>
    <n v="0"/>
    <x v="0"/>
    <x v="0"/>
    <x v="3"/>
  </r>
  <r>
    <x v="0"/>
    <x v="2"/>
    <x v="2"/>
    <x v="0"/>
    <x v="0"/>
    <x v="39"/>
    <x v="254"/>
    <n v="0"/>
    <x v="0"/>
    <x v="0"/>
    <x v="3"/>
  </r>
  <r>
    <x v="0"/>
    <x v="3"/>
    <x v="3"/>
    <x v="0"/>
    <x v="0"/>
    <x v="39"/>
    <x v="254"/>
    <n v="0"/>
    <x v="0"/>
    <x v="0"/>
    <x v="3"/>
  </r>
  <r>
    <x v="0"/>
    <x v="4"/>
    <x v="4"/>
    <x v="0"/>
    <x v="0"/>
    <x v="39"/>
    <x v="254"/>
    <n v="0"/>
    <x v="0"/>
    <x v="0"/>
    <x v="3"/>
  </r>
  <r>
    <x v="0"/>
    <x v="0"/>
    <x v="0"/>
    <x v="0"/>
    <x v="0"/>
    <x v="40"/>
    <x v="255"/>
    <n v="0"/>
    <x v="0"/>
    <x v="0"/>
    <x v="3"/>
  </r>
  <r>
    <x v="0"/>
    <x v="1"/>
    <x v="1"/>
    <x v="0"/>
    <x v="0"/>
    <x v="40"/>
    <x v="255"/>
    <n v="0"/>
    <x v="0"/>
    <x v="0"/>
    <x v="3"/>
  </r>
  <r>
    <x v="0"/>
    <x v="2"/>
    <x v="2"/>
    <x v="0"/>
    <x v="0"/>
    <x v="40"/>
    <x v="255"/>
    <n v="0"/>
    <x v="0"/>
    <x v="0"/>
    <x v="3"/>
  </r>
  <r>
    <x v="0"/>
    <x v="3"/>
    <x v="3"/>
    <x v="0"/>
    <x v="0"/>
    <x v="40"/>
    <x v="255"/>
    <n v="0"/>
    <x v="0"/>
    <x v="0"/>
    <x v="3"/>
  </r>
  <r>
    <x v="0"/>
    <x v="4"/>
    <x v="4"/>
    <x v="0"/>
    <x v="0"/>
    <x v="40"/>
    <x v="255"/>
    <n v="0"/>
    <x v="0"/>
    <x v="0"/>
    <x v="3"/>
  </r>
  <r>
    <x v="0"/>
    <x v="0"/>
    <x v="0"/>
    <x v="0"/>
    <x v="0"/>
    <x v="41"/>
    <x v="256"/>
    <n v="0"/>
    <x v="0"/>
    <x v="0"/>
    <x v="3"/>
  </r>
  <r>
    <x v="0"/>
    <x v="1"/>
    <x v="1"/>
    <x v="0"/>
    <x v="0"/>
    <x v="41"/>
    <x v="256"/>
    <n v="0"/>
    <x v="0"/>
    <x v="0"/>
    <x v="3"/>
  </r>
  <r>
    <x v="0"/>
    <x v="2"/>
    <x v="2"/>
    <x v="0"/>
    <x v="0"/>
    <x v="41"/>
    <x v="256"/>
    <n v="0"/>
    <x v="0"/>
    <x v="0"/>
    <x v="3"/>
  </r>
  <r>
    <x v="0"/>
    <x v="3"/>
    <x v="3"/>
    <x v="0"/>
    <x v="0"/>
    <x v="41"/>
    <x v="256"/>
    <n v="0"/>
    <x v="0"/>
    <x v="0"/>
    <x v="3"/>
  </r>
  <r>
    <x v="0"/>
    <x v="4"/>
    <x v="4"/>
    <x v="0"/>
    <x v="0"/>
    <x v="41"/>
    <x v="256"/>
    <n v="0"/>
    <x v="0"/>
    <x v="0"/>
    <x v="3"/>
  </r>
  <r>
    <x v="0"/>
    <x v="0"/>
    <x v="0"/>
    <x v="0"/>
    <x v="0"/>
    <x v="42"/>
    <x v="257"/>
    <n v="0"/>
    <x v="0"/>
    <x v="0"/>
    <x v="3"/>
  </r>
  <r>
    <x v="0"/>
    <x v="1"/>
    <x v="1"/>
    <x v="0"/>
    <x v="0"/>
    <x v="42"/>
    <x v="257"/>
    <n v="0"/>
    <x v="0"/>
    <x v="0"/>
    <x v="3"/>
  </r>
  <r>
    <x v="0"/>
    <x v="2"/>
    <x v="2"/>
    <x v="0"/>
    <x v="0"/>
    <x v="42"/>
    <x v="257"/>
    <n v="0"/>
    <x v="0"/>
    <x v="0"/>
    <x v="3"/>
  </r>
  <r>
    <x v="0"/>
    <x v="3"/>
    <x v="3"/>
    <x v="0"/>
    <x v="0"/>
    <x v="42"/>
    <x v="257"/>
    <n v="0"/>
    <x v="0"/>
    <x v="0"/>
    <x v="3"/>
  </r>
  <r>
    <x v="0"/>
    <x v="4"/>
    <x v="4"/>
    <x v="0"/>
    <x v="0"/>
    <x v="42"/>
    <x v="257"/>
    <n v="0"/>
    <x v="0"/>
    <x v="0"/>
    <x v="3"/>
  </r>
  <r>
    <x v="0"/>
    <x v="0"/>
    <x v="0"/>
    <x v="0"/>
    <x v="0"/>
    <x v="43"/>
    <x v="258"/>
    <n v="0"/>
    <x v="0"/>
    <x v="0"/>
    <x v="3"/>
  </r>
  <r>
    <x v="0"/>
    <x v="1"/>
    <x v="1"/>
    <x v="0"/>
    <x v="0"/>
    <x v="43"/>
    <x v="258"/>
    <n v="0"/>
    <x v="0"/>
    <x v="0"/>
    <x v="3"/>
  </r>
  <r>
    <x v="0"/>
    <x v="2"/>
    <x v="2"/>
    <x v="0"/>
    <x v="0"/>
    <x v="43"/>
    <x v="258"/>
    <n v="0"/>
    <x v="0"/>
    <x v="0"/>
    <x v="3"/>
  </r>
  <r>
    <x v="0"/>
    <x v="3"/>
    <x v="3"/>
    <x v="0"/>
    <x v="0"/>
    <x v="43"/>
    <x v="258"/>
    <n v="0"/>
    <x v="0"/>
    <x v="0"/>
    <x v="3"/>
  </r>
  <r>
    <x v="0"/>
    <x v="4"/>
    <x v="4"/>
    <x v="0"/>
    <x v="0"/>
    <x v="43"/>
    <x v="258"/>
    <n v="0"/>
    <x v="0"/>
    <x v="0"/>
    <x v="3"/>
  </r>
  <r>
    <x v="0"/>
    <x v="0"/>
    <x v="0"/>
    <x v="0"/>
    <x v="0"/>
    <x v="99"/>
    <x v="259"/>
    <n v="99798.080000000002"/>
    <x v="0"/>
    <x v="0"/>
    <x v="2"/>
  </r>
  <r>
    <x v="0"/>
    <x v="1"/>
    <x v="1"/>
    <x v="0"/>
    <x v="0"/>
    <x v="99"/>
    <x v="259"/>
    <n v="0"/>
    <x v="0"/>
    <x v="0"/>
    <x v="2"/>
  </r>
  <r>
    <x v="0"/>
    <x v="2"/>
    <x v="2"/>
    <x v="0"/>
    <x v="0"/>
    <x v="99"/>
    <x v="259"/>
    <n v="261003.27"/>
    <x v="0"/>
    <x v="0"/>
    <x v="2"/>
  </r>
  <r>
    <x v="0"/>
    <x v="3"/>
    <x v="3"/>
    <x v="0"/>
    <x v="0"/>
    <x v="99"/>
    <x v="259"/>
    <n v="0"/>
    <x v="0"/>
    <x v="0"/>
    <x v="2"/>
  </r>
  <r>
    <x v="0"/>
    <x v="4"/>
    <x v="4"/>
    <x v="0"/>
    <x v="0"/>
    <x v="99"/>
    <x v="259"/>
    <n v="360801.35"/>
    <x v="0"/>
    <x v="0"/>
    <x v="2"/>
  </r>
  <r>
    <x v="0"/>
    <x v="0"/>
    <x v="0"/>
    <x v="0"/>
    <x v="0"/>
    <x v="39"/>
    <x v="260"/>
    <n v="7459.87"/>
    <x v="0"/>
    <x v="0"/>
    <x v="3"/>
  </r>
  <r>
    <x v="0"/>
    <x v="1"/>
    <x v="1"/>
    <x v="0"/>
    <x v="0"/>
    <x v="39"/>
    <x v="260"/>
    <n v="0"/>
    <x v="0"/>
    <x v="0"/>
    <x v="3"/>
  </r>
  <r>
    <x v="0"/>
    <x v="2"/>
    <x v="2"/>
    <x v="0"/>
    <x v="0"/>
    <x v="39"/>
    <x v="260"/>
    <n v="12592.44"/>
    <x v="0"/>
    <x v="0"/>
    <x v="3"/>
  </r>
  <r>
    <x v="0"/>
    <x v="3"/>
    <x v="3"/>
    <x v="0"/>
    <x v="0"/>
    <x v="39"/>
    <x v="260"/>
    <n v="0"/>
    <x v="0"/>
    <x v="0"/>
    <x v="3"/>
  </r>
  <r>
    <x v="0"/>
    <x v="4"/>
    <x v="4"/>
    <x v="0"/>
    <x v="0"/>
    <x v="39"/>
    <x v="260"/>
    <n v="20052.310000000001"/>
    <x v="0"/>
    <x v="0"/>
    <x v="3"/>
  </r>
  <r>
    <x v="0"/>
    <x v="0"/>
    <x v="0"/>
    <x v="0"/>
    <x v="0"/>
    <x v="40"/>
    <x v="261"/>
    <n v="6685.87"/>
    <x v="0"/>
    <x v="0"/>
    <x v="3"/>
  </r>
  <r>
    <x v="0"/>
    <x v="1"/>
    <x v="1"/>
    <x v="0"/>
    <x v="0"/>
    <x v="40"/>
    <x v="261"/>
    <n v="0"/>
    <x v="0"/>
    <x v="0"/>
    <x v="3"/>
  </r>
  <r>
    <x v="0"/>
    <x v="2"/>
    <x v="2"/>
    <x v="0"/>
    <x v="0"/>
    <x v="40"/>
    <x v="261"/>
    <n v="13209.68"/>
    <x v="0"/>
    <x v="0"/>
    <x v="3"/>
  </r>
  <r>
    <x v="0"/>
    <x v="3"/>
    <x v="3"/>
    <x v="0"/>
    <x v="0"/>
    <x v="40"/>
    <x v="261"/>
    <n v="0"/>
    <x v="0"/>
    <x v="0"/>
    <x v="3"/>
  </r>
  <r>
    <x v="0"/>
    <x v="4"/>
    <x v="4"/>
    <x v="0"/>
    <x v="0"/>
    <x v="40"/>
    <x v="261"/>
    <n v="19895.55"/>
    <x v="0"/>
    <x v="0"/>
    <x v="3"/>
  </r>
  <r>
    <x v="0"/>
    <x v="0"/>
    <x v="0"/>
    <x v="0"/>
    <x v="0"/>
    <x v="41"/>
    <x v="262"/>
    <n v="10442.51"/>
    <x v="0"/>
    <x v="0"/>
    <x v="3"/>
  </r>
  <r>
    <x v="0"/>
    <x v="1"/>
    <x v="1"/>
    <x v="0"/>
    <x v="0"/>
    <x v="41"/>
    <x v="262"/>
    <n v="0"/>
    <x v="0"/>
    <x v="0"/>
    <x v="3"/>
  </r>
  <r>
    <x v="0"/>
    <x v="2"/>
    <x v="2"/>
    <x v="0"/>
    <x v="0"/>
    <x v="41"/>
    <x v="262"/>
    <n v="20185.71"/>
    <x v="0"/>
    <x v="0"/>
    <x v="3"/>
  </r>
  <r>
    <x v="0"/>
    <x v="3"/>
    <x v="3"/>
    <x v="0"/>
    <x v="0"/>
    <x v="41"/>
    <x v="262"/>
    <n v="0"/>
    <x v="0"/>
    <x v="0"/>
    <x v="3"/>
  </r>
  <r>
    <x v="0"/>
    <x v="4"/>
    <x v="4"/>
    <x v="0"/>
    <x v="0"/>
    <x v="41"/>
    <x v="262"/>
    <n v="30628.22"/>
    <x v="0"/>
    <x v="0"/>
    <x v="3"/>
  </r>
  <r>
    <x v="0"/>
    <x v="0"/>
    <x v="0"/>
    <x v="0"/>
    <x v="0"/>
    <x v="42"/>
    <x v="263"/>
    <n v="20715.75"/>
    <x v="0"/>
    <x v="0"/>
    <x v="3"/>
  </r>
  <r>
    <x v="0"/>
    <x v="1"/>
    <x v="1"/>
    <x v="0"/>
    <x v="0"/>
    <x v="42"/>
    <x v="263"/>
    <n v="0"/>
    <x v="0"/>
    <x v="0"/>
    <x v="3"/>
  </r>
  <r>
    <x v="0"/>
    <x v="2"/>
    <x v="2"/>
    <x v="0"/>
    <x v="0"/>
    <x v="42"/>
    <x v="263"/>
    <n v="42391.27"/>
    <x v="0"/>
    <x v="0"/>
    <x v="3"/>
  </r>
  <r>
    <x v="0"/>
    <x v="3"/>
    <x v="3"/>
    <x v="0"/>
    <x v="0"/>
    <x v="42"/>
    <x v="263"/>
    <n v="0"/>
    <x v="0"/>
    <x v="0"/>
    <x v="3"/>
  </r>
  <r>
    <x v="0"/>
    <x v="4"/>
    <x v="4"/>
    <x v="0"/>
    <x v="0"/>
    <x v="42"/>
    <x v="263"/>
    <n v="63107.02"/>
    <x v="0"/>
    <x v="0"/>
    <x v="3"/>
  </r>
  <r>
    <x v="0"/>
    <x v="0"/>
    <x v="0"/>
    <x v="0"/>
    <x v="0"/>
    <x v="43"/>
    <x v="264"/>
    <n v="54494.080000000002"/>
    <x v="0"/>
    <x v="0"/>
    <x v="3"/>
  </r>
  <r>
    <x v="0"/>
    <x v="1"/>
    <x v="1"/>
    <x v="0"/>
    <x v="0"/>
    <x v="43"/>
    <x v="264"/>
    <n v="0"/>
    <x v="0"/>
    <x v="0"/>
    <x v="3"/>
  </r>
  <r>
    <x v="0"/>
    <x v="2"/>
    <x v="2"/>
    <x v="0"/>
    <x v="0"/>
    <x v="43"/>
    <x v="264"/>
    <n v="172624.17"/>
    <x v="0"/>
    <x v="0"/>
    <x v="3"/>
  </r>
  <r>
    <x v="0"/>
    <x v="3"/>
    <x v="3"/>
    <x v="0"/>
    <x v="0"/>
    <x v="43"/>
    <x v="264"/>
    <n v="0"/>
    <x v="0"/>
    <x v="0"/>
    <x v="3"/>
  </r>
  <r>
    <x v="0"/>
    <x v="4"/>
    <x v="4"/>
    <x v="0"/>
    <x v="0"/>
    <x v="43"/>
    <x v="264"/>
    <n v="227118.25"/>
    <x v="0"/>
    <x v="0"/>
    <x v="3"/>
  </r>
  <r>
    <x v="0"/>
    <x v="0"/>
    <x v="0"/>
    <x v="0"/>
    <x v="0"/>
    <x v="100"/>
    <x v="265"/>
    <n v="0"/>
    <x v="0"/>
    <x v="0"/>
    <x v="2"/>
  </r>
  <r>
    <x v="0"/>
    <x v="1"/>
    <x v="1"/>
    <x v="0"/>
    <x v="0"/>
    <x v="100"/>
    <x v="265"/>
    <n v="0"/>
    <x v="0"/>
    <x v="0"/>
    <x v="2"/>
  </r>
  <r>
    <x v="0"/>
    <x v="2"/>
    <x v="2"/>
    <x v="0"/>
    <x v="0"/>
    <x v="100"/>
    <x v="265"/>
    <n v="192655.97"/>
    <x v="0"/>
    <x v="0"/>
    <x v="2"/>
  </r>
  <r>
    <x v="0"/>
    <x v="3"/>
    <x v="3"/>
    <x v="0"/>
    <x v="0"/>
    <x v="100"/>
    <x v="265"/>
    <n v="0"/>
    <x v="0"/>
    <x v="0"/>
    <x v="2"/>
  </r>
  <r>
    <x v="0"/>
    <x v="4"/>
    <x v="4"/>
    <x v="0"/>
    <x v="0"/>
    <x v="100"/>
    <x v="265"/>
    <n v="192655.97"/>
    <x v="0"/>
    <x v="0"/>
    <x v="2"/>
  </r>
  <r>
    <x v="0"/>
    <x v="0"/>
    <x v="0"/>
    <x v="0"/>
    <x v="0"/>
    <x v="39"/>
    <x v="266"/>
    <n v="0"/>
    <x v="0"/>
    <x v="0"/>
    <x v="3"/>
  </r>
  <r>
    <x v="0"/>
    <x v="1"/>
    <x v="1"/>
    <x v="0"/>
    <x v="0"/>
    <x v="39"/>
    <x v="266"/>
    <n v="0"/>
    <x v="0"/>
    <x v="0"/>
    <x v="3"/>
  </r>
  <r>
    <x v="0"/>
    <x v="2"/>
    <x v="2"/>
    <x v="0"/>
    <x v="0"/>
    <x v="39"/>
    <x v="266"/>
    <n v="3499.89"/>
    <x v="0"/>
    <x v="0"/>
    <x v="3"/>
  </r>
  <r>
    <x v="0"/>
    <x v="3"/>
    <x v="3"/>
    <x v="0"/>
    <x v="0"/>
    <x v="39"/>
    <x v="266"/>
    <n v="0"/>
    <x v="0"/>
    <x v="0"/>
    <x v="3"/>
  </r>
  <r>
    <x v="0"/>
    <x v="4"/>
    <x v="4"/>
    <x v="0"/>
    <x v="0"/>
    <x v="39"/>
    <x v="266"/>
    <n v="3499.89"/>
    <x v="0"/>
    <x v="0"/>
    <x v="3"/>
  </r>
  <r>
    <x v="0"/>
    <x v="0"/>
    <x v="0"/>
    <x v="0"/>
    <x v="0"/>
    <x v="40"/>
    <x v="267"/>
    <n v="0"/>
    <x v="0"/>
    <x v="0"/>
    <x v="3"/>
  </r>
  <r>
    <x v="0"/>
    <x v="1"/>
    <x v="1"/>
    <x v="0"/>
    <x v="0"/>
    <x v="40"/>
    <x v="267"/>
    <n v="0"/>
    <x v="0"/>
    <x v="0"/>
    <x v="3"/>
  </r>
  <r>
    <x v="0"/>
    <x v="2"/>
    <x v="2"/>
    <x v="0"/>
    <x v="0"/>
    <x v="40"/>
    <x v="267"/>
    <n v="2277.9899999999998"/>
    <x v="0"/>
    <x v="0"/>
    <x v="3"/>
  </r>
  <r>
    <x v="0"/>
    <x v="3"/>
    <x v="3"/>
    <x v="0"/>
    <x v="0"/>
    <x v="40"/>
    <x v="267"/>
    <n v="0"/>
    <x v="0"/>
    <x v="0"/>
    <x v="3"/>
  </r>
  <r>
    <x v="0"/>
    <x v="4"/>
    <x v="4"/>
    <x v="0"/>
    <x v="0"/>
    <x v="40"/>
    <x v="267"/>
    <n v="2277.9899999999998"/>
    <x v="0"/>
    <x v="0"/>
    <x v="3"/>
  </r>
  <r>
    <x v="0"/>
    <x v="0"/>
    <x v="0"/>
    <x v="0"/>
    <x v="0"/>
    <x v="41"/>
    <x v="268"/>
    <n v="0"/>
    <x v="0"/>
    <x v="0"/>
    <x v="3"/>
  </r>
  <r>
    <x v="0"/>
    <x v="1"/>
    <x v="1"/>
    <x v="0"/>
    <x v="0"/>
    <x v="41"/>
    <x v="268"/>
    <n v="0"/>
    <x v="0"/>
    <x v="0"/>
    <x v="3"/>
  </r>
  <r>
    <x v="0"/>
    <x v="2"/>
    <x v="2"/>
    <x v="0"/>
    <x v="0"/>
    <x v="41"/>
    <x v="268"/>
    <n v="3414.93"/>
    <x v="0"/>
    <x v="0"/>
    <x v="3"/>
  </r>
  <r>
    <x v="0"/>
    <x v="3"/>
    <x v="3"/>
    <x v="0"/>
    <x v="0"/>
    <x v="41"/>
    <x v="268"/>
    <n v="0"/>
    <x v="0"/>
    <x v="0"/>
    <x v="3"/>
  </r>
  <r>
    <x v="0"/>
    <x v="4"/>
    <x v="4"/>
    <x v="0"/>
    <x v="0"/>
    <x v="41"/>
    <x v="268"/>
    <n v="3414.93"/>
    <x v="0"/>
    <x v="0"/>
    <x v="3"/>
  </r>
  <r>
    <x v="0"/>
    <x v="0"/>
    <x v="0"/>
    <x v="0"/>
    <x v="0"/>
    <x v="42"/>
    <x v="269"/>
    <n v="0"/>
    <x v="0"/>
    <x v="0"/>
    <x v="3"/>
  </r>
  <r>
    <x v="0"/>
    <x v="1"/>
    <x v="1"/>
    <x v="0"/>
    <x v="0"/>
    <x v="42"/>
    <x v="269"/>
    <n v="0"/>
    <x v="0"/>
    <x v="0"/>
    <x v="3"/>
  </r>
  <r>
    <x v="0"/>
    <x v="2"/>
    <x v="2"/>
    <x v="0"/>
    <x v="0"/>
    <x v="42"/>
    <x v="269"/>
    <n v="7032.72"/>
    <x v="0"/>
    <x v="0"/>
    <x v="3"/>
  </r>
  <r>
    <x v="0"/>
    <x v="3"/>
    <x v="3"/>
    <x v="0"/>
    <x v="0"/>
    <x v="42"/>
    <x v="269"/>
    <n v="0"/>
    <x v="0"/>
    <x v="0"/>
    <x v="3"/>
  </r>
  <r>
    <x v="0"/>
    <x v="4"/>
    <x v="4"/>
    <x v="0"/>
    <x v="0"/>
    <x v="42"/>
    <x v="269"/>
    <n v="7032.72"/>
    <x v="0"/>
    <x v="0"/>
    <x v="3"/>
  </r>
  <r>
    <x v="0"/>
    <x v="0"/>
    <x v="0"/>
    <x v="0"/>
    <x v="0"/>
    <x v="43"/>
    <x v="270"/>
    <n v="0"/>
    <x v="0"/>
    <x v="0"/>
    <x v="3"/>
  </r>
  <r>
    <x v="0"/>
    <x v="1"/>
    <x v="1"/>
    <x v="0"/>
    <x v="0"/>
    <x v="43"/>
    <x v="270"/>
    <n v="0"/>
    <x v="0"/>
    <x v="0"/>
    <x v="3"/>
  </r>
  <r>
    <x v="0"/>
    <x v="2"/>
    <x v="2"/>
    <x v="0"/>
    <x v="0"/>
    <x v="43"/>
    <x v="270"/>
    <n v="176430.44"/>
    <x v="0"/>
    <x v="0"/>
    <x v="3"/>
  </r>
  <r>
    <x v="0"/>
    <x v="3"/>
    <x v="3"/>
    <x v="0"/>
    <x v="0"/>
    <x v="43"/>
    <x v="270"/>
    <n v="0"/>
    <x v="0"/>
    <x v="0"/>
    <x v="3"/>
  </r>
  <r>
    <x v="0"/>
    <x v="4"/>
    <x v="4"/>
    <x v="0"/>
    <x v="0"/>
    <x v="43"/>
    <x v="270"/>
    <n v="176430.44"/>
    <x v="0"/>
    <x v="0"/>
    <x v="3"/>
  </r>
  <r>
    <x v="0"/>
    <x v="0"/>
    <x v="0"/>
    <x v="0"/>
    <x v="0"/>
    <x v="101"/>
    <x v="271"/>
    <n v="0"/>
    <x v="0"/>
    <x v="0"/>
    <x v="2"/>
  </r>
  <r>
    <x v="0"/>
    <x v="1"/>
    <x v="1"/>
    <x v="0"/>
    <x v="0"/>
    <x v="101"/>
    <x v="271"/>
    <n v="0"/>
    <x v="0"/>
    <x v="0"/>
    <x v="2"/>
  </r>
  <r>
    <x v="0"/>
    <x v="2"/>
    <x v="2"/>
    <x v="0"/>
    <x v="0"/>
    <x v="101"/>
    <x v="271"/>
    <n v="0"/>
    <x v="0"/>
    <x v="0"/>
    <x v="2"/>
  </r>
  <r>
    <x v="0"/>
    <x v="3"/>
    <x v="3"/>
    <x v="0"/>
    <x v="0"/>
    <x v="101"/>
    <x v="271"/>
    <n v="0"/>
    <x v="0"/>
    <x v="0"/>
    <x v="2"/>
  </r>
  <r>
    <x v="0"/>
    <x v="4"/>
    <x v="4"/>
    <x v="0"/>
    <x v="0"/>
    <x v="101"/>
    <x v="271"/>
    <n v="0"/>
    <x v="0"/>
    <x v="0"/>
    <x v="2"/>
  </r>
  <r>
    <x v="0"/>
    <x v="0"/>
    <x v="0"/>
    <x v="0"/>
    <x v="0"/>
    <x v="39"/>
    <x v="272"/>
    <n v="0"/>
    <x v="0"/>
    <x v="0"/>
    <x v="3"/>
  </r>
  <r>
    <x v="0"/>
    <x v="1"/>
    <x v="1"/>
    <x v="0"/>
    <x v="0"/>
    <x v="39"/>
    <x v="272"/>
    <n v="0"/>
    <x v="0"/>
    <x v="0"/>
    <x v="3"/>
  </r>
  <r>
    <x v="0"/>
    <x v="2"/>
    <x v="2"/>
    <x v="0"/>
    <x v="0"/>
    <x v="39"/>
    <x v="272"/>
    <n v="0"/>
    <x v="0"/>
    <x v="0"/>
    <x v="3"/>
  </r>
  <r>
    <x v="0"/>
    <x v="3"/>
    <x v="3"/>
    <x v="0"/>
    <x v="0"/>
    <x v="39"/>
    <x v="272"/>
    <n v="0"/>
    <x v="0"/>
    <x v="0"/>
    <x v="3"/>
  </r>
  <r>
    <x v="0"/>
    <x v="4"/>
    <x v="4"/>
    <x v="0"/>
    <x v="0"/>
    <x v="39"/>
    <x v="272"/>
    <n v="0"/>
    <x v="0"/>
    <x v="0"/>
    <x v="3"/>
  </r>
  <r>
    <x v="0"/>
    <x v="0"/>
    <x v="0"/>
    <x v="0"/>
    <x v="0"/>
    <x v="40"/>
    <x v="273"/>
    <n v="0"/>
    <x v="0"/>
    <x v="0"/>
    <x v="3"/>
  </r>
  <r>
    <x v="0"/>
    <x v="1"/>
    <x v="1"/>
    <x v="0"/>
    <x v="0"/>
    <x v="40"/>
    <x v="273"/>
    <n v="0"/>
    <x v="0"/>
    <x v="0"/>
    <x v="3"/>
  </r>
  <r>
    <x v="0"/>
    <x v="2"/>
    <x v="2"/>
    <x v="0"/>
    <x v="0"/>
    <x v="40"/>
    <x v="273"/>
    <n v="0"/>
    <x v="0"/>
    <x v="0"/>
    <x v="3"/>
  </r>
  <r>
    <x v="0"/>
    <x v="3"/>
    <x v="3"/>
    <x v="0"/>
    <x v="0"/>
    <x v="40"/>
    <x v="273"/>
    <n v="0"/>
    <x v="0"/>
    <x v="0"/>
    <x v="3"/>
  </r>
  <r>
    <x v="0"/>
    <x v="4"/>
    <x v="4"/>
    <x v="0"/>
    <x v="0"/>
    <x v="40"/>
    <x v="273"/>
    <n v="0"/>
    <x v="0"/>
    <x v="0"/>
    <x v="3"/>
  </r>
  <r>
    <x v="0"/>
    <x v="0"/>
    <x v="0"/>
    <x v="0"/>
    <x v="0"/>
    <x v="41"/>
    <x v="274"/>
    <n v="0"/>
    <x v="0"/>
    <x v="0"/>
    <x v="3"/>
  </r>
  <r>
    <x v="0"/>
    <x v="1"/>
    <x v="1"/>
    <x v="0"/>
    <x v="0"/>
    <x v="41"/>
    <x v="274"/>
    <n v="0"/>
    <x v="0"/>
    <x v="0"/>
    <x v="3"/>
  </r>
  <r>
    <x v="0"/>
    <x v="2"/>
    <x v="2"/>
    <x v="0"/>
    <x v="0"/>
    <x v="41"/>
    <x v="274"/>
    <n v="0"/>
    <x v="0"/>
    <x v="0"/>
    <x v="3"/>
  </r>
  <r>
    <x v="0"/>
    <x v="3"/>
    <x v="3"/>
    <x v="0"/>
    <x v="0"/>
    <x v="41"/>
    <x v="274"/>
    <n v="0"/>
    <x v="0"/>
    <x v="0"/>
    <x v="3"/>
  </r>
  <r>
    <x v="0"/>
    <x v="4"/>
    <x v="4"/>
    <x v="0"/>
    <x v="0"/>
    <x v="41"/>
    <x v="274"/>
    <n v="0"/>
    <x v="0"/>
    <x v="0"/>
    <x v="3"/>
  </r>
  <r>
    <x v="0"/>
    <x v="0"/>
    <x v="0"/>
    <x v="0"/>
    <x v="0"/>
    <x v="42"/>
    <x v="275"/>
    <n v="0"/>
    <x v="0"/>
    <x v="0"/>
    <x v="3"/>
  </r>
  <r>
    <x v="0"/>
    <x v="1"/>
    <x v="1"/>
    <x v="0"/>
    <x v="0"/>
    <x v="42"/>
    <x v="275"/>
    <n v="0"/>
    <x v="0"/>
    <x v="0"/>
    <x v="3"/>
  </r>
  <r>
    <x v="0"/>
    <x v="2"/>
    <x v="2"/>
    <x v="0"/>
    <x v="0"/>
    <x v="42"/>
    <x v="275"/>
    <n v="0"/>
    <x v="0"/>
    <x v="0"/>
    <x v="3"/>
  </r>
  <r>
    <x v="0"/>
    <x v="3"/>
    <x v="3"/>
    <x v="0"/>
    <x v="0"/>
    <x v="42"/>
    <x v="275"/>
    <n v="0"/>
    <x v="0"/>
    <x v="0"/>
    <x v="3"/>
  </r>
  <r>
    <x v="0"/>
    <x v="4"/>
    <x v="4"/>
    <x v="0"/>
    <x v="0"/>
    <x v="42"/>
    <x v="275"/>
    <n v="0"/>
    <x v="0"/>
    <x v="0"/>
    <x v="3"/>
  </r>
  <r>
    <x v="0"/>
    <x v="0"/>
    <x v="0"/>
    <x v="0"/>
    <x v="0"/>
    <x v="43"/>
    <x v="276"/>
    <n v="0"/>
    <x v="0"/>
    <x v="0"/>
    <x v="3"/>
  </r>
  <r>
    <x v="0"/>
    <x v="1"/>
    <x v="1"/>
    <x v="0"/>
    <x v="0"/>
    <x v="43"/>
    <x v="276"/>
    <n v="0"/>
    <x v="0"/>
    <x v="0"/>
    <x v="3"/>
  </r>
  <r>
    <x v="0"/>
    <x v="2"/>
    <x v="2"/>
    <x v="0"/>
    <x v="0"/>
    <x v="43"/>
    <x v="276"/>
    <n v="0"/>
    <x v="0"/>
    <x v="0"/>
    <x v="3"/>
  </r>
  <r>
    <x v="0"/>
    <x v="3"/>
    <x v="3"/>
    <x v="0"/>
    <x v="0"/>
    <x v="43"/>
    <x v="276"/>
    <n v="0"/>
    <x v="0"/>
    <x v="0"/>
    <x v="3"/>
  </r>
  <r>
    <x v="0"/>
    <x v="4"/>
    <x v="4"/>
    <x v="0"/>
    <x v="0"/>
    <x v="43"/>
    <x v="276"/>
    <n v="0"/>
    <x v="0"/>
    <x v="0"/>
    <x v="3"/>
  </r>
  <r>
    <x v="0"/>
    <x v="0"/>
    <x v="0"/>
    <x v="0"/>
    <x v="0"/>
    <x v="102"/>
    <x v="277"/>
    <n v="0"/>
    <x v="0"/>
    <x v="0"/>
    <x v="2"/>
  </r>
  <r>
    <x v="0"/>
    <x v="1"/>
    <x v="1"/>
    <x v="0"/>
    <x v="0"/>
    <x v="102"/>
    <x v="277"/>
    <n v="0"/>
    <x v="0"/>
    <x v="0"/>
    <x v="2"/>
  </r>
  <r>
    <x v="0"/>
    <x v="2"/>
    <x v="2"/>
    <x v="0"/>
    <x v="0"/>
    <x v="102"/>
    <x v="277"/>
    <n v="89667.74"/>
    <x v="0"/>
    <x v="0"/>
    <x v="2"/>
  </r>
  <r>
    <x v="0"/>
    <x v="3"/>
    <x v="3"/>
    <x v="0"/>
    <x v="0"/>
    <x v="102"/>
    <x v="277"/>
    <n v="169944.18"/>
    <x v="0"/>
    <x v="0"/>
    <x v="2"/>
  </r>
  <r>
    <x v="0"/>
    <x v="4"/>
    <x v="4"/>
    <x v="0"/>
    <x v="0"/>
    <x v="102"/>
    <x v="277"/>
    <n v="259611.92"/>
    <x v="0"/>
    <x v="0"/>
    <x v="2"/>
  </r>
  <r>
    <x v="0"/>
    <x v="0"/>
    <x v="0"/>
    <x v="0"/>
    <x v="0"/>
    <x v="39"/>
    <x v="278"/>
    <n v="0"/>
    <x v="0"/>
    <x v="0"/>
    <x v="3"/>
  </r>
  <r>
    <x v="0"/>
    <x v="1"/>
    <x v="1"/>
    <x v="0"/>
    <x v="0"/>
    <x v="39"/>
    <x v="278"/>
    <n v="0"/>
    <x v="0"/>
    <x v="0"/>
    <x v="3"/>
  </r>
  <r>
    <x v="0"/>
    <x v="2"/>
    <x v="2"/>
    <x v="0"/>
    <x v="0"/>
    <x v="39"/>
    <x v="278"/>
    <n v="5757.23"/>
    <x v="0"/>
    <x v="0"/>
    <x v="3"/>
  </r>
  <r>
    <x v="0"/>
    <x v="3"/>
    <x v="3"/>
    <x v="0"/>
    <x v="0"/>
    <x v="39"/>
    <x v="278"/>
    <n v="3675.99"/>
    <x v="0"/>
    <x v="0"/>
    <x v="3"/>
  </r>
  <r>
    <x v="0"/>
    <x v="4"/>
    <x v="4"/>
    <x v="0"/>
    <x v="0"/>
    <x v="39"/>
    <x v="278"/>
    <n v="9433.2199999999993"/>
    <x v="0"/>
    <x v="0"/>
    <x v="3"/>
  </r>
  <r>
    <x v="0"/>
    <x v="0"/>
    <x v="0"/>
    <x v="0"/>
    <x v="0"/>
    <x v="40"/>
    <x v="279"/>
    <n v="0"/>
    <x v="0"/>
    <x v="0"/>
    <x v="3"/>
  </r>
  <r>
    <x v="0"/>
    <x v="1"/>
    <x v="1"/>
    <x v="0"/>
    <x v="0"/>
    <x v="40"/>
    <x v="279"/>
    <n v="0"/>
    <x v="0"/>
    <x v="0"/>
    <x v="3"/>
  </r>
  <r>
    <x v="0"/>
    <x v="2"/>
    <x v="2"/>
    <x v="0"/>
    <x v="0"/>
    <x v="40"/>
    <x v="279"/>
    <n v="14493.29"/>
    <x v="0"/>
    <x v="0"/>
    <x v="3"/>
  </r>
  <r>
    <x v="0"/>
    <x v="3"/>
    <x v="3"/>
    <x v="0"/>
    <x v="0"/>
    <x v="40"/>
    <x v="279"/>
    <n v="3891.52"/>
    <x v="0"/>
    <x v="0"/>
    <x v="3"/>
  </r>
  <r>
    <x v="0"/>
    <x v="4"/>
    <x v="4"/>
    <x v="0"/>
    <x v="0"/>
    <x v="40"/>
    <x v="279"/>
    <n v="18384.810000000001"/>
    <x v="0"/>
    <x v="0"/>
    <x v="3"/>
  </r>
  <r>
    <x v="0"/>
    <x v="0"/>
    <x v="0"/>
    <x v="0"/>
    <x v="0"/>
    <x v="41"/>
    <x v="280"/>
    <n v="0"/>
    <x v="0"/>
    <x v="0"/>
    <x v="3"/>
  </r>
  <r>
    <x v="0"/>
    <x v="1"/>
    <x v="1"/>
    <x v="0"/>
    <x v="0"/>
    <x v="41"/>
    <x v="280"/>
    <n v="0"/>
    <x v="0"/>
    <x v="0"/>
    <x v="3"/>
  </r>
  <r>
    <x v="0"/>
    <x v="2"/>
    <x v="2"/>
    <x v="0"/>
    <x v="0"/>
    <x v="41"/>
    <x v="280"/>
    <n v="15082.45"/>
    <x v="0"/>
    <x v="0"/>
    <x v="3"/>
  </r>
  <r>
    <x v="0"/>
    <x v="3"/>
    <x v="3"/>
    <x v="0"/>
    <x v="0"/>
    <x v="41"/>
    <x v="280"/>
    <n v="5856.27"/>
    <x v="0"/>
    <x v="0"/>
    <x v="3"/>
  </r>
  <r>
    <x v="0"/>
    <x v="4"/>
    <x v="4"/>
    <x v="0"/>
    <x v="0"/>
    <x v="41"/>
    <x v="280"/>
    <n v="20938.72"/>
    <x v="0"/>
    <x v="0"/>
    <x v="3"/>
  </r>
  <r>
    <x v="0"/>
    <x v="0"/>
    <x v="0"/>
    <x v="0"/>
    <x v="0"/>
    <x v="42"/>
    <x v="281"/>
    <n v="0"/>
    <x v="0"/>
    <x v="0"/>
    <x v="3"/>
  </r>
  <r>
    <x v="0"/>
    <x v="1"/>
    <x v="1"/>
    <x v="0"/>
    <x v="0"/>
    <x v="42"/>
    <x v="281"/>
    <n v="0"/>
    <x v="0"/>
    <x v="0"/>
    <x v="3"/>
  </r>
  <r>
    <x v="0"/>
    <x v="2"/>
    <x v="2"/>
    <x v="0"/>
    <x v="0"/>
    <x v="42"/>
    <x v="281"/>
    <n v="21791.27"/>
    <x v="0"/>
    <x v="0"/>
    <x v="3"/>
  </r>
  <r>
    <x v="0"/>
    <x v="3"/>
    <x v="3"/>
    <x v="0"/>
    <x v="0"/>
    <x v="42"/>
    <x v="281"/>
    <n v="11989.99"/>
    <x v="0"/>
    <x v="0"/>
    <x v="3"/>
  </r>
  <r>
    <x v="0"/>
    <x v="4"/>
    <x v="4"/>
    <x v="0"/>
    <x v="0"/>
    <x v="42"/>
    <x v="281"/>
    <n v="33781.26"/>
    <x v="0"/>
    <x v="0"/>
    <x v="3"/>
  </r>
  <r>
    <x v="0"/>
    <x v="0"/>
    <x v="0"/>
    <x v="0"/>
    <x v="0"/>
    <x v="43"/>
    <x v="282"/>
    <n v="0"/>
    <x v="0"/>
    <x v="0"/>
    <x v="3"/>
  </r>
  <r>
    <x v="0"/>
    <x v="1"/>
    <x v="1"/>
    <x v="0"/>
    <x v="0"/>
    <x v="43"/>
    <x v="282"/>
    <n v="0"/>
    <x v="0"/>
    <x v="0"/>
    <x v="3"/>
  </r>
  <r>
    <x v="0"/>
    <x v="2"/>
    <x v="2"/>
    <x v="0"/>
    <x v="0"/>
    <x v="43"/>
    <x v="282"/>
    <n v="32543.5"/>
    <x v="0"/>
    <x v="0"/>
    <x v="3"/>
  </r>
  <r>
    <x v="0"/>
    <x v="3"/>
    <x v="3"/>
    <x v="0"/>
    <x v="0"/>
    <x v="43"/>
    <x v="282"/>
    <n v="144530.41"/>
    <x v="0"/>
    <x v="0"/>
    <x v="3"/>
  </r>
  <r>
    <x v="0"/>
    <x v="4"/>
    <x v="4"/>
    <x v="0"/>
    <x v="0"/>
    <x v="43"/>
    <x v="282"/>
    <n v="177073.91"/>
    <x v="0"/>
    <x v="0"/>
    <x v="3"/>
  </r>
  <r>
    <x v="0"/>
    <x v="0"/>
    <x v="0"/>
    <x v="0"/>
    <x v="0"/>
    <x v="103"/>
    <x v="283"/>
    <n v="0"/>
    <x v="0"/>
    <x v="0"/>
    <x v="2"/>
  </r>
  <r>
    <x v="0"/>
    <x v="1"/>
    <x v="1"/>
    <x v="0"/>
    <x v="0"/>
    <x v="103"/>
    <x v="283"/>
    <n v="0"/>
    <x v="0"/>
    <x v="0"/>
    <x v="2"/>
  </r>
  <r>
    <x v="0"/>
    <x v="2"/>
    <x v="2"/>
    <x v="0"/>
    <x v="0"/>
    <x v="103"/>
    <x v="283"/>
    <n v="0"/>
    <x v="0"/>
    <x v="0"/>
    <x v="2"/>
  </r>
  <r>
    <x v="0"/>
    <x v="3"/>
    <x v="3"/>
    <x v="0"/>
    <x v="0"/>
    <x v="103"/>
    <x v="283"/>
    <n v="42483.02"/>
    <x v="0"/>
    <x v="0"/>
    <x v="2"/>
  </r>
  <r>
    <x v="0"/>
    <x v="4"/>
    <x v="4"/>
    <x v="0"/>
    <x v="0"/>
    <x v="103"/>
    <x v="283"/>
    <n v="42483.02"/>
    <x v="0"/>
    <x v="0"/>
    <x v="2"/>
  </r>
  <r>
    <x v="0"/>
    <x v="0"/>
    <x v="0"/>
    <x v="0"/>
    <x v="0"/>
    <x v="39"/>
    <x v="284"/>
    <n v="0"/>
    <x v="0"/>
    <x v="0"/>
    <x v="3"/>
  </r>
  <r>
    <x v="0"/>
    <x v="1"/>
    <x v="1"/>
    <x v="0"/>
    <x v="0"/>
    <x v="39"/>
    <x v="284"/>
    <n v="0"/>
    <x v="0"/>
    <x v="0"/>
    <x v="3"/>
  </r>
  <r>
    <x v="0"/>
    <x v="2"/>
    <x v="2"/>
    <x v="0"/>
    <x v="0"/>
    <x v="39"/>
    <x v="284"/>
    <n v="0"/>
    <x v="0"/>
    <x v="0"/>
    <x v="3"/>
  </r>
  <r>
    <x v="0"/>
    <x v="3"/>
    <x v="3"/>
    <x v="0"/>
    <x v="0"/>
    <x v="39"/>
    <x v="284"/>
    <n v="216.47"/>
    <x v="0"/>
    <x v="0"/>
    <x v="3"/>
  </r>
  <r>
    <x v="0"/>
    <x v="4"/>
    <x v="4"/>
    <x v="0"/>
    <x v="0"/>
    <x v="39"/>
    <x v="284"/>
    <n v="216.47"/>
    <x v="0"/>
    <x v="0"/>
    <x v="3"/>
  </r>
  <r>
    <x v="0"/>
    <x v="0"/>
    <x v="0"/>
    <x v="0"/>
    <x v="0"/>
    <x v="40"/>
    <x v="285"/>
    <n v="0"/>
    <x v="0"/>
    <x v="0"/>
    <x v="3"/>
  </r>
  <r>
    <x v="0"/>
    <x v="1"/>
    <x v="1"/>
    <x v="0"/>
    <x v="0"/>
    <x v="40"/>
    <x v="285"/>
    <n v="0"/>
    <x v="0"/>
    <x v="0"/>
    <x v="3"/>
  </r>
  <r>
    <x v="0"/>
    <x v="2"/>
    <x v="2"/>
    <x v="0"/>
    <x v="0"/>
    <x v="40"/>
    <x v="285"/>
    <n v="0"/>
    <x v="0"/>
    <x v="0"/>
    <x v="3"/>
  </r>
  <r>
    <x v="0"/>
    <x v="3"/>
    <x v="3"/>
    <x v="0"/>
    <x v="0"/>
    <x v="40"/>
    <x v="285"/>
    <n v="327.16000000000003"/>
    <x v="0"/>
    <x v="0"/>
    <x v="3"/>
  </r>
  <r>
    <x v="0"/>
    <x v="4"/>
    <x v="4"/>
    <x v="0"/>
    <x v="0"/>
    <x v="40"/>
    <x v="285"/>
    <n v="327.16000000000003"/>
    <x v="0"/>
    <x v="0"/>
    <x v="3"/>
  </r>
  <r>
    <x v="0"/>
    <x v="0"/>
    <x v="0"/>
    <x v="0"/>
    <x v="0"/>
    <x v="41"/>
    <x v="286"/>
    <n v="0"/>
    <x v="0"/>
    <x v="0"/>
    <x v="3"/>
  </r>
  <r>
    <x v="0"/>
    <x v="1"/>
    <x v="1"/>
    <x v="0"/>
    <x v="0"/>
    <x v="41"/>
    <x v="286"/>
    <n v="0"/>
    <x v="0"/>
    <x v="0"/>
    <x v="3"/>
  </r>
  <r>
    <x v="0"/>
    <x v="2"/>
    <x v="2"/>
    <x v="0"/>
    <x v="0"/>
    <x v="41"/>
    <x v="286"/>
    <n v="0"/>
    <x v="0"/>
    <x v="0"/>
    <x v="3"/>
  </r>
  <r>
    <x v="0"/>
    <x v="3"/>
    <x v="3"/>
    <x v="0"/>
    <x v="0"/>
    <x v="41"/>
    <x v="286"/>
    <n v="338.04"/>
    <x v="0"/>
    <x v="0"/>
    <x v="3"/>
  </r>
  <r>
    <x v="0"/>
    <x v="4"/>
    <x v="4"/>
    <x v="0"/>
    <x v="0"/>
    <x v="41"/>
    <x v="286"/>
    <n v="338.04"/>
    <x v="0"/>
    <x v="0"/>
    <x v="3"/>
  </r>
  <r>
    <x v="0"/>
    <x v="0"/>
    <x v="0"/>
    <x v="0"/>
    <x v="0"/>
    <x v="42"/>
    <x v="287"/>
    <n v="0"/>
    <x v="0"/>
    <x v="0"/>
    <x v="3"/>
  </r>
  <r>
    <x v="0"/>
    <x v="1"/>
    <x v="1"/>
    <x v="0"/>
    <x v="0"/>
    <x v="42"/>
    <x v="287"/>
    <n v="0"/>
    <x v="0"/>
    <x v="0"/>
    <x v="3"/>
  </r>
  <r>
    <x v="0"/>
    <x v="2"/>
    <x v="2"/>
    <x v="0"/>
    <x v="0"/>
    <x v="42"/>
    <x v="287"/>
    <n v="0"/>
    <x v="0"/>
    <x v="0"/>
    <x v="3"/>
  </r>
  <r>
    <x v="0"/>
    <x v="3"/>
    <x v="3"/>
    <x v="0"/>
    <x v="0"/>
    <x v="42"/>
    <x v="287"/>
    <n v="703.91"/>
    <x v="0"/>
    <x v="0"/>
    <x v="3"/>
  </r>
  <r>
    <x v="0"/>
    <x v="4"/>
    <x v="4"/>
    <x v="0"/>
    <x v="0"/>
    <x v="42"/>
    <x v="287"/>
    <n v="703.91"/>
    <x v="0"/>
    <x v="0"/>
    <x v="3"/>
  </r>
  <r>
    <x v="0"/>
    <x v="0"/>
    <x v="0"/>
    <x v="0"/>
    <x v="0"/>
    <x v="43"/>
    <x v="288"/>
    <n v="0"/>
    <x v="0"/>
    <x v="0"/>
    <x v="3"/>
  </r>
  <r>
    <x v="0"/>
    <x v="1"/>
    <x v="1"/>
    <x v="0"/>
    <x v="0"/>
    <x v="43"/>
    <x v="288"/>
    <n v="0"/>
    <x v="0"/>
    <x v="0"/>
    <x v="3"/>
  </r>
  <r>
    <x v="0"/>
    <x v="2"/>
    <x v="2"/>
    <x v="0"/>
    <x v="0"/>
    <x v="43"/>
    <x v="288"/>
    <n v="0"/>
    <x v="0"/>
    <x v="0"/>
    <x v="3"/>
  </r>
  <r>
    <x v="0"/>
    <x v="3"/>
    <x v="3"/>
    <x v="0"/>
    <x v="0"/>
    <x v="43"/>
    <x v="288"/>
    <n v="40897.440000000002"/>
    <x v="0"/>
    <x v="0"/>
    <x v="3"/>
  </r>
  <r>
    <x v="0"/>
    <x v="4"/>
    <x v="4"/>
    <x v="0"/>
    <x v="0"/>
    <x v="43"/>
    <x v="288"/>
    <n v="40897.440000000002"/>
    <x v="0"/>
    <x v="0"/>
    <x v="3"/>
  </r>
  <r>
    <x v="0"/>
    <x v="0"/>
    <x v="0"/>
    <x v="0"/>
    <x v="0"/>
    <x v="104"/>
    <x v="289"/>
    <n v="0"/>
    <x v="0"/>
    <x v="0"/>
    <x v="2"/>
  </r>
  <r>
    <x v="0"/>
    <x v="1"/>
    <x v="1"/>
    <x v="0"/>
    <x v="0"/>
    <x v="104"/>
    <x v="289"/>
    <n v="0"/>
    <x v="0"/>
    <x v="0"/>
    <x v="2"/>
  </r>
  <r>
    <x v="0"/>
    <x v="2"/>
    <x v="2"/>
    <x v="0"/>
    <x v="0"/>
    <x v="104"/>
    <x v="289"/>
    <n v="1163.99"/>
    <x v="0"/>
    <x v="0"/>
    <x v="2"/>
  </r>
  <r>
    <x v="0"/>
    <x v="3"/>
    <x v="3"/>
    <x v="0"/>
    <x v="0"/>
    <x v="104"/>
    <x v="289"/>
    <n v="337853.49"/>
    <x v="0"/>
    <x v="0"/>
    <x v="2"/>
  </r>
  <r>
    <x v="0"/>
    <x v="4"/>
    <x v="4"/>
    <x v="0"/>
    <x v="0"/>
    <x v="104"/>
    <x v="289"/>
    <n v="339017.48"/>
    <x v="0"/>
    <x v="0"/>
    <x v="2"/>
  </r>
  <r>
    <x v="0"/>
    <x v="0"/>
    <x v="0"/>
    <x v="0"/>
    <x v="0"/>
    <x v="39"/>
    <x v="290"/>
    <n v="0"/>
    <x v="0"/>
    <x v="0"/>
    <x v="3"/>
  </r>
  <r>
    <x v="0"/>
    <x v="1"/>
    <x v="1"/>
    <x v="0"/>
    <x v="0"/>
    <x v="39"/>
    <x v="290"/>
    <n v="0"/>
    <x v="0"/>
    <x v="0"/>
    <x v="3"/>
  </r>
  <r>
    <x v="0"/>
    <x v="2"/>
    <x v="2"/>
    <x v="0"/>
    <x v="0"/>
    <x v="39"/>
    <x v="290"/>
    <n v="769.58"/>
    <x v="0"/>
    <x v="0"/>
    <x v="3"/>
  </r>
  <r>
    <x v="0"/>
    <x v="3"/>
    <x v="3"/>
    <x v="0"/>
    <x v="0"/>
    <x v="39"/>
    <x v="290"/>
    <n v="7325.78"/>
    <x v="0"/>
    <x v="0"/>
    <x v="3"/>
  </r>
  <r>
    <x v="0"/>
    <x v="4"/>
    <x v="4"/>
    <x v="0"/>
    <x v="0"/>
    <x v="39"/>
    <x v="290"/>
    <n v="8095.36"/>
    <x v="0"/>
    <x v="0"/>
    <x v="3"/>
  </r>
  <r>
    <x v="0"/>
    <x v="0"/>
    <x v="0"/>
    <x v="0"/>
    <x v="0"/>
    <x v="40"/>
    <x v="291"/>
    <n v="0"/>
    <x v="0"/>
    <x v="0"/>
    <x v="3"/>
  </r>
  <r>
    <x v="0"/>
    <x v="1"/>
    <x v="1"/>
    <x v="0"/>
    <x v="0"/>
    <x v="40"/>
    <x v="291"/>
    <n v="0"/>
    <x v="0"/>
    <x v="0"/>
    <x v="3"/>
  </r>
  <r>
    <x v="0"/>
    <x v="2"/>
    <x v="2"/>
    <x v="0"/>
    <x v="0"/>
    <x v="40"/>
    <x v="291"/>
    <n v="394.41"/>
    <x v="0"/>
    <x v="0"/>
    <x v="3"/>
  </r>
  <r>
    <x v="0"/>
    <x v="3"/>
    <x v="3"/>
    <x v="0"/>
    <x v="0"/>
    <x v="40"/>
    <x v="291"/>
    <n v="7945.57"/>
    <x v="0"/>
    <x v="0"/>
    <x v="3"/>
  </r>
  <r>
    <x v="0"/>
    <x v="4"/>
    <x v="4"/>
    <x v="0"/>
    <x v="0"/>
    <x v="40"/>
    <x v="291"/>
    <n v="8339.98"/>
    <x v="0"/>
    <x v="0"/>
    <x v="3"/>
  </r>
  <r>
    <x v="0"/>
    <x v="0"/>
    <x v="0"/>
    <x v="0"/>
    <x v="0"/>
    <x v="41"/>
    <x v="292"/>
    <n v="0"/>
    <x v="0"/>
    <x v="0"/>
    <x v="3"/>
  </r>
  <r>
    <x v="0"/>
    <x v="1"/>
    <x v="1"/>
    <x v="0"/>
    <x v="0"/>
    <x v="41"/>
    <x v="292"/>
    <n v="0"/>
    <x v="0"/>
    <x v="0"/>
    <x v="3"/>
  </r>
  <r>
    <x v="0"/>
    <x v="2"/>
    <x v="2"/>
    <x v="0"/>
    <x v="0"/>
    <x v="41"/>
    <x v="292"/>
    <n v="0"/>
    <x v="0"/>
    <x v="0"/>
    <x v="3"/>
  </r>
  <r>
    <x v="0"/>
    <x v="3"/>
    <x v="3"/>
    <x v="0"/>
    <x v="0"/>
    <x v="41"/>
    <x v="292"/>
    <n v="11715.1"/>
    <x v="0"/>
    <x v="0"/>
    <x v="3"/>
  </r>
  <r>
    <x v="0"/>
    <x v="4"/>
    <x v="4"/>
    <x v="0"/>
    <x v="0"/>
    <x v="41"/>
    <x v="292"/>
    <n v="11715.1"/>
    <x v="0"/>
    <x v="0"/>
    <x v="3"/>
  </r>
  <r>
    <x v="0"/>
    <x v="0"/>
    <x v="0"/>
    <x v="0"/>
    <x v="0"/>
    <x v="42"/>
    <x v="293"/>
    <n v="0"/>
    <x v="0"/>
    <x v="0"/>
    <x v="3"/>
  </r>
  <r>
    <x v="0"/>
    <x v="1"/>
    <x v="1"/>
    <x v="0"/>
    <x v="0"/>
    <x v="42"/>
    <x v="293"/>
    <n v="0"/>
    <x v="0"/>
    <x v="0"/>
    <x v="3"/>
  </r>
  <r>
    <x v="0"/>
    <x v="2"/>
    <x v="2"/>
    <x v="0"/>
    <x v="0"/>
    <x v="42"/>
    <x v="293"/>
    <n v="0"/>
    <x v="0"/>
    <x v="0"/>
    <x v="3"/>
  </r>
  <r>
    <x v="0"/>
    <x v="3"/>
    <x v="3"/>
    <x v="0"/>
    <x v="0"/>
    <x v="42"/>
    <x v="293"/>
    <n v="24151.03"/>
    <x v="0"/>
    <x v="0"/>
    <x v="3"/>
  </r>
  <r>
    <x v="0"/>
    <x v="4"/>
    <x v="4"/>
    <x v="0"/>
    <x v="0"/>
    <x v="42"/>
    <x v="293"/>
    <n v="24151.03"/>
    <x v="0"/>
    <x v="0"/>
    <x v="3"/>
  </r>
  <r>
    <x v="0"/>
    <x v="0"/>
    <x v="0"/>
    <x v="0"/>
    <x v="0"/>
    <x v="43"/>
    <x v="294"/>
    <n v="0"/>
    <x v="0"/>
    <x v="0"/>
    <x v="3"/>
  </r>
  <r>
    <x v="0"/>
    <x v="1"/>
    <x v="1"/>
    <x v="0"/>
    <x v="0"/>
    <x v="43"/>
    <x v="294"/>
    <n v="0"/>
    <x v="0"/>
    <x v="0"/>
    <x v="3"/>
  </r>
  <r>
    <x v="0"/>
    <x v="2"/>
    <x v="2"/>
    <x v="0"/>
    <x v="0"/>
    <x v="43"/>
    <x v="294"/>
    <n v="0"/>
    <x v="0"/>
    <x v="0"/>
    <x v="3"/>
  </r>
  <r>
    <x v="0"/>
    <x v="3"/>
    <x v="3"/>
    <x v="0"/>
    <x v="0"/>
    <x v="43"/>
    <x v="294"/>
    <n v="286716.01"/>
    <x v="0"/>
    <x v="0"/>
    <x v="3"/>
  </r>
  <r>
    <x v="0"/>
    <x v="4"/>
    <x v="4"/>
    <x v="0"/>
    <x v="0"/>
    <x v="43"/>
    <x v="294"/>
    <n v="286716.01"/>
    <x v="0"/>
    <x v="0"/>
    <x v="3"/>
  </r>
  <r>
    <x v="0"/>
    <x v="0"/>
    <x v="0"/>
    <x v="0"/>
    <x v="0"/>
    <x v="105"/>
    <x v="295"/>
    <n v="0"/>
    <x v="0"/>
    <x v="0"/>
    <x v="2"/>
  </r>
  <r>
    <x v="0"/>
    <x v="1"/>
    <x v="1"/>
    <x v="0"/>
    <x v="0"/>
    <x v="105"/>
    <x v="295"/>
    <n v="0"/>
    <x v="0"/>
    <x v="0"/>
    <x v="2"/>
  </r>
  <r>
    <x v="0"/>
    <x v="2"/>
    <x v="2"/>
    <x v="0"/>
    <x v="0"/>
    <x v="105"/>
    <x v="295"/>
    <n v="0"/>
    <x v="0"/>
    <x v="0"/>
    <x v="2"/>
  </r>
  <r>
    <x v="0"/>
    <x v="3"/>
    <x v="3"/>
    <x v="0"/>
    <x v="0"/>
    <x v="105"/>
    <x v="295"/>
    <n v="0"/>
    <x v="0"/>
    <x v="0"/>
    <x v="2"/>
  </r>
  <r>
    <x v="0"/>
    <x v="4"/>
    <x v="4"/>
    <x v="0"/>
    <x v="0"/>
    <x v="105"/>
    <x v="295"/>
    <n v="0"/>
    <x v="0"/>
    <x v="0"/>
    <x v="2"/>
  </r>
  <r>
    <x v="0"/>
    <x v="0"/>
    <x v="0"/>
    <x v="0"/>
    <x v="0"/>
    <x v="39"/>
    <x v="296"/>
    <n v="0"/>
    <x v="0"/>
    <x v="0"/>
    <x v="3"/>
  </r>
  <r>
    <x v="0"/>
    <x v="1"/>
    <x v="1"/>
    <x v="0"/>
    <x v="0"/>
    <x v="39"/>
    <x v="296"/>
    <n v="0"/>
    <x v="0"/>
    <x v="0"/>
    <x v="3"/>
  </r>
  <r>
    <x v="0"/>
    <x v="2"/>
    <x v="2"/>
    <x v="0"/>
    <x v="0"/>
    <x v="39"/>
    <x v="296"/>
    <n v="0"/>
    <x v="0"/>
    <x v="0"/>
    <x v="3"/>
  </r>
  <r>
    <x v="0"/>
    <x v="3"/>
    <x v="3"/>
    <x v="0"/>
    <x v="0"/>
    <x v="39"/>
    <x v="296"/>
    <n v="0"/>
    <x v="0"/>
    <x v="0"/>
    <x v="3"/>
  </r>
  <r>
    <x v="0"/>
    <x v="4"/>
    <x v="4"/>
    <x v="0"/>
    <x v="0"/>
    <x v="39"/>
    <x v="296"/>
    <n v="0"/>
    <x v="0"/>
    <x v="0"/>
    <x v="3"/>
  </r>
  <r>
    <x v="0"/>
    <x v="0"/>
    <x v="0"/>
    <x v="0"/>
    <x v="0"/>
    <x v="40"/>
    <x v="297"/>
    <n v="0"/>
    <x v="0"/>
    <x v="0"/>
    <x v="3"/>
  </r>
  <r>
    <x v="0"/>
    <x v="1"/>
    <x v="1"/>
    <x v="0"/>
    <x v="0"/>
    <x v="40"/>
    <x v="297"/>
    <n v="0"/>
    <x v="0"/>
    <x v="0"/>
    <x v="3"/>
  </r>
  <r>
    <x v="0"/>
    <x v="2"/>
    <x v="2"/>
    <x v="0"/>
    <x v="0"/>
    <x v="40"/>
    <x v="297"/>
    <n v="0"/>
    <x v="0"/>
    <x v="0"/>
    <x v="3"/>
  </r>
  <r>
    <x v="0"/>
    <x v="3"/>
    <x v="3"/>
    <x v="0"/>
    <x v="0"/>
    <x v="40"/>
    <x v="297"/>
    <n v="0"/>
    <x v="0"/>
    <x v="0"/>
    <x v="3"/>
  </r>
  <r>
    <x v="0"/>
    <x v="4"/>
    <x v="4"/>
    <x v="0"/>
    <x v="0"/>
    <x v="40"/>
    <x v="297"/>
    <n v="0"/>
    <x v="0"/>
    <x v="0"/>
    <x v="3"/>
  </r>
  <r>
    <x v="0"/>
    <x v="0"/>
    <x v="0"/>
    <x v="0"/>
    <x v="0"/>
    <x v="41"/>
    <x v="298"/>
    <n v="0"/>
    <x v="0"/>
    <x v="0"/>
    <x v="3"/>
  </r>
  <r>
    <x v="0"/>
    <x v="1"/>
    <x v="1"/>
    <x v="0"/>
    <x v="0"/>
    <x v="41"/>
    <x v="298"/>
    <n v="0"/>
    <x v="0"/>
    <x v="0"/>
    <x v="3"/>
  </r>
  <r>
    <x v="0"/>
    <x v="2"/>
    <x v="2"/>
    <x v="0"/>
    <x v="0"/>
    <x v="41"/>
    <x v="298"/>
    <n v="0"/>
    <x v="0"/>
    <x v="0"/>
    <x v="3"/>
  </r>
  <r>
    <x v="0"/>
    <x v="3"/>
    <x v="3"/>
    <x v="0"/>
    <x v="0"/>
    <x v="41"/>
    <x v="298"/>
    <n v="0"/>
    <x v="0"/>
    <x v="0"/>
    <x v="3"/>
  </r>
  <r>
    <x v="0"/>
    <x v="4"/>
    <x v="4"/>
    <x v="0"/>
    <x v="0"/>
    <x v="41"/>
    <x v="298"/>
    <n v="0"/>
    <x v="0"/>
    <x v="0"/>
    <x v="3"/>
  </r>
  <r>
    <x v="0"/>
    <x v="0"/>
    <x v="0"/>
    <x v="0"/>
    <x v="0"/>
    <x v="42"/>
    <x v="299"/>
    <n v="0"/>
    <x v="0"/>
    <x v="0"/>
    <x v="3"/>
  </r>
  <r>
    <x v="0"/>
    <x v="1"/>
    <x v="1"/>
    <x v="0"/>
    <x v="0"/>
    <x v="42"/>
    <x v="299"/>
    <n v="0"/>
    <x v="0"/>
    <x v="0"/>
    <x v="3"/>
  </r>
  <r>
    <x v="0"/>
    <x v="2"/>
    <x v="2"/>
    <x v="0"/>
    <x v="0"/>
    <x v="42"/>
    <x v="299"/>
    <n v="0"/>
    <x v="0"/>
    <x v="0"/>
    <x v="3"/>
  </r>
  <r>
    <x v="0"/>
    <x v="3"/>
    <x v="3"/>
    <x v="0"/>
    <x v="0"/>
    <x v="42"/>
    <x v="299"/>
    <n v="0"/>
    <x v="0"/>
    <x v="0"/>
    <x v="3"/>
  </r>
  <r>
    <x v="0"/>
    <x v="4"/>
    <x v="4"/>
    <x v="0"/>
    <x v="0"/>
    <x v="42"/>
    <x v="299"/>
    <n v="0"/>
    <x v="0"/>
    <x v="0"/>
    <x v="3"/>
  </r>
  <r>
    <x v="0"/>
    <x v="0"/>
    <x v="0"/>
    <x v="0"/>
    <x v="0"/>
    <x v="43"/>
    <x v="300"/>
    <n v="0"/>
    <x v="0"/>
    <x v="0"/>
    <x v="3"/>
  </r>
  <r>
    <x v="0"/>
    <x v="1"/>
    <x v="1"/>
    <x v="0"/>
    <x v="0"/>
    <x v="43"/>
    <x v="300"/>
    <n v="0"/>
    <x v="0"/>
    <x v="0"/>
    <x v="3"/>
  </r>
  <r>
    <x v="0"/>
    <x v="2"/>
    <x v="2"/>
    <x v="0"/>
    <x v="0"/>
    <x v="43"/>
    <x v="300"/>
    <n v="0"/>
    <x v="0"/>
    <x v="0"/>
    <x v="3"/>
  </r>
  <r>
    <x v="0"/>
    <x v="3"/>
    <x v="3"/>
    <x v="0"/>
    <x v="0"/>
    <x v="43"/>
    <x v="300"/>
    <n v="0"/>
    <x v="0"/>
    <x v="0"/>
    <x v="3"/>
  </r>
  <r>
    <x v="0"/>
    <x v="4"/>
    <x v="4"/>
    <x v="0"/>
    <x v="0"/>
    <x v="43"/>
    <x v="300"/>
    <n v="0"/>
    <x v="0"/>
    <x v="0"/>
    <x v="3"/>
  </r>
  <r>
    <x v="0"/>
    <x v="0"/>
    <x v="0"/>
    <x v="0"/>
    <x v="0"/>
    <x v="106"/>
    <x v="301"/>
    <n v="0"/>
    <x v="0"/>
    <x v="0"/>
    <x v="2"/>
  </r>
  <r>
    <x v="0"/>
    <x v="1"/>
    <x v="1"/>
    <x v="0"/>
    <x v="0"/>
    <x v="106"/>
    <x v="301"/>
    <n v="0"/>
    <x v="0"/>
    <x v="0"/>
    <x v="2"/>
  </r>
  <r>
    <x v="0"/>
    <x v="2"/>
    <x v="2"/>
    <x v="0"/>
    <x v="0"/>
    <x v="106"/>
    <x v="301"/>
    <n v="0"/>
    <x v="0"/>
    <x v="0"/>
    <x v="2"/>
  </r>
  <r>
    <x v="0"/>
    <x v="3"/>
    <x v="3"/>
    <x v="0"/>
    <x v="0"/>
    <x v="106"/>
    <x v="301"/>
    <n v="0"/>
    <x v="0"/>
    <x v="0"/>
    <x v="2"/>
  </r>
  <r>
    <x v="0"/>
    <x v="4"/>
    <x v="4"/>
    <x v="0"/>
    <x v="0"/>
    <x v="106"/>
    <x v="301"/>
    <n v="0"/>
    <x v="0"/>
    <x v="0"/>
    <x v="2"/>
  </r>
  <r>
    <x v="0"/>
    <x v="0"/>
    <x v="0"/>
    <x v="0"/>
    <x v="0"/>
    <x v="39"/>
    <x v="302"/>
    <n v="0"/>
    <x v="0"/>
    <x v="0"/>
    <x v="3"/>
  </r>
  <r>
    <x v="0"/>
    <x v="1"/>
    <x v="1"/>
    <x v="0"/>
    <x v="0"/>
    <x v="39"/>
    <x v="302"/>
    <n v="0"/>
    <x v="0"/>
    <x v="0"/>
    <x v="3"/>
  </r>
  <r>
    <x v="0"/>
    <x v="2"/>
    <x v="2"/>
    <x v="0"/>
    <x v="0"/>
    <x v="39"/>
    <x v="302"/>
    <n v="0"/>
    <x v="0"/>
    <x v="0"/>
    <x v="3"/>
  </r>
  <r>
    <x v="0"/>
    <x v="3"/>
    <x v="3"/>
    <x v="0"/>
    <x v="0"/>
    <x v="39"/>
    <x v="302"/>
    <n v="0"/>
    <x v="0"/>
    <x v="0"/>
    <x v="3"/>
  </r>
  <r>
    <x v="0"/>
    <x v="4"/>
    <x v="4"/>
    <x v="0"/>
    <x v="0"/>
    <x v="39"/>
    <x v="302"/>
    <n v="0"/>
    <x v="0"/>
    <x v="0"/>
    <x v="3"/>
  </r>
  <r>
    <x v="0"/>
    <x v="0"/>
    <x v="0"/>
    <x v="0"/>
    <x v="0"/>
    <x v="40"/>
    <x v="303"/>
    <n v="0"/>
    <x v="0"/>
    <x v="0"/>
    <x v="3"/>
  </r>
  <r>
    <x v="0"/>
    <x v="1"/>
    <x v="1"/>
    <x v="0"/>
    <x v="0"/>
    <x v="40"/>
    <x v="303"/>
    <n v="0"/>
    <x v="0"/>
    <x v="0"/>
    <x v="3"/>
  </r>
  <r>
    <x v="0"/>
    <x v="2"/>
    <x v="2"/>
    <x v="0"/>
    <x v="0"/>
    <x v="40"/>
    <x v="303"/>
    <n v="0"/>
    <x v="0"/>
    <x v="0"/>
    <x v="3"/>
  </r>
  <r>
    <x v="0"/>
    <x v="3"/>
    <x v="3"/>
    <x v="0"/>
    <x v="0"/>
    <x v="40"/>
    <x v="303"/>
    <n v="0"/>
    <x v="0"/>
    <x v="0"/>
    <x v="3"/>
  </r>
  <r>
    <x v="0"/>
    <x v="4"/>
    <x v="4"/>
    <x v="0"/>
    <x v="0"/>
    <x v="40"/>
    <x v="303"/>
    <n v="0"/>
    <x v="0"/>
    <x v="0"/>
    <x v="3"/>
  </r>
  <r>
    <x v="0"/>
    <x v="0"/>
    <x v="0"/>
    <x v="0"/>
    <x v="0"/>
    <x v="41"/>
    <x v="304"/>
    <n v="0"/>
    <x v="0"/>
    <x v="0"/>
    <x v="3"/>
  </r>
  <r>
    <x v="0"/>
    <x v="1"/>
    <x v="1"/>
    <x v="0"/>
    <x v="0"/>
    <x v="41"/>
    <x v="304"/>
    <n v="0"/>
    <x v="0"/>
    <x v="0"/>
    <x v="3"/>
  </r>
  <r>
    <x v="0"/>
    <x v="2"/>
    <x v="2"/>
    <x v="0"/>
    <x v="0"/>
    <x v="41"/>
    <x v="304"/>
    <n v="0"/>
    <x v="0"/>
    <x v="0"/>
    <x v="3"/>
  </r>
  <r>
    <x v="0"/>
    <x v="3"/>
    <x v="3"/>
    <x v="0"/>
    <x v="0"/>
    <x v="41"/>
    <x v="304"/>
    <n v="0"/>
    <x v="0"/>
    <x v="0"/>
    <x v="3"/>
  </r>
  <r>
    <x v="0"/>
    <x v="4"/>
    <x v="4"/>
    <x v="0"/>
    <x v="0"/>
    <x v="41"/>
    <x v="304"/>
    <n v="0"/>
    <x v="0"/>
    <x v="0"/>
    <x v="3"/>
  </r>
  <r>
    <x v="0"/>
    <x v="0"/>
    <x v="0"/>
    <x v="0"/>
    <x v="0"/>
    <x v="42"/>
    <x v="305"/>
    <n v="0"/>
    <x v="0"/>
    <x v="0"/>
    <x v="3"/>
  </r>
  <r>
    <x v="0"/>
    <x v="1"/>
    <x v="1"/>
    <x v="0"/>
    <x v="0"/>
    <x v="42"/>
    <x v="305"/>
    <n v="0"/>
    <x v="0"/>
    <x v="0"/>
    <x v="3"/>
  </r>
  <r>
    <x v="0"/>
    <x v="2"/>
    <x v="2"/>
    <x v="0"/>
    <x v="0"/>
    <x v="42"/>
    <x v="305"/>
    <n v="0"/>
    <x v="0"/>
    <x v="0"/>
    <x v="3"/>
  </r>
  <r>
    <x v="0"/>
    <x v="3"/>
    <x v="3"/>
    <x v="0"/>
    <x v="0"/>
    <x v="42"/>
    <x v="305"/>
    <n v="0"/>
    <x v="0"/>
    <x v="0"/>
    <x v="3"/>
  </r>
  <r>
    <x v="0"/>
    <x v="4"/>
    <x v="4"/>
    <x v="0"/>
    <x v="0"/>
    <x v="42"/>
    <x v="305"/>
    <n v="0"/>
    <x v="0"/>
    <x v="0"/>
    <x v="3"/>
  </r>
  <r>
    <x v="0"/>
    <x v="0"/>
    <x v="0"/>
    <x v="0"/>
    <x v="0"/>
    <x v="43"/>
    <x v="306"/>
    <n v="0"/>
    <x v="0"/>
    <x v="0"/>
    <x v="3"/>
  </r>
  <r>
    <x v="0"/>
    <x v="1"/>
    <x v="1"/>
    <x v="0"/>
    <x v="0"/>
    <x v="43"/>
    <x v="306"/>
    <n v="0"/>
    <x v="0"/>
    <x v="0"/>
    <x v="3"/>
  </r>
  <r>
    <x v="0"/>
    <x v="2"/>
    <x v="2"/>
    <x v="0"/>
    <x v="0"/>
    <x v="43"/>
    <x v="306"/>
    <n v="0"/>
    <x v="0"/>
    <x v="0"/>
    <x v="3"/>
  </r>
  <r>
    <x v="0"/>
    <x v="3"/>
    <x v="3"/>
    <x v="0"/>
    <x v="0"/>
    <x v="43"/>
    <x v="306"/>
    <n v="0"/>
    <x v="0"/>
    <x v="0"/>
    <x v="3"/>
  </r>
  <r>
    <x v="0"/>
    <x v="4"/>
    <x v="4"/>
    <x v="0"/>
    <x v="0"/>
    <x v="43"/>
    <x v="306"/>
    <n v="0"/>
    <x v="0"/>
    <x v="0"/>
    <x v="3"/>
  </r>
  <r>
    <x v="0"/>
    <x v="0"/>
    <x v="0"/>
    <x v="0"/>
    <x v="0"/>
    <x v="107"/>
    <x v="307"/>
    <n v="0"/>
    <x v="0"/>
    <x v="0"/>
    <x v="2"/>
  </r>
  <r>
    <x v="0"/>
    <x v="1"/>
    <x v="1"/>
    <x v="0"/>
    <x v="0"/>
    <x v="107"/>
    <x v="307"/>
    <n v="0"/>
    <x v="0"/>
    <x v="0"/>
    <x v="2"/>
  </r>
  <r>
    <x v="0"/>
    <x v="2"/>
    <x v="2"/>
    <x v="0"/>
    <x v="0"/>
    <x v="107"/>
    <x v="307"/>
    <n v="0"/>
    <x v="0"/>
    <x v="0"/>
    <x v="2"/>
  </r>
  <r>
    <x v="0"/>
    <x v="3"/>
    <x v="3"/>
    <x v="0"/>
    <x v="0"/>
    <x v="107"/>
    <x v="307"/>
    <n v="0"/>
    <x v="0"/>
    <x v="0"/>
    <x v="2"/>
  </r>
  <r>
    <x v="0"/>
    <x v="4"/>
    <x v="4"/>
    <x v="0"/>
    <x v="0"/>
    <x v="107"/>
    <x v="307"/>
    <n v="0"/>
    <x v="0"/>
    <x v="0"/>
    <x v="2"/>
  </r>
  <r>
    <x v="0"/>
    <x v="0"/>
    <x v="0"/>
    <x v="0"/>
    <x v="0"/>
    <x v="39"/>
    <x v="308"/>
    <n v="0"/>
    <x v="0"/>
    <x v="0"/>
    <x v="3"/>
  </r>
  <r>
    <x v="0"/>
    <x v="1"/>
    <x v="1"/>
    <x v="0"/>
    <x v="0"/>
    <x v="39"/>
    <x v="308"/>
    <n v="0"/>
    <x v="0"/>
    <x v="0"/>
    <x v="3"/>
  </r>
  <r>
    <x v="0"/>
    <x v="2"/>
    <x v="2"/>
    <x v="0"/>
    <x v="0"/>
    <x v="39"/>
    <x v="308"/>
    <n v="0"/>
    <x v="0"/>
    <x v="0"/>
    <x v="3"/>
  </r>
  <r>
    <x v="0"/>
    <x v="3"/>
    <x v="3"/>
    <x v="0"/>
    <x v="0"/>
    <x v="39"/>
    <x v="308"/>
    <n v="0"/>
    <x v="0"/>
    <x v="0"/>
    <x v="3"/>
  </r>
  <r>
    <x v="0"/>
    <x v="4"/>
    <x v="4"/>
    <x v="0"/>
    <x v="0"/>
    <x v="39"/>
    <x v="308"/>
    <n v="0"/>
    <x v="0"/>
    <x v="0"/>
    <x v="3"/>
  </r>
  <r>
    <x v="0"/>
    <x v="0"/>
    <x v="0"/>
    <x v="0"/>
    <x v="0"/>
    <x v="40"/>
    <x v="309"/>
    <n v="0"/>
    <x v="0"/>
    <x v="0"/>
    <x v="3"/>
  </r>
  <r>
    <x v="0"/>
    <x v="1"/>
    <x v="1"/>
    <x v="0"/>
    <x v="0"/>
    <x v="40"/>
    <x v="309"/>
    <n v="0"/>
    <x v="0"/>
    <x v="0"/>
    <x v="3"/>
  </r>
  <r>
    <x v="0"/>
    <x v="2"/>
    <x v="2"/>
    <x v="0"/>
    <x v="0"/>
    <x v="40"/>
    <x v="309"/>
    <n v="0"/>
    <x v="0"/>
    <x v="0"/>
    <x v="3"/>
  </r>
  <r>
    <x v="0"/>
    <x v="3"/>
    <x v="3"/>
    <x v="0"/>
    <x v="0"/>
    <x v="40"/>
    <x v="309"/>
    <n v="0"/>
    <x v="0"/>
    <x v="0"/>
    <x v="3"/>
  </r>
  <r>
    <x v="0"/>
    <x v="4"/>
    <x v="4"/>
    <x v="0"/>
    <x v="0"/>
    <x v="40"/>
    <x v="309"/>
    <n v="0"/>
    <x v="0"/>
    <x v="0"/>
    <x v="3"/>
  </r>
  <r>
    <x v="0"/>
    <x v="0"/>
    <x v="0"/>
    <x v="0"/>
    <x v="0"/>
    <x v="41"/>
    <x v="310"/>
    <n v="0"/>
    <x v="0"/>
    <x v="0"/>
    <x v="3"/>
  </r>
  <r>
    <x v="0"/>
    <x v="1"/>
    <x v="1"/>
    <x v="0"/>
    <x v="0"/>
    <x v="41"/>
    <x v="310"/>
    <n v="0"/>
    <x v="0"/>
    <x v="0"/>
    <x v="3"/>
  </r>
  <r>
    <x v="0"/>
    <x v="2"/>
    <x v="2"/>
    <x v="0"/>
    <x v="0"/>
    <x v="41"/>
    <x v="310"/>
    <n v="0"/>
    <x v="0"/>
    <x v="0"/>
    <x v="3"/>
  </r>
  <r>
    <x v="0"/>
    <x v="3"/>
    <x v="3"/>
    <x v="0"/>
    <x v="0"/>
    <x v="41"/>
    <x v="310"/>
    <n v="0"/>
    <x v="0"/>
    <x v="0"/>
    <x v="3"/>
  </r>
  <r>
    <x v="0"/>
    <x v="4"/>
    <x v="4"/>
    <x v="0"/>
    <x v="0"/>
    <x v="41"/>
    <x v="310"/>
    <n v="0"/>
    <x v="0"/>
    <x v="0"/>
    <x v="3"/>
  </r>
  <r>
    <x v="0"/>
    <x v="0"/>
    <x v="0"/>
    <x v="0"/>
    <x v="0"/>
    <x v="42"/>
    <x v="311"/>
    <n v="0"/>
    <x v="0"/>
    <x v="0"/>
    <x v="3"/>
  </r>
  <r>
    <x v="0"/>
    <x v="1"/>
    <x v="1"/>
    <x v="0"/>
    <x v="0"/>
    <x v="42"/>
    <x v="311"/>
    <n v="0"/>
    <x v="0"/>
    <x v="0"/>
    <x v="3"/>
  </r>
  <r>
    <x v="0"/>
    <x v="2"/>
    <x v="2"/>
    <x v="0"/>
    <x v="0"/>
    <x v="42"/>
    <x v="311"/>
    <n v="0"/>
    <x v="0"/>
    <x v="0"/>
    <x v="3"/>
  </r>
  <r>
    <x v="0"/>
    <x v="3"/>
    <x v="3"/>
    <x v="0"/>
    <x v="0"/>
    <x v="42"/>
    <x v="311"/>
    <n v="0"/>
    <x v="0"/>
    <x v="0"/>
    <x v="3"/>
  </r>
  <r>
    <x v="0"/>
    <x v="4"/>
    <x v="4"/>
    <x v="0"/>
    <x v="0"/>
    <x v="42"/>
    <x v="311"/>
    <n v="0"/>
    <x v="0"/>
    <x v="0"/>
    <x v="3"/>
  </r>
  <r>
    <x v="0"/>
    <x v="0"/>
    <x v="0"/>
    <x v="0"/>
    <x v="0"/>
    <x v="43"/>
    <x v="312"/>
    <n v="0"/>
    <x v="0"/>
    <x v="0"/>
    <x v="3"/>
  </r>
  <r>
    <x v="0"/>
    <x v="1"/>
    <x v="1"/>
    <x v="0"/>
    <x v="0"/>
    <x v="43"/>
    <x v="312"/>
    <n v="0"/>
    <x v="0"/>
    <x v="0"/>
    <x v="3"/>
  </r>
  <r>
    <x v="0"/>
    <x v="2"/>
    <x v="2"/>
    <x v="0"/>
    <x v="0"/>
    <x v="43"/>
    <x v="312"/>
    <n v="0"/>
    <x v="0"/>
    <x v="0"/>
    <x v="3"/>
  </r>
  <r>
    <x v="0"/>
    <x v="3"/>
    <x v="3"/>
    <x v="0"/>
    <x v="0"/>
    <x v="43"/>
    <x v="312"/>
    <n v="0"/>
    <x v="0"/>
    <x v="0"/>
    <x v="3"/>
  </r>
  <r>
    <x v="0"/>
    <x v="4"/>
    <x v="4"/>
    <x v="0"/>
    <x v="0"/>
    <x v="43"/>
    <x v="312"/>
    <n v="0"/>
    <x v="0"/>
    <x v="0"/>
    <x v="3"/>
  </r>
  <r>
    <x v="0"/>
    <x v="0"/>
    <x v="0"/>
    <x v="0"/>
    <x v="0"/>
    <x v="108"/>
    <x v="313"/>
    <n v="0"/>
    <x v="0"/>
    <x v="0"/>
    <x v="2"/>
  </r>
  <r>
    <x v="0"/>
    <x v="1"/>
    <x v="1"/>
    <x v="0"/>
    <x v="0"/>
    <x v="108"/>
    <x v="313"/>
    <n v="0"/>
    <x v="0"/>
    <x v="0"/>
    <x v="2"/>
  </r>
  <r>
    <x v="0"/>
    <x v="2"/>
    <x v="2"/>
    <x v="0"/>
    <x v="0"/>
    <x v="108"/>
    <x v="313"/>
    <n v="0"/>
    <x v="0"/>
    <x v="0"/>
    <x v="2"/>
  </r>
  <r>
    <x v="0"/>
    <x v="3"/>
    <x v="3"/>
    <x v="0"/>
    <x v="0"/>
    <x v="108"/>
    <x v="313"/>
    <n v="0"/>
    <x v="0"/>
    <x v="0"/>
    <x v="2"/>
  </r>
  <r>
    <x v="0"/>
    <x v="4"/>
    <x v="4"/>
    <x v="0"/>
    <x v="0"/>
    <x v="108"/>
    <x v="313"/>
    <n v="0"/>
    <x v="0"/>
    <x v="0"/>
    <x v="2"/>
  </r>
  <r>
    <x v="0"/>
    <x v="0"/>
    <x v="0"/>
    <x v="0"/>
    <x v="0"/>
    <x v="39"/>
    <x v="314"/>
    <n v="0"/>
    <x v="0"/>
    <x v="0"/>
    <x v="3"/>
  </r>
  <r>
    <x v="0"/>
    <x v="1"/>
    <x v="1"/>
    <x v="0"/>
    <x v="0"/>
    <x v="39"/>
    <x v="314"/>
    <n v="0"/>
    <x v="0"/>
    <x v="0"/>
    <x v="3"/>
  </r>
  <r>
    <x v="0"/>
    <x v="2"/>
    <x v="2"/>
    <x v="0"/>
    <x v="0"/>
    <x v="39"/>
    <x v="314"/>
    <n v="0"/>
    <x v="0"/>
    <x v="0"/>
    <x v="3"/>
  </r>
  <r>
    <x v="0"/>
    <x v="3"/>
    <x v="3"/>
    <x v="0"/>
    <x v="0"/>
    <x v="39"/>
    <x v="314"/>
    <n v="0"/>
    <x v="0"/>
    <x v="0"/>
    <x v="3"/>
  </r>
  <r>
    <x v="0"/>
    <x v="4"/>
    <x v="4"/>
    <x v="0"/>
    <x v="0"/>
    <x v="39"/>
    <x v="314"/>
    <n v="0"/>
    <x v="0"/>
    <x v="0"/>
    <x v="3"/>
  </r>
  <r>
    <x v="0"/>
    <x v="0"/>
    <x v="0"/>
    <x v="0"/>
    <x v="0"/>
    <x v="40"/>
    <x v="315"/>
    <n v="0"/>
    <x v="0"/>
    <x v="0"/>
    <x v="3"/>
  </r>
  <r>
    <x v="0"/>
    <x v="1"/>
    <x v="1"/>
    <x v="0"/>
    <x v="0"/>
    <x v="40"/>
    <x v="315"/>
    <n v="0"/>
    <x v="0"/>
    <x v="0"/>
    <x v="3"/>
  </r>
  <r>
    <x v="0"/>
    <x v="2"/>
    <x v="2"/>
    <x v="0"/>
    <x v="0"/>
    <x v="40"/>
    <x v="315"/>
    <n v="0"/>
    <x v="0"/>
    <x v="0"/>
    <x v="3"/>
  </r>
  <r>
    <x v="0"/>
    <x v="3"/>
    <x v="3"/>
    <x v="0"/>
    <x v="0"/>
    <x v="40"/>
    <x v="315"/>
    <n v="0"/>
    <x v="0"/>
    <x v="0"/>
    <x v="3"/>
  </r>
  <r>
    <x v="0"/>
    <x v="4"/>
    <x v="4"/>
    <x v="0"/>
    <x v="0"/>
    <x v="40"/>
    <x v="315"/>
    <n v="0"/>
    <x v="0"/>
    <x v="0"/>
    <x v="3"/>
  </r>
  <r>
    <x v="0"/>
    <x v="0"/>
    <x v="0"/>
    <x v="0"/>
    <x v="0"/>
    <x v="41"/>
    <x v="316"/>
    <n v="0"/>
    <x v="0"/>
    <x v="0"/>
    <x v="3"/>
  </r>
  <r>
    <x v="0"/>
    <x v="1"/>
    <x v="1"/>
    <x v="0"/>
    <x v="0"/>
    <x v="41"/>
    <x v="316"/>
    <n v="0"/>
    <x v="0"/>
    <x v="0"/>
    <x v="3"/>
  </r>
  <r>
    <x v="0"/>
    <x v="2"/>
    <x v="2"/>
    <x v="0"/>
    <x v="0"/>
    <x v="41"/>
    <x v="316"/>
    <n v="0"/>
    <x v="0"/>
    <x v="0"/>
    <x v="3"/>
  </r>
  <r>
    <x v="0"/>
    <x v="3"/>
    <x v="3"/>
    <x v="0"/>
    <x v="0"/>
    <x v="41"/>
    <x v="316"/>
    <n v="0"/>
    <x v="0"/>
    <x v="0"/>
    <x v="3"/>
  </r>
  <r>
    <x v="0"/>
    <x v="4"/>
    <x v="4"/>
    <x v="0"/>
    <x v="0"/>
    <x v="41"/>
    <x v="316"/>
    <n v="0"/>
    <x v="0"/>
    <x v="0"/>
    <x v="3"/>
  </r>
  <r>
    <x v="0"/>
    <x v="0"/>
    <x v="0"/>
    <x v="0"/>
    <x v="0"/>
    <x v="42"/>
    <x v="317"/>
    <n v="0"/>
    <x v="0"/>
    <x v="0"/>
    <x v="3"/>
  </r>
  <r>
    <x v="0"/>
    <x v="1"/>
    <x v="1"/>
    <x v="0"/>
    <x v="0"/>
    <x v="42"/>
    <x v="317"/>
    <n v="0"/>
    <x v="0"/>
    <x v="0"/>
    <x v="3"/>
  </r>
  <r>
    <x v="0"/>
    <x v="2"/>
    <x v="2"/>
    <x v="0"/>
    <x v="0"/>
    <x v="42"/>
    <x v="317"/>
    <n v="0"/>
    <x v="0"/>
    <x v="0"/>
    <x v="3"/>
  </r>
  <r>
    <x v="0"/>
    <x v="3"/>
    <x v="3"/>
    <x v="0"/>
    <x v="0"/>
    <x v="42"/>
    <x v="317"/>
    <n v="0"/>
    <x v="0"/>
    <x v="0"/>
    <x v="3"/>
  </r>
  <r>
    <x v="0"/>
    <x v="4"/>
    <x v="4"/>
    <x v="0"/>
    <x v="0"/>
    <x v="42"/>
    <x v="317"/>
    <n v="0"/>
    <x v="0"/>
    <x v="0"/>
    <x v="3"/>
  </r>
  <r>
    <x v="0"/>
    <x v="0"/>
    <x v="0"/>
    <x v="0"/>
    <x v="0"/>
    <x v="43"/>
    <x v="318"/>
    <n v="0"/>
    <x v="0"/>
    <x v="0"/>
    <x v="3"/>
  </r>
  <r>
    <x v="0"/>
    <x v="1"/>
    <x v="1"/>
    <x v="0"/>
    <x v="0"/>
    <x v="43"/>
    <x v="318"/>
    <n v="0"/>
    <x v="0"/>
    <x v="0"/>
    <x v="3"/>
  </r>
  <r>
    <x v="0"/>
    <x v="2"/>
    <x v="2"/>
    <x v="0"/>
    <x v="0"/>
    <x v="43"/>
    <x v="318"/>
    <n v="0"/>
    <x v="0"/>
    <x v="0"/>
    <x v="3"/>
  </r>
  <r>
    <x v="0"/>
    <x v="3"/>
    <x v="3"/>
    <x v="0"/>
    <x v="0"/>
    <x v="43"/>
    <x v="318"/>
    <n v="0"/>
    <x v="0"/>
    <x v="0"/>
    <x v="3"/>
  </r>
  <r>
    <x v="0"/>
    <x v="4"/>
    <x v="4"/>
    <x v="0"/>
    <x v="0"/>
    <x v="43"/>
    <x v="318"/>
    <n v="0"/>
    <x v="0"/>
    <x v="0"/>
    <x v="3"/>
  </r>
  <r>
    <x v="0"/>
    <x v="0"/>
    <x v="0"/>
    <x v="0"/>
    <x v="0"/>
    <x v="109"/>
    <x v="319"/>
    <n v="0"/>
    <x v="0"/>
    <x v="0"/>
    <x v="2"/>
  </r>
  <r>
    <x v="0"/>
    <x v="1"/>
    <x v="1"/>
    <x v="0"/>
    <x v="0"/>
    <x v="109"/>
    <x v="319"/>
    <n v="3587.26"/>
    <x v="0"/>
    <x v="0"/>
    <x v="2"/>
  </r>
  <r>
    <x v="0"/>
    <x v="2"/>
    <x v="2"/>
    <x v="0"/>
    <x v="0"/>
    <x v="109"/>
    <x v="319"/>
    <n v="347804.43"/>
    <x v="0"/>
    <x v="0"/>
    <x v="2"/>
  </r>
  <r>
    <x v="0"/>
    <x v="3"/>
    <x v="3"/>
    <x v="0"/>
    <x v="0"/>
    <x v="109"/>
    <x v="319"/>
    <n v="0"/>
    <x v="0"/>
    <x v="0"/>
    <x v="2"/>
  </r>
  <r>
    <x v="0"/>
    <x v="4"/>
    <x v="4"/>
    <x v="0"/>
    <x v="0"/>
    <x v="109"/>
    <x v="319"/>
    <n v="351391.69"/>
    <x v="0"/>
    <x v="0"/>
    <x v="2"/>
  </r>
  <r>
    <x v="0"/>
    <x v="0"/>
    <x v="0"/>
    <x v="0"/>
    <x v="0"/>
    <x v="39"/>
    <x v="320"/>
    <n v="0"/>
    <x v="0"/>
    <x v="0"/>
    <x v="3"/>
  </r>
  <r>
    <x v="0"/>
    <x v="1"/>
    <x v="1"/>
    <x v="0"/>
    <x v="0"/>
    <x v="39"/>
    <x v="320"/>
    <n v="206.87"/>
    <x v="0"/>
    <x v="0"/>
    <x v="3"/>
  </r>
  <r>
    <x v="0"/>
    <x v="2"/>
    <x v="2"/>
    <x v="0"/>
    <x v="0"/>
    <x v="39"/>
    <x v="320"/>
    <n v="24695.97"/>
    <x v="0"/>
    <x v="0"/>
    <x v="3"/>
  </r>
  <r>
    <x v="0"/>
    <x v="3"/>
    <x v="3"/>
    <x v="0"/>
    <x v="0"/>
    <x v="39"/>
    <x v="320"/>
    <n v="0"/>
    <x v="0"/>
    <x v="0"/>
    <x v="3"/>
  </r>
  <r>
    <x v="0"/>
    <x v="4"/>
    <x v="4"/>
    <x v="0"/>
    <x v="0"/>
    <x v="39"/>
    <x v="320"/>
    <n v="24902.84"/>
    <x v="0"/>
    <x v="0"/>
    <x v="3"/>
  </r>
  <r>
    <x v="0"/>
    <x v="0"/>
    <x v="0"/>
    <x v="0"/>
    <x v="0"/>
    <x v="40"/>
    <x v="321"/>
    <n v="0"/>
    <x v="0"/>
    <x v="0"/>
    <x v="3"/>
  </r>
  <r>
    <x v="0"/>
    <x v="1"/>
    <x v="1"/>
    <x v="0"/>
    <x v="0"/>
    <x v="40"/>
    <x v="321"/>
    <n v="212.25"/>
    <x v="0"/>
    <x v="0"/>
    <x v="3"/>
  </r>
  <r>
    <x v="0"/>
    <x v="2"/>
    <x v="2"/>
    <x v="0"/>
    <x v="0"/>
    <x v="40"/>
    <x v="321"/>
    <n v="55905.83"/>
    <x v="0"/>
    <x v="0"/>
    <x v="3"/>
  </r>
  <r>
    <x v="0"/>
    <x v="3"/>
    <x v="3"/>
    <x v="0"/>
    <x v="0"/>
    <x v="40"/>
    <x v="321"/>
    <n v="0"/>
    <x v="0"/>
    <x v="0"/>
    <x v="3"/>
  </r>
  <r>
    <x v="0"/>
    <x v="4"/>
    <x v="4"/>
    <x v="0"/>
    <x v="0"/>
    <x v="40"/>
    <x v="321"/>
    <n v="56118.080000000002"/>
    <x v="0"/>
    <x v="0"/>
    <x v="3"/>
  </r>
  <r>
    <x v="0"/>
    <x v="0"/>
    <x v="0"/>
    <x v="0"/>
    <x v="0"/>
    <x v="41"/>
    <x v="322"/>
    <n v="0"/>
    <x v="0"/>
    <x v="0"/>
    <x v="3"/>
  </r>
  <r>
    <x v="0"/>
    <x v="1"/>
    <x v="1"/>
    <x v="0"/>
    <x v="0"/>
    <x v="41"/>
    <x v="322"/>
    <n v="328.76"/>
    <x v="0"/>
    <x v="0"/>
    <x v="3"/>
  </r>
  <r>
    <x v="0"/>
    <x v="2"/>
    <x v="2"/>
    <x v="0"/>
    <x v="0"/>
    <x v="41"/>
    <x v="322"/>
    <n v="55377.07"/>
    <x v="0"/>
    <x v="0"/>
    <x v="3"/>
  </r>
  <r>
    <x v="0"/>
    <x v="3"/>
    <x v="3"/>
    <x v="0"/>
    <x v="0"/>
    <x v="41"/>
    <x v="322"/>
    <n v="0"/>
    <x v="0"/>
    <x v="0"/>
    <x v="3"/>
  </r>
  <r>
    <x v="0"/>
    <x v="4"/>
    <x v="4"/>
    <x v="0"/>
    <x v="0"/>
    <x v="41"/>
    <x v="322"/>
    <n v="55705.83"/>
    <x v="0"/>
    <x v="0"/>
    <x v="3"/>
  </r>
  <r>
    <x v="0"/>
    <x v="0"/>
    <x v="0"/>
    <x v="0"/>
    <x v="0"/>
    <x v="42"/>
    <x v="323"/>
    <n v="0"/>
    <x v="0"/>
    <x v="0"/>
    <x v="3"/>
  </r>
  <r>
    <x v="0"/>
    <x v="1"/>
    <x v="1"/>
    <x v="0"/>
    <x v="0"/>
    <x v="42"/>
    <x v="323"/>
    <n v="696.72"/>
    <x v="0"/>
    <x v="0"/>
    <x v="3"/>
  </r>
  <r>
    <x v="0"/>
    <x v="2"/>
    <x v="2"/>
    <x v="0"/>
    <x v="0"/>
    <x v="42"/>
    <x v="323"/>
    <n v="84299"/>
    <x v="0"/>
    <x v="0"/>
    <x v="3"/>
  </r>
  <r>
    <x v="0"/>
    <x v="3"/>
    <x v="3"/>
    <x v="0"/>
    <x v="0"/>
    <x v="42"/>
    <x v="323"/>
    <n v="0"/>
    <x v="0"/>
    <x v="0"/>
    <x v="3"/>
  </r>
  <r>
    <x v="0"/>
    <x v="4"/>
    <x v="4"/>
    <x v="0"/>
    <x v="0"/>
    <x v="42"/>
    <x v="323"/>
    <n v="84995.72"/>
    <x v="0"/>
    <x v="0"/>
    <x v="3"/>
  </r>
  <r>
    <x v="0"/>
    <x v="0"/>
    <x v="0"/>
    <x v="0"/>
    <x v="0"/>
    <x v="43"/>
    <x v="324"/>
    <n v="0"/>
    <x v="0"/>
    <x v="0"/>
    <x v="3"/>
  </r>
  <r>
    <x v="0"/>
    <x v="1"/>
    <x v="1"/>
    <x v="0"/>
    <x v="0"/>
    <x v="43"/>
    <x v="324"/>
    <n v="2142.66"/>
    <x v="0"/>
    <x v="0"/>
    <x v="3"/>
  </r>
  <r>
    <x v="0"/>
    <x v="2"/>
    <x v="2"/>
    <x v="0"/>
    <x v="0"/>
    <x v="43"/>
    <x v="324"/>
    <n v="127526.56"/>
    <x v="0"/>
    <x v="0"/>
    <x v="3"/>
  </r>
  <r>
    <x v="0"/>
    <x v="3"/>
    <x v="3"/>
    <x v="0"/>
    <x v="0"/>
    <x v="43"/>
    <x v="324"/>
    <n v="0"/>
    <x v="0"/>
    <x v="0"/>
    <x v="3"/>
  </r>
  <r>
    <x v="0"/>
    <x v="4"/>
    <x v="4"/>
    <x v="0"/>
    <x v="0"/>
    <x v="43"/>
    <x v="324"/>
    <n v="129669.22"/>
    <x v="0"/>
    <x v="0"/>
    <x v="3"/>
  </r>
  <r>
    <x v="0"/>
    <x v="0"/>
    <x v="0"/>
    <x v="0"/>
    <x v="0"/>
    <x v="110"/>
    <x v="325"/>
    <n v="0"/>
    <x v="0"/>
    <x v="0"/>
    <x v="2"/>
  </r>
  <r>
    <x v="0"/>
    <x v="1"/>
    <x v="1"/>
    <x v="0"/>
    <x v="0"/>
    <x v="110"/>
    <x v="325"/>
    <n v="0"/>
    <x v="0"/>
    <x v="0"/>
    <x v="2"/>
  </r>
  <r>
    <x v="0"/>
    <x v="2"/>
    <x v="2"/>
    <x v="0"/>
    <x v="0"/>
    <x v="110"/>
    <x v="325"/>
    <n v="0"/>
    <x v="0"/>
    <x v="0"/>
    <x v="2"/>
  </r>
  <r>
    <x v="0"/>
    <x v="3"/>
    <x v="3"/>
    <x v="0"/>
    <x v="0"/>
    <x v="110"/>
    <x v="325"/>
    <n v="0"/>
    <x v="0"/>
    <x v="0"/>
    <x v="2"/>
  </r>
  <r>
    <x v="0"/>
    <x v="4"/>
    <x v="4"/>
    <x v="0"/>
    <x v="0"/>
    <x v="110"/>
    <x v="325"/>
    <n v="0"/>
    <x v="0"/>
    <x v="0"/>
    <x v="2"/>
  </r>
  <r>
    <x v="0"/>
    <x v="0"/>
    <x v="0"/>
    <x v="0"/>
    <x v="0"/>
    <x v="39"/>
    <x v="326"/>
    <n v="0"/>
    <x v="0"/>
    <x v="0"/>
    <x v="3"/>
  </r>
  <r>
    <x v="0"/>
    <x v="1"/>
    <x v="1"/>
    <x v="0"/>
    <x v="0"/>
    <x v="39"/>
    <x v="326"/>
    <n v="0"/>
    <x v="0"/>
    <x v="0"/>
    <x v="3"/>
  </r>
  <r>
    <x v="0"/>
    <x v="2"/>
    <x v="2"/>
    <x v="0"/>
    <x v="0"/>
    <x v="39"/>
    <x v="326"/>
    <n v="0"/>
    <x v="0"/>
    <x v="0"/>
    <x v="3"/>
  </r>
  <r>
    <x v="0"/>
    <x v="3"/>
    <x v="3"/>
    <x v="0"/>
    <x v="0"/>
    <x v="39"/>
    <x v="326"/>
    <n v="0"/>
    <x v="0"/>
    <x v="0"/>
    <x v="3"/>
  </r>
  <r>
    <x v="0"/>
    <x v="4"/>
    <x v="4"/>
    <x v="0"/>
    <x v="0"/>
    <x v="39"/>
    <x v="326"/>
    <n v="0"/>
    <x v="0"/>
    <x v="0"/>
    <x v="3"/>
  </r>
  <r>
    <x v="0"/>
    <x v="0"/>
    <x v="0"/>
    <x v="0"/>
    <x v="0"/>
    <x v="40"/>
    <x v="327"/>
    <n v="0"/>
    <x v="0"/>
    <x v="0"/>
    <x v="3"/>
  </r>
  <r>
    <x v="0"/>
    <x v="1"/>
    <x v="1"/>
    <x v="0"/>
    <x v="0"/>
    <x v="40"/>
    <x v="327"/>
    <n v="0"/>
    <x v="0"/>
    <x v="0"/>
    <x v="3"/>
  </r>
  <r>
    <x v="0"/>
    <x v="2"/>
    <x v="2"/>
    <x v="0"/>
    <x v="0"/>
    <x v="40"/>
    <x v="327"/>
    <n v="0"/>
    <x v="0"/>
    <x v="0"/>
    <x v="3"/>
  </r>
  <r>
    <x v="0"/>
    <x v="3"/>
    <x v="3"/>
    <x v="0"/>
    <x v="0"/>
    <x v="40"/>
    <x v="327"/>
    <n v="0"/>
    <x v="0"/>
    <x v="0"/>
    <x v="3"/>
  </r>
  <r>
    <x v="0"/>
    <x v="4"/>
    <x v="4"/>
    <x v="0"/>
    <x v="0"/>
    <x v="40"/>
    <x v="327"/>
    <n v="0"/>
    <x v="0"/>
    <x v="0"/>
    <x v="3"/>
  </r>
  <r>
    <x v="0"/>
    <x v="0"/>
    <x v="0"/>
    <x v="0"/>
    <x v="0"/>
    <x v="41"/>
    <x v="328"/>
    <n v="0"/>
    <x v="0"/>
    <x v="0"/>
    <x v="3"/>
  </r>
  <r>
    <x v="0"/>
    <x v="1"/>
    <x v="1"/>
    <x v="0"/>
    <x v="0"/>
    <x v="41"/>
    <x v="328"/>
    <n v="0"/>
    <x v="0"/>
    <x v="0"/>
    <x v="3"/>
  </r>
  <r>
    <x v="0"/>
    <x v="2"/>
    <x v="2"/>
    <x v="0"/>
    <x v="0"/>
    <x v="41"/>
    <x v="328"/>
    <n v="0"/>
    <x v="0"/>
    <x v="0"/>
    <x v="3"/>
  </r>
  <r>
    <x v="0"/>
    <x v="3"/>
    <x v="3"/>
    <x v="0"/>
    <x v="0"/>
    <x v="41"/>
    <x v="328"/>
    <n v="0"/>
    <x v="0"/>
    <x v="0"/>
    <x v="3"/>
  </r>
  <r>
    <x v="0"/>
    <x v="4"/>
    <x v="4"/>
    <x v="0"/>
    <x v="0"/>
    <x v="41"/>
    <x v="328"/>
    <n v="0"/>
    <x v="0"/>
    <x v="0"/>
    <x v="3"/>
  </r>
  <r>
    <x v="0"/>
    <x v="0"/>
    <x v="0"/>
    <x v="0"/>
    <x v="0"/>
    <x v="42"/>
    <x v="329"/>
    <n v="0"/>
    <x v="0"/>
    <x v="0"/>
    <x v="3"/>
  </r>
  <r>
    <x v="0"/>
    <x v="1"/>
    <x v="1"/>
    <x v="0"/>
    <x v="0"/>
    <x v="42"/>
    <x v="329"/>
    <n v="0"/>
    <x v="0"/>
    <x v="0"/>
    <x v="3"/>
  </r>
  <r>
    <x v="0"/>
    <x v="2"/>
    <x v="2"/>
    <x v="0"/>
    <x v="0"/>
    <x v="42"/>
    <x v="329"/>
    <n v="0"/>
    <x v="0"/>
    <x v="0"/>
    <x v="3"/>
  </r>
  <r>
    <x v="0"/>
    <x v="3"/>
    <x v="3"/>
    <x v="0"/>
    <x v="0"/>
    <x v="42"/>
    <x v="329"/>
    <n v="0"/>
    <x v="0"/>
    <x v="0"/>
    <x v="3"/>
  </r>
  <r>
    <x v="0"/>
    <x v="4"/>
    <x v="4"/>
    <x v="0"/>
    <x v="0"/>
    <x v="42"/>
    <x v="329"/>
    <n v="0"/>
    <x v="0"/>
    <x v="0"/>
    <x v="3"/>
  </r>
  <r>
    <x v="0"/>
    <x v="0"/>
    <x v="0"/>
    <x v="0"/>
    <x v="0"/>
    <x v="43"/>
    <x v="330"/>
    <n v="0"/>
    <x v="0"/>
    <x v="0"/>
    <x v="3"/>
  </r>
  <r>
    <x v="0"/>
    <x v="1"/>
    <x v="1"/>
    <x v="0"/>
    <x v="0"/>
    <x v="43"/>
    <x v="330"/>
    <n v="0"/>
    <x v="0"/>
    <x v="0"/>
    <x v="3"/>
  </r>
  <r>
    <x v="0"/>
    <x v="2"/>
    <x v="2"/>
    <x v="0"/>
    <x v="0"/>
    <x v="43"/>
    <x v="330"/>
    <n v="0"/>
    <x v="0"/>
    <x v="0"/>
    <x v="3"/>
  </r>
  <r>
    <x v="0"/>
    <x v="3"/>
    <x v="3"/>
    <x v="0"/>
    <x v="0"/>
    <x v="43"/>
    <x v="330"/>
    <n v="0"/>
    <x v="0"/>
    <x v="0"/>
    <x v="3"/>
  </r>
  <r>
    <x v="0"/>
    <x v="4"/>
    <x v="4"/>
    <x v="0"/>
    <x v="0"/>
    <x v="43"/>
    <x v="330"/>
    <n v="0"/>
    <x v="0"/>
    <x v="0"/>
    <x v="3"/>
  </r>
  <r>
    <x v="0"/>
    <x v="0"/>
    <x v="0"/>
    <x v="0"/>
    <x v="0"/>
    <x v="111"/>
    <x v="331"/>
    <n v="0"/>
    <x v="0"/>
    <x v="0"/>
    <x v="2"/>
  </r>
  <r>
    <x v="0"/>
    <x v="1"/>
    <x v="1"/>
    <x v="0"/>
    <x v="0"/>
    <x v="111"/>
    <x v="331"/>
    <n v="0"/>
    <x v="0"/>
    <x v="0"/>
    <x v="2"/>
  </r>
  <r>
    <x v="0"/>
    <x v="2"/>
    <x v="2"/>
    <x v="0"/>
    <x v="0"/>
    <x v="111"/>
    <x v="331"/>
    <n v="0"/>
    <x v="0"/>
    <x v="0"/>
    <x v="2"/>
  </r>
  <r>
    <x v="0"/>
    <x v="3"/>
    <x v="3"/>
    <x v="0"/>
    <x v="0"/>
    <x v="111"/>
    <x v="331"/>
    <n v="0"/>
    <x v="0"/>
    <x v="0"/>
    <x v="2"/>
  </r>
  <r>
    <x v="0"/>
    <x v="4"/>
    <x v="4"/>
    <x v="0"/>
    <x v="0"/>
    <x v="111"/>
    <x v="331"/>
    <n v="0"/>
    <x v="0"/>
    <x v="0"/>
    <x v="2"/>
  </r>
  <r>
    <x v="0"/>
    <x v="0"/>
    <x v="0"/>
    <x v="0"/>
    <x v="0"/>
    <x v="39"/>
    <x v="332"/>
    <n v="0"/>
    <x v="0"/>
    <x v="0"/>
    <x v="3"/>
  </r>
  <r>
    <x v="0"/>
    <x v="1"/>
    <x v="1"/>
    <x v="0"/>
    <x v="0"/>
    <x v="39"/>
    <x v="332"/>
    <n v="0"/>
    <x v="0"/>
    <x v="0"/>
    <x v="3"/>
  </r>
  <r>
    <x v="0"/>
    <x v="2"/>
    <x v="2"/>
    <x v="0"/>
    <x v="0"/>
    <x v="39"/>
    <x v="332"/>
    <n v="0"/>
    <x v="0"/>
    <x v="0"/>
    <x v="3"/>
  </r>
  <r>
    <x v="0"/>
    <x v="3"/>
    <x v="3"/>
    <x v="0"/>
    <x v="0"/>
    <x v="39"/>
    <x v="332"/>
    <n v="0"/>
    <x v="0"/>
    <x v="0"/>
    <x v="3"/>
  </r>
  <r>
    <x v="0"/>
    <x v="4"/>
    <x v="4"/>
    <x v="0"/>
    <x v="0"/>
    <x v="39"/>
    <x v="332"/>
    <n v="0"/>
    <x v="0"/>
    <x v="0"/>
    <x v="3"/>
  </r>
  <r>
    <x v="0"/>
    <x v="0"/>
    <x v="0"/>
    <x v="0"/>
    <x v="0"/>
    <x v="40"/>
    <x v="333"/>
    <n v="0"/>
    <x v="0"/>
    <x v="0"/>
    <x v="3"/>
  </r>
  <r>
    <x v="0"/>
    <x v="1"/>
    <x v="1"/>
    <x v="0"/>
    <x v="0"/>
    <x v="40"/>
    <x v="333"/>
    <n v="0"/>
    <x v="0"/>
    <x v="0"/>
    <x v="3"/>
  </r>
  <r>
    <x v="0"/>
    <x v="2"/>
    <x v="2"/>
    <x v="0"/>
    <x v="0"/>
    <x v="40"/>
    <x v="333"/>
    <n v="0"/>
    <x v="0"/>
    <x v="0"/>
    <x v="3"/>
  </r>
  <r>
    <x v="0"/>
    <x v="3"/>
    <x v="3"/>
    <x v="0"/>
    <x v="0"/>
    <x v="40"/>
    <x v="333"/>
    <n v="0"/>
    <x v="0"/>
    <x v="0"/>
    <x v="3"/>
  </r>
  <r>
    <x v="0"/>
    <x v="4"/>
    <x v="4"/>
    <x v="0"/>
    <x v="0"/>
    <x v="40"/>
    <x v="333"/>
    <n v="0"/>
    <x v="0"/>
    <x v="0"/>
    <x v="3"/>
  </r>
  <r>
    <x v="0"/>
    <x v="0"/>
    <x v="0"/>
    <x v="0"/>
    <x v="0"/>
    <x v="41"/>
    <x v="334"/>
    <n v="0"/>
    <x v="0"/>
    <x v="0"/>
    <x v="3"/>
  </r>
  <r>
    <x v="0"/>
    <x v="1"/>
    <x v="1"/>
    <x v="0"/>
    <x v="0"/>
    <x v="41"/>
    <x v="334"/>
    <n v="0"/>
    <x v="0"/>
    <x v="0"/>
    <x v="3"/>
  </r>
  <r>
    <x v="0"/>
    <x v="2"/>
    <x v="2"/>
    <x v="0"/>
    <x v="0"/>
    <x v="41"/>
    <x v="334"/>
    <n v="0"/>
    <x v="0"/>
    <x v="0"/>
    <x v="3"/>
  </r>
  <r>
    <x v="0"/>
    <x v="3"/>
    <x v="3"/>
    <x v="0"/>
    <x v="0"/>
    <x v="41"/>
    <x v="334"/>
    <n v="0"/>
    <x v="0"/>
    <x v="0"/>
    <x v="3"/>
  </r>
  <r>
    <x v="0"/>
    <x v="4"/>
    <x v="4"/>
    <x v="0"/>
    <x v="0"/>
    <x v="41"/>
    <x v="334"/>
    <n v="0"/>
    <x v="0"/>
    <x v="0"/>
    <x v="3"/>
  </r>
  <r>
    <x v="0"/>
    <x v="0"/>
    <x v="0"/>
    <x v="0"/>
    <x v="0"/>
    <x v="42"/>
    <x v="335"/>
    <n v="0"/>
    <x v="0"/>
    <x v="0"/>
    <x v="3"/>
  </r>
  <r>
    <x v="0"/>
    <x v="1"/>
    <x v="1"/>
    <x v="0"/>
    <x v="0"/>
    <x v="42"/>
    <x v="335"/>
    <n v="0"/>
    <x v="0"/>
    <x v="0"/>
    <x v="3"/>
  </r>
  <r>
    <x v="0"/>
    <x v="2"/>
    <x v="2"/>
    <x v="0"/>
    <x v="0"/>
    <x v="42"/>
    <x v="335"/>
    <n v="0"/>
    <x v="0"/>
    <x v="0"/>
    <x v="3"/>
  </r>
  <r>
    <x v="0"/>
    <x v="3"/>
    <x v="3"/>
    <x v="0"/>
    <x v="0"/>
    <x v="42"/>
    <x v="335"/>
    <n v="0"/>
    <x v="0"/>
    <x v="0"/>
    <x v="3"/>
  </r>
  <r>
    <x v="0"/>
    <x v="4"/>
    <x v="4"/>
    <x v="0"/>
    <x v="0"/>
    <x v="42"/>
    <x v="335"/>
    <n v="0"/>
    <x v="0"/>
    <x v="0"/>
    <x v="3"/>
  </r>
  <r>
    <x v="0"/>
    <x v="0"/>
    <x v="0"/>
    <x v="0"/>
    <x v="0"/>
    <x v="43"/>
    <x v="336"/>
    <n v="0"/>
    <x v="0"/>
    <x v="0"/>
    <x v="3"/>
  </r>
  <r>
    <x v="0"/>
    <x v="1"/>
    <x v="1"/>
    <x v="0"/>
    <x v="0"/>
    <x v="43"/>
    <x v="336"/>
    <n v="0"/>
    <x v="0"/>
    <x v="0"/>
    <x v="3"/>
  </r>
  <r>
    <x v="0"/>
    <x v="2"/>
    <x v="2"/>
    <x v="0"/>
    <x v="0"/>
    <x v="43"/>
    <x v="336"/>
    <n v="0"/>
    <x v="0"/>
    <x v="0"/>
    <x v="3"/>
  </r>
  <r>
    <x v="0"/>
    <x v="3"/>
    <x v="3"/>
    <x v="0"/>
    <x v="0"/>
    <x v="43"/>
    <x v="336"/>
    <n v="0"/>
    <x v="0"/>
    <x v="0"/>
    <x v="3"/>
  </r>
  <r>
    <x v="0"/>
    <x v="4"/>
    <x v="4"/>
    <x v="0"/>
    <x v="0"/>
    <x v="43"/>
    <x v="336"/>
    <n v="0"/>
    <x v="0"/>
    <x v="0"/>
    <x v="3"/>
  </r>
  <r>
    <x v="0"/>
    <x v="0"/>
    <x v="0"/>
    <x v="0"/>
    <x v="0"/>
    <x v="112"/>
    <x v="337"/>
    <n v="0"/>
    <x v="0"/>
    <x v="0"/>
    <x v="2"/>
  </r>
  <r>
    <x v="0"/>
    <x v="1"/>
    <x v="1"/>
    <x v="0"/>
    <x v="0"/>
    <x v="112"/>
    <x v="337"/>
    <n v="0"/>
    <x v="0"/>
    <x v="0"/>
    <x v="2"/>
  </r>
  <r>
    <x v="0"/>
    <x v="2"/>
    <x v="2"/>
    <x v="0"/>
    <x v="0"/>
    <x v="112"/>
    <x v="337"/>
    <n v="0"/>
    <x v="0"/>
    <x v="0"/>
    <x v="2"/>
  </r>
  <r>
    <x v="0"/>
    <x v="3"/>
    <x v="3"/>
    <x v="0"/>
    <x v="0"/>
    <x v="112"/>
    <x v="337"/>
    <n v="0"/>
    <x v="0"/>
    <x v="0"/>
    <x v="2"/>
  </r>
  <r>
    <x v="0"/>
    <x v="4"/>
    <x v="4"/>
    <x v="0"/>
    <x v="0"/>
    <x v="112"/>
    <x v="337"/>
    <n v="0"/>
    <x v="0"/>
    <x v="0"/>
    <x v="2"/>
  </r>
  <r>
    <x v="0"/>
    <x v="0"/>
    <x v="0"/>
    <x v="0"/>
    <x v="0"/>
    <x v="39"/>
    <x v="338"/>
    <n v="0"/>
    <x v="0"/>
    <x v="0"/>
    <x v="3"/>
  </r>
  <r>
    <x v="0"/>
    <x v="1"/>
    <x v="1"/>
    <x v="0"/>
    <x v="0"/>
    <x v="39"/>
    <x v="338"/>
    <n v="0"/>
    <x v="0"/>
    <x v="0"/>
    <x v="3"/>
  </r>
  <r>
    <x v="0"/>
    <x v="2"/>
    <x v="2"/>
    <x v="0"/>
    <x v="0"/>
    <x v="39"/>
    <x v="338"/>
    <n v="0"/>
    <x v="0"/>
    <x v="0"/>
    <x v="3"/>
  </r>
  <r>
    <x v="0"/>
    <x v="3"/>
    <x v="3"/>
    <x v="0"/>
    <x v="0"/>
    <x v="39"/>
    <x v="338"/>
    <n v="0"/>
    <x v="0"/>
    <x v="0"/>
    <x v="3"/>
  </r>
  <r>
    <x v="0"/>
    <x v="4"/>
    <x v="4"/>
    <x v="0"/>
    <x v="0"/>
    <x v="39"/>
    <x v="338"/>
    <n v="0"/>
    <x v="0"/>
    <x v="0"/>
    <x v="3"/>
  </r>
  <r>
    <x v="0"/>
    <x v="0"/>
    <x v="0"/>
    <x v="0"/>
    <x v="0"/>
    <x v="40"/>
    <x v="339"/>
    <n v="0"/>
    <x v="0"/>
    <x v="0"/>
    <x v="3"/>
  </r>
  <r>
    <x v="0"/>
    <x v="1"/>
    <x v="1"/>
    <x v="0"/>
    <x v="0"/>
    <x v="40"/>
    <x v="339"/>
    <n v="0"/>
    <x v="0"/>
    <x v="0"/>
    <x v="3"/>
  </r>
  <r>
    <x v="0"/>
    <x v="2"/>
    <x v="2"/>
    <x v="0"/>
    <x v="0"/>
    <x v="40"/>
    <x v="339"/>
    <n v="0"/>
    <x v="0"/>
    <x v="0"/>
    <x v="3"/>
  </r>
  <r>
    <x v="0"/>
    <x v="3"/>
    <x v="3"/>
    <x v="0"/>
    <x v="0"/>
    <x v="40"/>
    <x v="339"/>
    <n v="0"/>
    <x v="0"/>
    <x v="0"/>
    <x v="3"/>
  </r>
  <r>
    <x v="0"/>
    <x v="4"/>
    <x v="4"/>
    <x v="0"/>
    <x v="0"/>
    <x v="40"/>
    <x v="339"/>
    <n v="0"/>
    <x v="0"/>
    <x v="0"/>
    <x v="3"/>
  </r>
  <r>
    <x v="0"/>
    <x v="0"/>
    <x v="0"/>
    <x v="0"/>
    <x v="0"/>
    <x v="41"/>
    <x v="340"/>
    <n v="0"/>
    <x v="0"/>
    <x v="0"/>
    <x v="3"/>
  </r>
  <r>
    <x v="0"/>
    <x v="1"/>
    <x v="1"/>
    <x v="0"/>
    <x v="0"/>
    <x v="41"/>
    <x v="340"/>
    <n v="0"/>
    <x v="0"/>
    <x v="0"/>
    <x v="3"/>
  </r>
  <r>
    <x v="0"/>
    <x v="2"/>
    <x v="2"/>
    <x v="0"/>
    <x v="0"/>
    <x v="41"/>
    <x v="340"/>
    <n v="0"/>
    <x v="0"/>
    <x v="0"/>
    <x v="3"/>
  </r>
  <r>
    <x v="0"/>
    <x v="3"/>
    <x v="3"/>
    <x v="0"/>
    <x v="0"/>
    <x v="41"/>
    <x v="340"/>
    <n v="0"/>
    <x v="0"/>
    <x v="0"/>
    <x v="3"/>
  </r>
  <r>
    <x v="0"/>
    <x v="4"/>
    <x v="4"/>
    <x v="0"/>
    <x v="0"/>
    <x v="41"/>
    <x v="340"/>
    <n v="0"/>
    <x v="0"/>
    <x v="0"/>
    <x v="3"/>
  </r>
  <r>
    <x v="0"/>
    <x v="0"/>
    <x v="0"/>
    <x v="0"/>
    <x v="0"/>
    <x v="42"/>
    <x v="341"/>
    <n v="0"/>
    <x v="0"/>
    <x v="0"/>
    <x v="3"/>
  </r>
  <r>
    <x v="0"/>
    <x v="1"/>
    <x v="1"/>
    <x v="0"/>
    <x v="0"/>
    <x v="42"/>
    <x v="341"/>
    <n v="0"/>
    <x v="0"/>
    <x v="0"/>
    <x v="3"/>
  </r>
  <r>
    <x v="0"/>
    <x v="2"/>
    <x v="2"/>
    <x v="0"/>
    <x v="0"/>
    <x v="42"/>
    <x v="341"/>
    <n v="0"/>
    <x v="0"/>
    <x v="0"/>
    <x v="3"/>
  </r>
  <r>
    <x v="0"/>
    <x v="3"/>
    <x v="3"/>
    <x v="0"/>
    <x v="0"/>
    <x v="42"/>
    <x v="341"/>
    <n v="0"/>
    <x v="0"/>
    <x v="0"/>
    <x v="3"/>
  </r>
  <r>
    <x v="0"/>
    <x v="4"/>
    <x v="4"/>
    <x v="0"/>
    <x v="0"/>
    <x v="42"/>
    <x v="341"/>
    <n v="0"/>
    <x v="0"/>
    <x v="0"/>
    <x v="3"/>
  </r>
  <r>
    <x v="0"/>
    <x v="0"/>
    <x v="0"/>
    <x v="0"/>
    <x v="0"/>
    <x v="43"/>
    <x v="342"/>
    <n v="0"/>
    <x v="0"/>
    <x v="0"/>
    <x v="3"/>
  </r>
  <r>
    <x v="0"/>
    <x v="1"/>
    <x v="1"/>
    <x v="0"/>
    <x v="0"/>
    <x v="43"/>
    <x v="342"/>
    <n v="0"/>
    <x v="0"/>
    <x v="0"/>
    <x v="3"/>
  </r>
  <r>
    <x v="0"/>
    <x v="2"/>
    <x v="2"/>
    <x v="0"/>
    <x v="0"/>
    <x v="43"/>
    <x v="342"/>
    <n v="0"/>
    <x v="0"/>
    <x v="0"/>
    <x v="3"/>
  </r>
  <r>
    <x v="0"/>
    <x v="3"/>
    <x v="3"/>
    <x v="0"/>
    <x v="0"/>
    <x v="43"/>
    <x v="342"/>
    <n v="0"/>
    <x v="0"/>
    <x v="0"/>
    <x v="3"/>
  </r>
  <r>
    <x v="0"/>
    <x v="4"/>
    <x v="4"/>
    <x v="0"/>
    <x v="0"/>
    <x v="43"/>
    <x v="342"/>
    <n v="0"/>
    <x v="0"/>
    <x v="0"/>
    <x v="3"/>
  </r>
  <r>
    <x v="0"/>
    <x v="0"/>
    <x v="0"/>
    <x v="0"/>
    <x v="0"/>
    <x v="113"/>
    <x v="343"/>
    <n v="0"/>
    <x v="0"/>
    <x v="0"/>
    <x v="2"/>
  </r>
  <r>
    <x v="0"/>
    <x v="1"/>
    <x v="1"/>
    <x v="0"/>
    <x v="0"/>
    <x v="113"/>
    <x v="343"/>
    <n v="0"/>
    <x v="0"/>
    <x v="0"/>
    <x v="2"/>
  </r>
  <r>
    <x v="0"/>
    <x v="2"/>
    <x v="2"/>
    <x v="0"/>
    <x v="0"/>
    <x v="113"/>
    <x v="343"/>
    <n v="0"/>
    <x v="0"/>
    <x v="0"/>
    <x v="2"/>
  </r>
  <r>
    <x v="0"/>
    <x v="3"/>
    <x v="3"/>
    <x v="0"/>
    <x v="0"/>
    <x v="113"/>
    <x v="343"/>
    <n v="0"/>
    <x v="0"/>
    <x v="0"/>
    <x v="2"/>
  </r>
  <r>
    <x v="0"/>
    <x v="4"/>
    <x v="4"/>
    <x v="0"/>
    <x v="0"/>
    <x v="113"/>
    <x v="343"/>
    <n v="0"/>
    <x v="0"/>
    <x v="0"/>
    <x v="2"/>
  </r>
  <r>
    <x v="0"/>
    <x v="0"/>
    <x v="0"/>
    <x v="0"/>
    <x v="0"/>
    <x v="39"/>
    <x v="344"/>
    <n v="0"/>
    <x v="0"/>
    <x v="0"/>
    <x v="3"/>
  </r>
  <r>
    <x v="0"/>
    <x v="1"/>
    <x v="1"/>
    <x v="0"/>
    <x v="0"/>
    <x v="39"/>
    <x v="344"/>
    <n v="0"/>
    <x v="0"/>
    <x v="0"/>
    <x v="3"/>
  </r>
  <r>
    <x v="0"/>
    <x v="2"/>
    <x v="2"/>
    <x v="0"/>
    <x v="0"/>
    <x v="39"/>
    <x v="344"/>
    <n v="0"/>
    <x v="0"/>
    <x v="0"/>
    <x v="3"/>
  </r>
  <r>
    <x v="0"/>
    <x v="3"/>
    <x v="3"/>
    <x v="0"/>
    <x v="0"/>
    <x v="39"/>
    <x v="344"/>
    <n v="0"/>
    <x v="0"/>
    <x v="0"/>
    <x v="3"/>
  </r>
  <r>
    <x v="0"/>
    <x v="4"/>
    <x v="4"/>
    <x v="0"/>
    <x v="0"/>
    <x v="39"/>
    <x v="344"/>
    <n v="0"/>
    <x v="0"/>
    <x v="0"/>
    <x v="3"/>
  </r>
  <r>
    <x v="0"/>
    <x v="0"/>
    <x v="0"/>
    <x v="0"/>
    <x v="0"/>
    <x v="40"/>
    <x v="345"/>
    <n v="0"/>
    <x v="0"/>
    <x v="0"/>
    <x v="3"/>
  </r>
  <r>
    <x v="0"/>
    <x v="1"/>
    <x v="1"/>
    <x v="0"/>
    <x v="0"/>
    <x v="40"/>
    <x v="345"/>
    <n v="0"/>
    <x v="0"/>
    <x v="0"/>
    <x v="3"/>
  </r>
  <r>
    <x v="0"/>
    <x v="2"/>
    <x v="2"/>
    <x v="0"/>
    <x v="0"/>
    <x v="40"/>
    <x v="345"/>
    <n v="0"/>
    <x v="0"/>
    <x v="0"/>
    <x v="3"/>
  </r>
  <r>
    <x v="0"/>
    <x v="3"/>
    <x v="3"/>
    <x v="0"/>
    <x v="0"/>
    <x v="40"/>
    <x v="345"/>
    <n v="0"/>
    <x v="0"/>
    <x v="0"/>
    <x v="3"/>
  </r>
  <r>
    <x v="0"/>
    <x v="4"/>
    <x v="4"/>
    <x v="0"/>
    <x v="0"/>
    <x v="40"/>
    <x v="345"/>
    <n v="0"/>
    <x v="0"/>
    <x v="0"/>
    <x v="3"/>
  </r>
  <r>
    <x v="0"/>
    <x v="0"/>
    <x v="0"/>
    <x v="0"/>
    <x v="0"/>
    <x v="41"/>
    <x v="346"/>
    <n v="0"/>
    <x v="0"/>
    <x v="0"/>
    <x v="3"/>
  </r>
  <r>
    <x v="0"/>
    <x v="1"/>
    <x v="1"/>
    <x v="0"/>
    <x v="0"/>
    <x v="41"/>
    <x v="346"/>
    <n v="0"/>
    <x v="0"/>
    <x v="0"/>
    <x v="3"/>
  </r>
  <r>
    <x v="0"/>
    <x v="2"/>
    <x v="2"/>
    <x v="0"/>
    <x v="0"/>
    <x v="41"/>
    <x v="346"/>
    <n v="0"/>
    <x v="0"/>
    <x v="0"/>
    <x v="3"/>
  </r>
  <r>
    <x v="0"/>
    <x v="3"/>
    <x v="3"/>
    <x v="0"/>
    <x v="0"/>
    <x v="41"/>
    <x v="346"/>
    <n v="0"/>
    <x v="0"/>
    <x v="0"/>
    <x v="3"/>
  </r>
  <r>
    <x v="0"/>
    <x v="4"/>
    <x v="4"/>
    <x v="0"/>
    <x v="0"/>
    <x v="41"/>
    <x v="346"/>
    <n v="0"/>
    <x v="0"/>
    <x v="0"/>
    <x v="3"/>
  </r>
  <r>
    <x v="0"/>
    <x v="0"/>
    <x v="0"/>
    <x v="0"/>
    <x v="0"/>
    <x v="42"/>
    <x v="347"/>
    <n v="0"/>
    <x v="0"/>
    <x v="0"/>
    <x v="3"/>
  </r>
  <r>
    <x v="0"/>
    <x v="1"/>
    <x v="1"/>
    <x v="0"/>
    <x v="0"/>
    <x v="42"/>
    <x v="347"/>
    <n v="0"/>
    <x v="0"/>
    <x v="0"/>
    <x v="3"/>
  </r>
  <r>
    <x v="0"/>
    <x v="2"/>
    <x v="2"/>
    <x v="0"/>
    <x v="0"/>
    <x v="42"/>
    <x v="347"/>
    <n v="0"/>
    <x v="0"/>
    <x v="0"/>
    <x v="3"/>
  </r>
  <r>
    <x v="0"/>
    <x v="3"/>
    <x v="3"/>
    <x v="0"/>
    <x v="0"/>
    <x v="42"/>
    <x v="347"/>
    <n v="0"/>
    <x v="0"/>
    <x v="0"/>
    <x v="3"/>
  </r>
  <r>
    <x v="0"/>
    <x v="4"/>
    <x v="4"/>
    <x v="0"/>
    <x v="0"/>
    <x v="42"/>
    <x v="347"/>
    <n v="0"/>
    <x v="0"/>
    <x v="0"/>
    <x v="3"/>
  </r>
  <r>
    <x v="0"/>
    <x v="0"/>
    <x v="0"/>
    <x v="0"/>
    <x v="0"/>
    <x v="43"/>
    <x v="348"/>
    <n v="0"/>
    <x v="0"/>
    <x v="0"/>
    <x v="3"/>
  </r>
  <r>
    <x v="0"/>
    <x v="1"/>
    <x v="1"/>
    <x v="0"/>
    <x v="0"/>
    <x v="43"/>
    <x v="348"/>
    <n v="0"/>
    <x v="0"/>
    <x v="0"/>
    <x v="3"/>
  </r>
  <r>
    <x v="0"/>
    <x v="2"/>
    <x v="2"/>
    <x v="0"/>
    <x v="0"/>
    <x v="43"/>
    <x v="348"/>
    <n v="0"/>
    <x v="0"/>
    <x v="0"/>
    <x v="3"/>
  </r>
  <r>
    <x v="0"/>
    <x v="3"/>
    <x v="3"/>
    <x v="0"/>
    <x v="0"/>
    <x v="43"/>
    <x v="348"/>
    <n v="0"/>
    <x v="0"/>
    <x v="0"/>
    <x v="3"/>
  </r>
  <r>
    <x v="0"/>
    <x v="4"/>
    <x v="4"/>
    <x v="0"/>
    <x v="0"/>
    <x v="43"/>
    <x v="348"/>
    <n v="0"/>
    <x v="0"/>
    <x v="0"/>
    <x v="3"/>
  </r>
  <r>
    <x v="0"/>
    <x v="0"/>
    <x v="0"/>
    <x v="0"/>
    <x v="0"/>
    <x v="114"/>
    <x v="349"/>
    <n v="0"/>
    <x v="0"/>
    <x v="0"/>
    <x v="2"/>
  </r>
  <r>
    <x v="0"/>
    <x v="1"/>
    <x v="1"/>
    <x v="0"/>
    <x v="0"/>
    <x v="114"/>
    <x v="349"/>
    <n v="0"/>
    <x v="0"/>
    <x v="0"/>
    <x v="2"/>
  </r>
  <r>
    <x v="0"/>
    <x v="2"/>
    <x v="2"/>
    <x v="0"/>
    <x v="0"/>
    <x v="114"/>
    <x v="349"/>
    <n v="0"/>
    <x v="0"/>
    <x v="0"/>
    <x v="2"/>
  </r>
  <r>
    <x v="0"/>
    <x v="3"/>
    <x v="3"/>
    <x v="0"/>
    <x v="0"/>
    <x v="114"/>
    <x v="349"/>
    <n v="0"/>
    <x v="0"/>
    <x v="0"/>
    <x v="2"/>
  </r>
  <r>
    <x v="0"/>
    <x v="4"/>
    <x v="4"/>
    <x v="0"/>
    <x v="0"/>
    <x v="114"/>
    <x v="349"/>
    <n v="0"/>
    <x v="0"/>
    <x v="0"/>
    <x v="2"/>
  </r>
  <r>
    <x v="0"/>
    <x v="0"/>
    <x v="0"/>
    <x v="0"/>
    <x v="0"/>
    <x v="39"/>
    <x v="350"/>
    <n v="0"/>
    <x v="0"/>
    <x v="0"/>
    <x v="3"/>
  </r>
  <r>
    <x v="0"/>
    <x v="1"/>
    <x v="1"/>
    <x v="0"/>
    <x v="0"/>
    <x v="39"/>
    <x v="350"/>
    <n v="0"/>
    <x v="0"/>
    <x v="0"/>
    <x v="3"/>
  </r>
  <r>
    <x v="0"/>
    <x v="2"/>
    <x v="2"/>
    <x v="0"/>
    <x v="0"/>
    <x v="39"/>
    <x v="350"/>
    <n v="0"/>
    <x v="0"/>
    <x v="0"/>
    <x v="3"/>
  </r>
  <r>
    <x v="0"/>
    <x v="3"/>
    <x v="3"/>
    <x v="0"/>
    <x v="0"/>
    <x v="39"/>
    <x v="350"/>
    <n v="0"/>
    <x v="0"/>
    <x v="0"/>
    <x v="3"/>
  </r>
  <r>
    <x v="0"/>
    <x v="4"/>
    <x v="4"/>
    <x v="0"/>
    <x v="0"/>
    <x v="39"/>
    <x v="350"/>
    <n v="0"/>
    <x v="0"/>
    <x v="0"/>
    <x v="3"/>
  </r>
  <r>
    <x v="0"/>
    <x v="0"/>
    <x v="0"/>
    <x v="0"/>
    <x v="0"/>
    <x v="40"/>
    <x v="351"/>
    <n v="0"/>
    <x v="0"/>
    <x v="0"/>
    <x v="3"/>
  </r>
  <r>
    <x v="0"/>
    <x v="1"/>
    <x v="1"/>
    <x v="0"/>
    <x v="0"/>
    <x v="40"/>
    <x v="351"/>
    <n v="0"/>
    <x v="0"/>
    <x v="0"/>
    <x v="3"/>
  </r>
  <r>
    <x v="0"/>
    <x v="2"/>
    <x v="2"/>
    <x v="0"/>
    <x v="0"/>
    <x v="40"/>
    <x v="351"/>
    <n v="0"/>
    <x v="0"/>
    <x v="0"/>
    <x v="3"/>
  </r>
  <r>
    <x v="0"/>
    <x v="3"/>
    <x v="3"/>
    <x v="0"/>
    <x v="0"/>
    <x v="40"/>
    <x v="351"/>
    <n v="0"/>
    <x v="0"/>
    <x v="0"/>
    <x v="3"/>
  </r>
  <r>
    <x v="0"/>
    <x v="4"/>
    <x v="4"/>
    <x v="0"/>
    <x v="0"/>
    <x v="40"/>
    <x v="351"/>
    <n v="0"/>
    <x v="0"/>
    <x v="0"/>
    <x v="3"/>
  </r>
  <r>
    <x v="0"/>
    <x v="0"/>
    <x v="0"/>
    <x v="0"/>
    <x v="0"/>
    <x v="41"/>
    <x v="352"/>
    <n v="0"/>
    <x v="0"/>
    <x v="0"/>
    <x v="3"/>
  </r>
  <r>
    <x v="0"/>
    <x v="1"/>
    <x v="1"/>
    <x v="0"/>
    <x v="0"/>
    <x v="41"/>
    <x v="352"/>
    <n v="0"/>
    <x v="0"/>
    <x v="0"/>
    <x v="3"/>
  </r>
  <r>
    <x v="0"/>
    <x v="2"/>
    <x v="2"/>
    <x v="0"/>
    <x v="0"/>
    <x v="41"/>
    <x v="352"/>
    <n v="0"/>
    <x v="0"/>
    <x v="0"/>
    <x v="3"/>
  </r>
  <r>
    <x v="0"/>
    <x v="3"/>
    <x v="3"/>
    <x v="0"/>
    <x v="0"/>
    <x v="41"/>
    <x v="352"/>
    <n v="0"/>
    <x v="0"/>
    <x v="0"/>
    <x v="3"/>
  </r>
  <r>
    <x v="0"/>
    <x v="4"/>
    <x v="4"/>
    <x v="0"/>
    <x v="0"/>
    <x v="41"/>
    <x v="352"/>
    <n v="0"/>
    <x v="0"/>
    <x v="0"/>
    <x v="3"/>
  </r>
  <r>
    <x v="0"/>
    <x v="0"/>
    <x v="0"/>
    <x v="0"/>
    <x v="0"/>
    <x v="42"/>
    <x v="353"/>
    <n v="0"/>
    <x v="0"/>
    <x v="0"/>
    <x v="3"/>
  </r>
  <r>
    <x v="0"/>
    <x v="1"/>
    <x v="1"/>
    <x v="0"/>
    <x v="0"/>
    <x v="42"/>
    <x v="353"/>
    <n v="0"/>
    <x v="0"/>
    <x v="0"/>
    <x v="3"/>
  </r>
  <r>
    <x v="0"/>
    <x v="2"/>
    <x v="2"/>
    <x v="0"/>
    <x v="0"/>
    <x v="42"/>
    <x v="353"/>
    <n v="0"/>
    <x v="0"/>
    <x v="0"/>
    <x v="3"/>
  </r>
  <r>
    <x v="0"/>
    <x v="3"/>
    <x v="3"/>
    <x v="0"/>
    <x v="0"/>
    <x v="42"/>
    <x v="353"/>
    <n v="0"/>
    <x v="0"/>
    <x v="0"/>
    <x v="3"/>
  </r>
  <r>
    <x v="0"/>
    <x v="4"/>
    <x v="4"/>
    <x v="0"/>
    <x v="0"/>
    <x v="42"/>
    <x v="353"/>
    <n v="0"/>
    <x v="0"/>
    <x v="0"/>
    <x v="3"/>
  </r>
  <r>
    <x v="0"/>
    <x v="0"/>
    <x v="0"/>
    <x v="0"/>
    <x v="0"/>
    <x v="43"/>
    <x v="354"/>
    <n v="0"/>
    <x v="0"/>
    <x v="0"/>
    <x v="3"/>
  </r>
  <r>
    <x v="0"/>
    <x v="1"/>
    <x v="1"/>
    <x v="0"/>
    <x v="0"/>
    <x v="43"/>
    <x v="354"/>
    <n v="0"/>
    <x v="0"/>
    <x v="0"/>
    <x v="3"/>
  </r>
  <r>
    <x v="0"/>
    <x v="2"/>
    <x v="2"/>
    <x v="0"/>
    <x v="0"/>
    <x v="43"/>
    <x v="354"/>
    <n v="0"/>
    <x v="0"/>
    <x v="0"/>
    <x v="3"/>
  </r>
  <r>
    <x v="0"/>
    <x v="3"/>
    <x v="3"/>
    <x v="0"/>
    <x v="0"/>
    <x v="43"/>
    <x v="354"/>
    <n v="0"/>
    <x v="0"/>
    <x v="0"/>
    <x v="3"/>
  </r>
  <r>
    <x v="0"/>
    <x v="4"/>
    <x v="4"/>
    <x v="0"/>
    <x v="0"/>
    <x v="43"/>
    <x v="354"/>
    <n v="0"/>
    <x v="0"/>
    <x v="0"/>
    <x v="3"/>
  </r>
  <r>
    <x v="0"/>
    <x v="0"/>
    <x v="0"/>
    <x v="0"/>
    <x v="0"/>
    <x v="115"/>
    <x v="355"/>
    <n v="758.41"/>
    <x v="0"/>
    <x v="0"/>
    <x v="2"/>
  </r>
  <r>
    <x v="0"/>
    <x v="1"/>
    <x v="1"/>
    <x v="0"/>
    <x v="0"/>
    <x v="115"/>
    <x v="355"/>
    <n v="10676.17"/>
    <x v="0"/>
    <x v="0"/>
    <x v="2"/>
  </r>
  <r>
    <x v="0"/>
    <x v="2"/>
    <x v="2"/>
    <x v="0"/>
    <x v="0"/>
    <x v="115"/>
    <x v="355"/>
    <n v="466036.06"/>
    <x v="0"/>
    <x v="0"/>
    <x v="2"/>
  </r>
  <r>
    <x v="0"/>
    <x v="3"/>
    <x v="3"/>
    <x v="0"/>
    <x v="0"/>
    <x v="115"/>
    <x v="355"/>
    <n v="0"/>
    <x v="0"/>
    <x v="0"/>
    <x v="2"/>
  </r>
  <r>
    <x v="0"/>
    <x v="4"/>
    <x v="4"/>
    <x v="0"/>
    <x v="0"/>
    <x v="115"/>
    <x v="355"/>
    <n v="477470.64"/>
    <x v="0"/>
    <x v="0"/>
    <x v="2"/>
  </r>
  <r>
    <x v="0"/>
    <x v="0"/>
    <x v="0"/>
    <x v="0"/>
    <x v="0"/>
    <x v="39"/>
    <x v="356"/>
    <n v="0"/>
    <x v="0"/>
    <x v="0"/>
    <x v="3"/>
  </r>
  <r>
    <x v="0"/>
    <x v="1"/>
    <x v="1"/>
    <x v="0"/>
    <x v="0"/>
    <x v="39"/>
    <x v="356"/>
    <n v="0"/>
    <x v="0"/>
    <x v="0"/>
    <x v="3"/>
  </r>
  <r>
    <x v="0"/>
    <x v="2"/>
    <x v="2"/>
    <x v="0"/>
    <x v="0"/>
    <x v="39"/>
    <x v="356"/>
    <n v="0"/>
    <x v="0"/>
    <x v="0"/>
    <x v="3"/>
  </r>
  <r>
    <x v="0"/>
    <x v="3"/>
    <x v="3"/>
    <x v="0"/>
    <x v="0"/>
    <x v="39"/>
    <x v="356"/>
    <n v="0"/>
    <x v="0"/>
    <x v="0"/>
    <x v="3"/>
  </r>
  <r>
    <x v="0"/>
    <x v="4"/>
    <x v="4"/>
    <x v="0"/>
    <x v="0"/>
    <x v="39"/>
    <x v="356"/>
    <n v="0"/>
    <x v="0"/>
    <x v="0"/>
    <x v="3"/>
  </r>
  <r>
    <x v="0"/>
    <x v="0"/>
    <x v="0"/>
    <x v="0"/>
    <x v="0"/>
    <x v="40"/>
    <x v="357"/>
    <n v="756.41"/>
    <x v="0"/>
    <x v="0"/>
    <x v="3"/>
  </r>
  <r>
    <x v="0"/>
    <x v="1"/>
    <x v="1"/>
    <x v="0"/>
    <x v="0"/>
    <x v="40"/>
    <x v="357"/>
    <n v="3023.67"/>
    <x v="0"/>
    <x v="0"/>
    <x v="3"/>
  </r>
  <r>
    <x v="0"/>
    <x v="2"/>
    <x v="2"/>
    <x v="0"/>
    <x v="0"/>
    <x v="40"/>
    <x v="357"/>
    <n v="38106.559999999998"/>
    <x v="0"/>
    <x v="0"/>
    <x v="3"/>
  </r>
  <r>
    <x v="0"/>
    <x v="3"/>
    <x v="3"/>
    <x v="0"/>
    <x v="0"/>
    <x v="40"/>
    <x v="357"/>
    <n v="0"/>
    <x v="0"/>
    <x v="0"/>
    <x v="3"/>
  </r>
  <r>
    <x v="0"/>
    <x v="4"/>
    <x v="4"/>
    <x v="0"/>
    <x v="0"/>
    <x v="40"/>
    <x v="357"/>
    <n v="41886.639999999999"/>
    <x v="0"/>
    <x v="0"/>
    <x v="3"/>
  </r>
  <r>
    <x v="0"/>
    <x v="0"/>
    <x v="0"/>
    <x v="0"/>
    <x v="0"/>
    <x v="41"/>
    <x v="358"/>
    <n v="0"/>
    <x v="0"/>
    <x v="0"/>
    <x v="3"/>
  </r>
  <r>
    <x v="0"/>
    <x v="1"/>
    <x v="1"/>
    <x v="0"/>
    <x v="0"/>
    <x v="41"/>
    <x v="358"/>
    <n v="2062.17"/>
    <x v="0"/>
    <x v="0"/>
    <x v="3"/>
  </r>
  <r>
    <x v="0"/>
    <x v="2"/>
    <x v="2"/>
    <x v="0"/>
    <x v="0"/>
    <x v="41"/>
    <x v="358"/>
    <n v="27210.17"/>
    <x v="0"/>
    <x v="0"/>
    <x v="3"/>
  </r>
  <r>
    <x v="0"/>
    <x v="3"/>
    <x v="3"/>
    <x v="0"/>
    <x v="0"/>
    <x v="41"/>
    <x v="358"/>
    <n v="0"/>
    <x v="0"/>
    <x v="0"/>
    <x v="3"/>
  </r>
  <r>
    <x v="0"/>
    <x v="4"/>
    <x v="4"/>
    <x v="0"/>
    <x v="0"/>
    <x v="41"/>
    <x v="358"/>
    <n v="29272.34"/>
    <x v="0"/>
    <x v="0"/>
    <x v="3"/>
  </r>
  <r>
    <x v="0"/>
    <x v="0"/>
    <x v="0"/>
    <x v="0"/>
    <x v="0"/>
    <x v="42"/>
    <x v="359"/>
    <n v="0"/>
    <x v="0"/>
    <x v="0"/>
    <x v="3"/>
  </r>
  <r>
    <x v="0"/>
    <x v="1"/>
    <x v="1"/>
    <x v="0"/>
    <x v="0"/>
    <x v="42"/>
    <x v="359"/>
    <n v="1651.51"/>
    <x v="0"/>
    <x v="0"/>
    <x v="3"/>
  </r>
  <r>
    <x v="0"/>
    <x v="2"/>
    <x v="2"/>
    <x v="0"/>
    <x v="0"/>
    <x v="42"/>
    <x v="359"/>
    <n v="36147.15"/>
    <x v="0"/>
    <x v="0"/>
    <x v="3"/>
  </r>
  <r>
    <x v="0"/>
    <x v="3"/>
    <x v="3"/>
    <x v="0"/>
    <x v="0"/>
    <x v="42"/>
    <x v="359"/>
    <n v="0"/>
    <x v="0"/>
    <x v="0"/>
    <x v="3"/>
  </r>
  <r>
    <x v="0"/>
    <x v="4"/>
    <x v="4"/>
    <x v="0"/>
    <x v="0"/>
    <x v="42"/>
    <x v="359"/>
    <n v="37798.660000000003"/>
    <x v="0"/>
    <x v="0"/>
    <x v="3"/>
  </r>
  <r>
    <x v="0"/>
    <x v="0"/>
    <x v="0"/>
    <x v="0"/>
    <x v="0"/>
    <x v="43"/>
    <x v="360"/>
    <n v="2"/>
    <x v="0"/>
    <x v="0"/>
    <x v="3"/>
  </r>
  <r>
    <x v="0"/>
    <x v="1"/>
    <x v="1"/>
    <x v="0"/>
    <x v="0"/>
    <x v="43"/>
    <x v="360"/>
    <n v="3938.82"/>
    <x v="0"/>
    <x v="0"/>
    <x v="3"/>
  </r>
  <r>
    <x v="0"/>
    <x v="2"/>
    <x v="2"/>
    <x v="0"/>
    <x v="0"/>
    <x v="43"/>
    <x v="360"/>
    <n v="364572.18"/>
    <x v="0"/>
    <x v="0"/>
    <x v="3"/>
  </r>
  <r>
    <x v="0"/>
    <x v="3"/>
    <x v="3"/>
    <x v="0"/>
    <x v="0"/>
    <x v="43"/>
    <x v="360"/>
    <n v="0"/>
    <x v="0"/>
    <x v="0"/>
    <x v="3"/>
  </r>
  <r>
    <x v="0"/>
    <x v="4"/>
    <x v="4"/>
    <x v="0"/>
    <x v="0"/>
    <x v="43"/>
    <x v="360"/>
    <n v="368513"/>
    <x v="0"/>
    <x v="0"/>
    <x v="3"/>
  </r>
  <r>
    <x v="0"/>
    <x v="0"/>
    <x v="0"/>
    <x v="0"/>
    <x v="0"/>
    <x v="116"/>
    <x v="361"/>
    <n v="245327.37"/>
    <x v="0"/>
    <x v="0"/>
    <x v="2"/>
  </r>
  <r>
    <x v="0"/>
    <x v="1"/>
    <x v="1"/>
    <x v="0"/>
    <x v="0"/>
    <x v="116"/>
    <x v="361"/>
    <n v="246661.41"/>
    <x v="0"/>
    <x v="0"/>
    <x v="2"/>
  </r>
  <r>
    <x v="0"/>
    <x v="2"/>
    <x v="2"/>
    <x v="0"/>
    <x v="0"/>
    <x v="116"/>
    <x v="361"/>
    <n v="3552460.63"/>
    <x v="0"/>
    <x v="0"/>
    <x v="2"/>
  </r>
  <r>
    <x v="0"/>
    <x v="3"/>
    <x v="3"/>
    <x v="0"/>
    <x v="0"/>
    <x v="116"/>
    <x v="361"/>
    <n v="26562.25"/>
    <x v="0"/>
    <x v="0"/>
    <x v="2"/>
  </r>
  <r>
    <x v="0"/>
    <x v="4"/>
    <x v="4"/>
    <x v="0"/>
    <x v="0"/>
    <x v="116"/>
    <x v="361"/>
    <n v="4071011.66"/>
    <x v="0"/>
    <x v="0"/>
    <x v="2"/>
  </r>
  <r>
    <x v="0"/>
    <x v="0"/>
    <x v="0"/>
    <x v="0"/>
    <x v="0"/>
    <x v="39"/>
    <x v="362"/>
    <n v="0"/>
    <x v="0"/>
    <x v="0"/>
    <x v="3"/>
  </r>
  <r>
    <x v="0"/>
    <x v="1"/>
    <x v="1"/>
    <x v="0"/>
    <x v="0"/>
    <x v="39"/>
    <x v="362"/>
    <n v="0.04"/>
    <x v="0"/>
    <x v="0"/>
    <x v="3"/>
  </r>
  <r>
    <x v="0"/>
    <x v="2"/>
    <x v="2"/>
    <x v="0"/>
    <x v="0"/>
    <x v="39"/>
    <x v="362"/>
    <n v="0"/>
    <x v="0"/>
    <x v="0"/>
    <x v="3"/>
  </r>
  <r>
    <x v="0"/>
    <x v="3"/>
    <x v="3"/>
    <x v="0"/>
    <x v="0"/>
    <x v="39"/>
    <x v="362"/>
    <n v="0"/>
    <x v="0"/>
    <x v="0"/>
    <x v="3"/>
  </r>
  <r>
    <x v="0"/>
    <x v="4"/>
    <x v="4"/>
    <x v="0"/>
    <x v="0"/>
    <x v="39"/>
    <x v="362"/>
    <n v="0.04"/>
    <x v="0"/>
    <x v="0"/>
    <x v="3"/>
  </r>
  <r>
    <x v="0"/>
    <x v="0"/>
    <x v="0"/>
    <x v="0"/>
    <x v="0"/>
    <x v="40"/>
    <x v="363"/>
    <n v="23787.79"/>
    <x v="0"/>
    <x v="0"/>
    <x v="3"/>
  </r>
  <r>
    <x v="0"/>
    <x v="1"/>
    <x v="1"/>
    <x v="0"/>
    <x v="0"/>
    <x v="40"/>
    <x v="363"/>
    <n v="30120.48"/>
    <x v="0"/>
    <x v="0"/>
    <x v="3"/>
  </r>
  <r>
    <x v="0"/>
    <x v="2"/>
    <x v="2"/>
    <x v="0"/>
    <x v="0"/>
    <x v="40"/>
    <x v="363"/>
    <n v="619947.32999999996"/>
    <x v="0"/>
    <x v="0"/>
    <x v="3"/>
  </r>
  <r>
    <x v="0"/>
    <x v="3"/>
    <x v="3"/>
    <x v="0"/>
    <x v="0"/>
    <x v="40"/>
    <x v="363"/>
    <n v="6353.53"/>
    <x v="0"/>
    <x v="0"/>
    <x v="3"/>
  </r>
  <r>
    <x v="0"/>
    <x v="4"/>
    <x v="4"/>
    <x v="0"/>
    <x v="0"/>
    <x v="40"/>
    <x v="363"/>
    <n v="680209.13"/>
    <x v="0"/>
    <x v="0"/>
    <x v="3"/>
  </r>
  <r>
    <x v="0"/>
    <x v="0"/>
    <x v="0"/>
    <x v="0"/>
    <x v="0"/>
    <x v="41"/>
    <x v="364"/>
    <n v="20756.02"/>
    <x v="0"/>
    <x v="0"/>
    <x v="3"/>
  </r>
  <r>
    <x v="0"/>
    <x v="1"/>
    <x v="1"/>
    <x v="0"/>
    <x v="0"/>
    <x v="41"/>
    <x v="364"/>
    <n v="28021.45"/>
    <x v="0"/>
    <x v="0"/>
    <x v="3"/>
  </r>
  <r>
    <x v="0"/>
    <x v="2"/>
    <x v="2"/>
    <x v="0"/>
    <x v="0"/>
    <x v="41"/>
    <x v="364"/>
    <n v="661945.9"/>
    <x v="0"/>
    <x v="0"/>
    <x v="3"/>
  </r>
  <r>
    <x v="0"/>
    <x v="3"/>
    <x v="3"/>
    <x v="0"/>
    <x v="0"/>
    <x v="41"/>
    <x v="364"/>
    <n v="6803.03"/>
    <x v="0"/>
    <x v="0"/>
    <x v="3"/>
  </r>
  <r>
    <x v="0"/>
    <x v="4"/>
    <x v="4"/>
    <x v="0"/>
    <x v="0"/>
    <x v="41"/>
    <x v="364"/>
    <n v="717526.4"/>
    <x v="0"/>
    <x v="0"/>
    <x v="3"/>
  </r>
  <r>
    <x v="0"/>
    <x v="0"/>
    <x v="0"/>
    <x v="0"/>
    <x v="0"/>
    <x v="117"/>
    <x v="365"/>
    <n v="16918.91"/>
    <x v="0"/>
    <x v="0"/>
    <x v="3"/>
  </r>
  <r>
    <x v="0"/>
    <x v="1"/>
    <x v="1"/>
    <x v="0"/>
    <x v="0"/>
    <x v="117"/>
    <x v="365"/>
    <n v="26651.63"/>
    <x v="0"/>
    <x v="0"/>
    <x v="3"/>
  </r>
  <r>
    <x v="0"/>
    <x v="2"/>
    <x v="2"/>
    <x v="0"/>
    <x v="0"/>
    <x v="117"/>
    <x v="365"/>
    <n v="364954.16"/>
    <x v="0"/>
    <x v="0"/>
    <x v="3"/>
  </r>
  <r>
    <x v="0"/>
    <x v="3"/>
    <x v="3"/>
    <x v="0"/>
    <x v="0"/>
    <x v="117"/>
    <x v="365"/>
    <n v="4303.0600000000004"/>
    <x v="0"/>
    <x v="0"/>
    <x v="3"/>
  </r>
  <r>
    <x v="0"/>
    <x v="4"/>
    <x v="4"/>
    <x v="0"/>
    <x v="0"/>
    <x v="117"/>
    <x v="365"/>
    <n v="412827.76"/>
    <x v="0"/>
    <x v="0"/>
    <x v="3"/>
  </r>
  <r>
    <x v="0"/>
    <x v="0"/>
    <x v="0"/>
    <x v="0"/>
    <x v="0"/>
    <x v="118"/>
    <x v="366"/>
    <n v="183864.65"/>
    <x v="0"/>
    <x v="0"/>
    <x v="3"/>
  </r>
  <r>
    <x v="0"/>
    <x v="1"/>
    <x v="1"/>
    <x v="0"/>
    <x v="0"/>
    <x v="118"/>
    <x v="366"/>
    <n v="161867.81"/>
    <x v="0"/>
    <x v="0"/>
    <x v="3"/>
  </r>
  <r>
    <x v="0"/>
    <x v="2"/>
    <x v="2"/>
    <x v="0"/>
    <x v="0"/>
    <x v="118"/>
    <x v="366"/>
    <n v="1905613.24"/>
    <x v="0"/>
    <x v="0"/>
    <x v="3"/>
  </r>
  <r>
    <x v="0"/>
    <x v="3"/>
    <x v="3"/>
    <x v="0"/>
    <x v="0"/>
    <x v="118"/>
    <x v="366"/>
    <n v="9102.6299999999992"/>
    <x v="0"/>
    <x v="0"/>
    <x v="3"/>
  </r>
  <r>
    <x v="0"/>
    <x v="4"/>
    <x v="4"/>
    <x v="0"/>
    <x v="0"/>
    <x v="118"/>
    <x v="366"/>
    <n v="2260448.33"/>
    <x v="0"/>
    <x v="0"/>
    <x v="3"/>
  </r>
  <r>
    <x v="0"/>
    <x v="0"/>
    <x v="0"/>
    <x v="0"/>
    <x v="0"/>
    <x v="119"/>
    <x v="367"/>
    <n v="91226.28"/>
    <x v="0"/>
    <x v="0"/>
    <x v="2"/>
  </r>
  <r>
    <x v="0"/>
    <x v="1"/>
    <x v="1"/>
    <x v="0"/>
    <x v="0"/>
    <x v="119"/>
    <x v="367"/>
    <n v="39101.339999999997"/>
    <x v="0"/>
    <x v="0"/>
    <x v="2"/>
  </r>
  <r>
    <x v="0"/>
    <x v="2"/>
    <x v="2"/>
    <x v="0"/>
    <x v="0"/>
    <x v="119"/>
    <x v="367"/>
    <n v="814898.83"/>
    <x v="0"/>
    <x v="0"/>
    <x v="2"/>
  </r>
  <r>
    <x v="0"/>
    <x v="3"/>
    <x v="3"/>
    <x v="0"/>
    <x v="0"/>
    <x v="119"/>
    <x v="367"/>
    <n v="28073.47"/>
    <x v="0"/>
    <x v="0"/>
    <x v="2"/>
  </r>
  <r>
    <x v="0"/>
    <x v="4"/>
    <x v="4"/>
    <x v="0"/>
    <x v="0"/>
    <x v="119"/>
    <x v="367"/>
    <n v="973299.92"/>
    <x v="0"/>
    <x v="0"/>
    <x v="2"/>
  </r>
  <r>
    <x v="0"/>
    <x v="0"/>
    <x v="0"/>
    <x v="0"/>
    <x v="0"/>
    <x v="39"/>
    <x v="368"/>
    <n v="0"/>
    <x v="0"/>
    <x v="0"/>
    <x v="3"/>
  </r>
  <r>
    <x v="0"/>
    <x v="1"/>
    <x v="1"/>
    <x v="0"/>
    <x v="0"/>
    <x v="39"/>
    <x v="368"/>
    <n v="0"/>
    <x v="0"/>
    <x v="0"/>
    <x v="3"/>
  </r>
  <r>
    <x v="0"/>
    <x v="2"/>
    <x v="2"/>
    <x v="0"/>
    <x v="0"/>
    <x v="39"/>
    <x v="368"/>
    <n v="0"/>
    <x v="0"/>
    <x v="0"/>
    <x v="3"/>
  </r>
  <r>
    <x v="0"/>
    <x v="3"/>
    <x v="3"/>
    <x v="0"/>
    <x v="0"/>
    <x v="39"/>
    <x v="368"/>
    <n v="0"/>
    <x v="0"/>
    <x v="0"/>
    <x v="3"/>
  </r>
  <r>
    <x v="0"/>
    <x v="4"/>
    <x v="4"/>
    <x v="0"/>
    <x v="0"/>
    <x v="39"/>
    <x v="368"/>
    <n v="0"/>
    <x v="0"/>
    <x v="0"/>
    <x v="3"/>
  </r>
  <r>
    <x v="0"/>
    <x v="0"/>
    <x v="0"/>
    <x v="0"/>
    <x v="0"/>
    <x v="40"/>
    <x v="369"/>
    <n v="18318.18"/>
    <x v="0"/>
    <x v="0"/>
    <x v="3"/>
  </r>
  <r>
    <x v="0"/>
    <x v="1"/>
    <x v="1"/>
    <x v="0"/>
    <x v="0"/>
    <x v="40"/>
    <x v="369"/>
    <n v="4220.7"/>
    <x v="0"/>
    <x v="0"/>
    <x v="3"/>
  </r>
  <r>
    <x v="0"/>
    <x v="2"/>
    <x v="2"/>
    <x v="0"/>
    <x v="0"/>
    <x v="40"/>
    <x v="369"/>
    <n v="45260.38"/>
    <x v="0"/>
    <x v="0"/>
    <x v="3"/>
  </r>
  <r>
    <x v="0"/>
    <x v="3"/>
    <x v="3"/>
    <x v="0"/>
    <x v="0"/>
    <x v="40"/>
    <x v="369"/>
    <n v="2600.3200000000002"/>
    <x v="0"/>
    <x v="0"/>
    <x v="3"/>
  </r>
  <r>
    <x v="0"/>
    <x v="4"/>
    <x v="4"/>
    <x v="0"/>
    <x v="0"/>
    <x v="40"/>
    <x v="369"/>
    <n v="70399.58"/>
    <x v="0"/>
    <x v="0"/>
    <x v="3"/>
  </r>
  <r>
    <x v="0"/>
    <x v="0"/>
    <x v="0"/>
    <x v="0"/>
    <x v="0"/>
    <x v="120"/>
    <x v="370"/>
    <n v="39242.81"/>
    <x v="0"/>
    <x v="0"/>
    <x v="3"/>
  </r>
  <r>
    <x v="0"/>
    <x v="1"/>
    <x v="1"/>
    <x v="0"/>
    <x v="0"/>
    <x v="120"/>
    <x v="370"/>
    <n v="15349.37"/>
    <x v="0"/>
    <x v="0"/>
    <x v="3"/>
  </r>
  <r>
    <x v="0"/>
    <x v="2"/>
    <x v="2"/>
    <x v="0"/>
    <x v="0"/>
    <x v="120"/>
    <x v="370"/>
    <n v="259163.78"/>
    <x v="0"/>
    <x v="0"/>
    <x v="3"/>
  </r>
  <r>
    <x v="0"/>
    <x v="3"/>
    <x v="3"/>
    <x v="0"/>
    <x v="0"/>
    <x v="120"/>
    <x v="370"/>
    <n v="14933.78"/>
    <x v="0"/>
    <x v="0"/>
    <x v="3"/>
  </r>
  <r>
    <x v="0"/>
    <x v="4"/>
    <x v="4"/>
    <x v="0"/>
    <x v="0"/>
    <x v="120"/>
    <x v="370"/>
    <n v="328689.74"/>
    <x v="0"/>
    <x v="0"/>
    <x v="3"/>
  </r>
  <r>
    <x v="0"/>
    <x v="0"/>
    <x v="0"/>
    <x v="0"/>
    <x v="0"/>
    <x v="121"/>
    <x v="371"/>
    <n v="16447.830000000002"/>
    <x v="0"/>
    <x v="0"/>
    <x v="3"/>
  </r>
  <r>
    <x v="0"/>
    <x v="1"/>
    <x v="1"/>
    <x v="0"/>
    <x v="0"/>
    <x v="121"/>
    <x v="371"/>
    <n v="4032.66"/>
    <x v="0"/>
    <x v="0"/>
    <x v="3"/>
  </r>
  <r>
    <x v="0"/>
    <x v="2"/>
    <x v="2"/>
    <x v="0"/>
    <x v="0"/>
    <x v="121"/>
    <x v="371"/>
    <n v="109324.67"/>
    <x v="0"/>
    <x v="0"/>
    <x v="3"/>
  </r>
  <r>
    <x v="0"/>
    <x v="3"/>
    <x v="3"/>
    <x v="0"/>
    <x v="0"/>
    <x v="121"/>
    <x v="371"/>
    <n v="3478.95"/>
    <x v="0"/>
    <x v="0"/>
    <x v="3"/>
  </r>
  <r>
    <x v="0"/>
    <x v="4"/>
    <x v="4"/>
    <x v="0"/>
    <x v="0"/>
    <x v="121"/>
    <x v="371"/>
    <n v="133284.10999999999"/>
    <x v="0"/>
    <x v="0"/>
    <x v="3"/>
  </r>
  <r>
    <x v="0"/>
    <x v="0"/>
    <x v="0"/>
    <x v="0"/>
    <x v="0"/>
    <x v="122"/>
    <x v="372"/>
    <n v="12817.32"/>
    <x v="0"/>
    <x v="0"/>
    <x v="3"/>
  </r>
  <r>
    <x v="0"/>
    <x v="1"/>
    <x v="1"/>
    <x v="0"/>
    <x v="0"/>
    <x v="122"/>
    <x v="372"/>
    <n v="9406.4699999999993"/>
    <x v="0"/>
    <x v="0"/>
    <x v="3"/>
  </r>
  <r>
    <x v="0"/>
    <x v="2"/>
    <x v="2"/>
    <x v="0"/>
    <x v="0"/>
    <x v="122"/>
    <x v="372"/>
    <n v="296279.45"/>
    <x v="0"/>
    <x v="0"/>
    <x v="3"/>
  </r>
  <r>
    <x v="0"/>
    <x v="3"/>
    <x v="3"/>
    <x v="0"/>
    <x v="0"/>
    <x v="122"/>
    <x v="372"/>
    <n v="6367.97"/>
    <x v="0"/>
    <x v="0"/>
    <x v="3"/>
  </r>
  <r>
    <x v="0"/>
    <x v="4"/>
    <x v="4"/>
    <x v="0"/>
    <x v="0"/>
    <x v="122"/>
    <x v="372"/>
    <n v="324871.21000000002"/>
    <x v="0"/>
    <x v="0"/>
    <x v="3"/>
  </r>
  <r>
    <x v="0"/>
    <x v="0"/>
    <x v="0"/>
    <x v="0"/>
    <x v="0"/>
    <x v="123"/>
    <x v="373"/>
    <n v="4400.1400000000003"/>
    <x v="0"/>
    <x v="0"/>
    <x v="3"/>
  </r>
  <r>
    <x v="0"/>
    <x v="1"/>
    <x v="1"/>
    <x v="0"/>
    <x v="0"/>
    <x v="123"/>
    <x v="373"/>
    <n v="6092.14"/>
    <x v="0"/>
    <x v="0"/>
    <x v="3"/>
  </r>
  <r>
    <x v="0"/>
    <x v="2"/>
    <x v="2"/>
    <x v="0"/>
    <x v="0"/>
    <x v="123"/>
    <x v="373"/>
    <n v="104870.55"/>
    <x v="0"/>
    <x v="0"/>
    <x v="3"/>
  </r>
  <r>
    <x v="0"/>
    <x v="3"/>
    <x v="3"/>
    <x v="0"/>
    <x v="0"/>
    <x v="123"/>
    <x v="373"/>
    <n v="692.45"/>
    <x v="0"/>
    <x v="0"/>
    <x v="3"/>
  </r>
  <r>
    <x v="0"/>
    <x v="4"/>
    <x v="4"/>
    <x v="0"/>
    <x v="0"/>
    <x v="123"/>
    <x v="373"/>
    <n v="116055.28"/>
    <x v="0"/>
    <x v="0"/>
    <x v="3"/>
  </r>
  <r>
    <x v="0"/>
    <x v="0"/>
    <x v="0"/>
    <x v="0"/>
    <x v="0"/>
    <x v="124"/>
    <x v="374"/>
    <n v="17479.509999999998"/>
    <x v="0"/>
    <x v="0"/>
    <x v="2"/>
  </r>
  <r>
    <x v="0"/>
    <x v="1"/>
    <x v="1"/>
    <x v="0"/>
    <x v="0"/>
    <x v="124"/>
    <x v="374"/>
    <n v="60241.71"/>
    <x v="0"/>
    <x v="0"/>
    <x v="2"/>
  </r>
  <r>
    <x v="0"/>
    <x v="2"/>
    <x v="2"/>
    <x v="0"/>
    <x v="0"/>
    <x v="124"/>
    <x v="374"/>
    <n v="1619957.43"/>
    <x v="0"/>
    <x v="0"/>
    <x v="2"/>
  </r>
  <r>
    <x v="0"/>
    <x v="3"/>
    <x v="3"/>
    <x v="0"/>
    <x v="0"/>
    <x v="124"/>
    <x v="374"/>
    <n v="74591.350000000006"/>
    <x v="0"/>
    <x v="0"/>
    <x v="2"/>
  </r>
  <r>
    <x v="0"/>
    <x v="4"/>
    <x v="4"/>
    <x v="0"/>
    <x v="0"/>
    <x v="124"/>
    <x v="374"/>
    <n v="1772270"/>
    <x v="0"/>
    <x v="0"/>
    <x v="2"/>
  </r>
  <r>
    <x v="0"/>
    <x v="0"/>
    <x v="0"/>
    <x v="0"/>
    <x v="0"/>
    <x v="39"/>
    <x v="375"/>
    <n v="0"/>
    <x v="0"/>
    <x v="0"/>
    <x v="3"/>
  </r>
  <r>
    <x v="0"/>
    <x v="1"/>
    <x v="1"/>
    <x v="0"/>
    <x v="0"/>
    <x v="39"/>
    <x v="375"/>
    <n v="0.03"/>
    <x v="0"/>
    <x v="0"/>
    <x v="3"/>
  </r>
  <r>
    <x v="0"/>
    <x v="2"/>
    <x v="2"/>
    <x v="0"/>
    <x v="0"/>
    <x v="39"/>
    <x v="375"/>
    <n v="0"/>
    <x v="0"/>
    <x v="0"/>
    <x v="3"/>
  </r>
  <r>
    <x v="0"/>
    <x v="3"/>
    <x v="3"/>
    <x v="0"/>
    <x v="0"/>
    <x v="39"/>
    <x v="375"/>
    <n v="0"/>
    <x v="0"/>
    <x v="0"/>
    <x v="3"/>
  </r>
  <r>
    <x v="0"/>
    <x v="4"/>
    <x v="4"/>
    <x v="0"/>
    <x v="0"/>
    <x v="39"/>
    <x v="375"/>
    <n v="0.03"/>
    <x v="0"/>
    <x v="0"/>
    <x v="3"/>
  </r>
  <r>
    <x v="0"/>
    <x v="0"/>
    <x v="0"/>
    <x v="0"/>
    <x v="0"/>
    <x v="40"/>
    <x v="376"/>
    <n v="3263.76"/>
    <x v="0"/>
    <x v="0"/>
    <x v="3"/>
  </r>
  <r>
    <x v="0"/>
    <x v="1"/>
    <x v="1"/>
    <x v="0"/>
    <x v="0"/>
    <x v="40"/>
    <x v="376"/>
    <n v="13415.51"/>
    <x v="0"/>
    <x v="0"/>
    <x v="3"/>
  </r>
  <r>
    <x v="0"/>
    <x v="2"/>
    <x v="2"/>
    <x v="0"/>
    <x v="0"/>
    <x v="40"/>
    <x v="376"/>
    <n v="47328.58"/>
    <x v="0"/>
    <x v="0"/>
    <x v="3"/>
  </r>
  <r>
    <x v="0"/>
    <x v="3"/>
    <x v="3"/>
    <x v="0"/>
    <x v="0"/>
    <x v="40"/>
    <x v="376"/>
    <n v="12859.75"/>
    <x v="0"/>
    <x v="0"/>
    <x v="3"/>
  </r>
  <r>
    <x v="0"/>
    <x v="4"/>
    <x v="4"/>
    <x v="0"/>
    <x v="0"/>
    <x v="40"/>
    <x v="376"/>
    <n v="76867.600000000006"/>
    <x v="0"/>
    <x v="0"/>
    <x v="3"/>
  </r>
  <r>
    <x v="0"/>
    <x v="0"/>
    <x v="0"/>
    <x v="0"/>
    <x v="0"/>
    <x v="41"/>
    <x v="377"/>
    <n v="2810.56"/>
    <x v="0"/>
    <x v="0"/>
    <x v="3"/>
  </r>
  <r>
    <x v="0"/>
    <x v="1"/>
    <x v="1"/>
    <x v="0"/>
    <x v="0"/>
    <x v="41"/>
    <x v="377"/>
    <n v="13968.64"/>
    <x v="0"/>
    <x v="0"/>
    <x v="3"/>
  </r>
  <r>
    <x v="0"/>
    <x v="2"/>
    <x v="2"/>
    <x v="0"/>
    <x v="0"/>
    <x v="41"/>
    <x v="377"/>
    <n v="52377.760000000002"/>
    <x v="0"/>
    <x v="0"/>
    <x v="3"/>
  </r>
  <r>
    <x v="0"/>
    <x v="3"/>
    <x v="3"/>
    <x v="0"/>
    <x v="0"/>
    <x v="41"/>
    <x v="377"/>
    <n v="9133.34"/>
    <x v="0"/>
    <x v="0"/>
    <x v="3"/>
  </r>
  <r>
    <x v="0"/>
    <x v="4"/>
    <x v="4"/>
    <x v="0"/>
    <x v="0"/>
    <x v="41"/>
    <x v="377"/>
    <n v="78290.3"/>
    <x v="0"/>
    <x v="0"/>
    <x v="3"/>
  </r>
  <r>
    <x v="0"/>
    <x v="0"/>
    <x v="0"/>
    <x v="0"/>
    <x v="0"/>
    <x v="42"/>
    <x v="378"/>
    <n v="3911.74"/>
    <x v="0"/>
    <x v="0"/>
    <x v="3"/>
  </r>
  <r>
    <x v="0"/>
    <x v="1"/>
    <x v="1"/>
    <x v="0"/>
    <x v="0"/>
    <x v="42"/>
    <x v="378"/>
    <n v="12023.97"/>
    <x v="0"/>
    <x v="0"/>
    <x v="3"/>
  </r>
  <r>
    <x v="0"/>
    <x v="2"/>
    <x v="2"/>
    <x v="0"/>
    <x v="0"/>
    <x v="42"/>
    <x v="378"/>
    <n v="136121.24"/>
    <x v="0"/>
    <x v="0"/>
    <x v="3"/>
  </r>
  <r>
    <x v="0"/>
    <x v="3"/>
    <x v="3"/>
    <x v="0"/>
    <x v="0"/>
    <x v="42"/>
    <x v="378"/>
    <n v="13551.81"/>
    <x v="0"/>
    <x v="0"/>
    <x v="3"/>
  </r>
  <r>
    <x v="0"/>
    <x v="4"/>
    <x v="4"/>
    <x v="0"/>
    <x v="0"/>
    <x v="42"/>
    <x v="378"/>
    <n v="165608.76"/>
    <x v="0"/>
    <x v="0"/>
    <x v="3"/>
  </r>
  <r>
    <x v="0"/>
    <x v="0"/>
    <x v="0"/>
    <x v="0"/>
    <x v="0"/>
    <x v="43"/>
    <x v="379"/>
    <n v="7493.45"/>
    <x v="0"/>
    <x v="0"/>
    <x v="3"/>
  </r>
  <r>
    <x v="0"/>
    <x v="1"/>
    <x v="1"/>
    <x v="0"/>
    <x v="0"/>
    <x v="43"/>
    <x v="379"/>
    <n v="20833.560000000001"/>
    <x v="0"/>
    <x v="0"/>
    <x v="3"/>
  </r>
  <r>
    <x v="0"/>
    <x v="2"/>
    <x v="2"/>
    <x v="0"/>
    <x v="0"/>
    <x v="43"/>
    <x v="379"/>
    <n v="1384129.85"/>
    <x v="0"/>
    <x v="0"/>
    <x v="3"/>
  </r>
  <r>
    <x v="0"/>
    <x v="3"/>
    <x v="3"/>
    <x v="0"/>
    <x v="0"/>
    <x v="43"/>
    <x v="379"/>
    <n v="39046.449999999997"/>
    <x v="0"/>
    <x v="0"/>
    <x v="3"/>
  </r>
  <r>
    <x v="0"/>
    <x v="4"/>
    <x v="4"/>
    <x v="0"/>
    <x v="0"/>
    <x v="43"/>
    <x v="379"/>
    <n v="1451503.31"/>
    <x v="0"/>
    <x v="0"/>
    <x v="3"/>
  </r>
  <r>
    <x v="0"/>
    <x v="0"/>
    <x v="0"/>
    <x v="0"/>
    <x v="0"/>
    <x v="125"/>
    <x v="380"/>
    <n v="0"/>
    <x v="0"/>
    <x v="0"/>
    <x v="2"/>
  </r>
  <r>
    <x v="0"/>
    <x v="1"/>
    <x v="1"/>
    <x v="0"/>
    <x v="0"/>
    <x v="125"/>
    <x v="380"/>
    <n v="0"/>
    <x v="0"/>
    <x v="0"/>
    <x v="2"/>
  </r>
  <r>
    <x v="0"/>
    <x v="2"/>
    <x v="2"/>
    <x v="0"/>
    <x v="0"/>
    <x v="125"/>
    <x v="380"/>
    <n v="0"/>
    <x v="0"/>
    <x v="0"/>
    <x v="2"/>
  </r>
  <r>
    <x v="0"/>
    <x v="3"/>
    <x v="3"/>
    <x v="0"/>
    <x v="0"/>
    <x v="125"/>
    <x v="380"/>
    <n v="0"/>
    <x v="0"/>
    <x v="0"/>
    <x v="2"/>
  </r>
  <r>
    <x v="0"/>
    <x v="4"/>
    <x v="4"/>
    <x v="0"/>
    <x v="0"/>
    <x v="125"/>
    <x v="380"/>
    <n v="0"/>
    <x v="0"/>
    <x v="0"/>
    <x v="2"/>
  </r>
  <r>
    <x v="0"/>
    <x v="0"/>
    <x v="0"/>
    <x v="0"/>
    <x v="0"/>
    <x v="39"/>
    <x v="381"/>
    <n v="0"/>
    <x v="0"/>
    <x v="0"/>
    <x v="3"/>
  </r>
  <r>
    <x v="0"/>
    <x v="1"/>
    <x v="1"/>
    <x v="0"/>
    <x v="0"/>
    <x v="39"/>
    <x v="381"/>
    <n v="0"/>
    <x v="0"/>
    <x v="0"/>
    <x v="3"/>
  </r>
  <r>
    <x v="0"/>
    <x v="2"/>
    <x v="2"/>
    <x v="0"/>
    <x v="0"/>
    <x v="39"/>
    <x v="381"/>
    <n v="0"/>
    <x v="0"/>
    <x v="0"/>
    <x v="3"/>
  </r>
  <r>
    <x v="0"/>
    <x v="3"/>
    <x v="3"/>
    <x v="0"/>
    <x v="0"/>
    <x v="39"/>
    <x v="381"/>
    <n v="0"/>
    <x v="0"/>
    <x v="0"/>
    <x v="3"/>
  </r>
  <r>
    <x v="0"/>
    <x v="4"/>
    <x v="4"/>
    <x v="0"/>
    <x v="0"/>
    <x v="39"/>
    <x v="381"/>
    <n v="0"/>
    <x v="0"/>
    <x v="0"/>
    <x v="3"/>
  </r>
  <r>
    <x v="0"/>
    <x v="0"/>
    <x v="0"/>
    <x v="0"/>
    <x v="0"/>
    <x v="40"/>
    <x v="382"/>
    <n v="0"/>
    <x v="0"/>
    <x v="0"/>
    <x v="3"/>
  </r>
  <r>
    <x v="0"/>
    <x v="1"/>
    <x v="1"/>
    <x v="0"/>
    <x v="0"/>
    <x v="40"/>
    <x v="382"/>
    <n v="0"/>
    <x v="0"/>
    <x v="0"/>
    <x v="3"/>
  </r>
  <r>
    <x v="0"/>
    <x v="2"/>
    <x v="2"/>
    <x v="0"/>
    <x v="0"/>
    <x v="40"/>
    <x v="382"/>
    <n v="0"/>
    <x v="0"/>
    <x v="0"/>
    <x v="3"/>
  </r>
  <r>
    <x v="0"/>
    <x v="3"/>
    <x v="3"/>
    <x v="0"/>
    <x v="0"/>
    <x v="40"/>
    <x v="382"/>
    <n v="0"/>
    <x v="0"/>
    <x v="0"/>
    <x v="3"/>
  </r>
  <r>
    <x v="0"/>
    <x v="4"/>
    <x v="4"/>
    <x v="0"/>
    <x v="0"/>
    <x v="40"/>
    <x v="382"/>
    <n v="0"/>
    <x v="0"/>
    <x v="0"/>
    <x v="3"/>
  </r>
  <r>
    <x v="0"/>
    <x v="0"/>
    <x v="0"/>
    <x v="0"/>
    <x v="0"/>
    <x v="41"/>
    <x v="383"/>
    <n v="0"/>
    <x v="0"/>
    <x v="0"/>
    <x v="3"/>
  </r>
  <r>
    <x v="0"/>
    <x v="1"/>
    <x v="1"/>
    <x v="0"/>
    <x v="0"/>
    <x v="41"/>
    <x v="383"/>
    <n v="0"/>
    <x v="0"/>
    <x v="0"/>
    <x v="3"/>
  </r>
  <r>
    <x v="0"/>
    <x v="2"/>
    <x v="2"/>
    <x v="0"/>
    <x v="0"/>
    <x v="41"/>
    <x v="383"/>
    <n v="0"/>
    <x v="0"/>
    <x v="0"/>
    <x v="3"/>
  </r>
  <r>
    <x v="0"/>
    <x v="3"/>
    <x v="3"/>
    <x v="0"/>
    <x v="0"/>
    <x v="41"/>
    <x v="383"/>
    <n v="0"/>
    <x v="0"/>
    <x v="0"/>
    <x v="3"/>
  </r>
  <r>
    <x v="0"/>
    <x v="4"/>
    <x v="4"/>
    <x v="0"/>
    <x v="0"/>
    <x v="41"/>
    <x v="383"/>
    <n v="0"/>
    <x v="0"/>
    <x v="0"/>
    <x v="3"/>
  </r>
  <r>
    <x v="0"/>
    <x v="0"/>
    <x v="0"/>
    <x v="0"/>
    <x v="0"/>
    <x v="42"/>
    <x v="384"/>
    <n v="0"/>
    <x v="0"/>
    <x v="0"/>
    <x v="3"/>
  </r>
  <r>
    <x v="0"/>
    <x v="1"/>
    <x v="1"/>
    <x v="0"/>
    <x v="0"/>
    <x v="42"/>
    <x v="384"/>
    <n v="0"/>
    <x v="0"/>
    <x v="0"/>
    <x v="3"/>
  </r>
  <r>
    <x v="0"/>
    <x v="2"/>
    <x v="2"/>
    <x v="0"/>
    <x v="0"/>
    <x v="42"/>
    <x v="384"/>
    <n v="0"/>
    <x v="0"/>
    <x v="0"/>
    <x v="3"/>
  </r>
  <r>
    <x v="0"/>
    <x v="3"/>
    <x v="3"/>
    <x v="0"/>
    <x v="0"/>
    <x v="42"/>
    <x v="384"/>
    <n v="0"/>
    <x v="0"/>
    <x v="0"/>
    <x v="3"/>
  </r>
  <r>
    <x v="0"/>
    <x v="4"/>
    <x v="4"/>
    <x v="0"/>
    <x v="0"/>
    <x v="42"/>
    <x v="384"/>
    <n v="0"/>
    <x v="0"/>
    <x v="0"/>
    <x v="3"/>
  </r>
  <r>
    <x v="0"/>
    <x v="0"/>
    <x v="0"/>
    <x v="0"/>
    <x v="0"/>
    <x v="43"/>
    <x v="385"/>
    <n v="0"/>
    <x v="0"/>
    <x v="0"/>
    <x v="3"/>
  </r>
  <r>
    <x v="0"/>
    <x v="1"/>
    <x v="1"/>
    <x v="0"/>
    <x v="0"/>
    <x v="43"/>
    <x v="385"/>
    <n v="0"/>
    <x v="0"/>
    <x v="0"/>
    <x v="3"/>
  </r>
  <r>
    <x v="0"/>
    <x v="2"/>
    <x v="2"/>
    <x v="0"/>
    <x v="0"/>
    <x v="43"/>
    <x v="385"/>
    <n v="0"/>
    <x v="0"/>
    <x v="0"/>
    <x v="3"/>
  </r>
  <r>
    <x v="0"/>
    <x v="3"/>
    <x v="3"/>
    <x v="0"/>
    <x v="0"/>
    <x v="43"/>
    <x v="385"/>
    <n v="0"/>
    <x v="0"/>
    <x v="0"/>
    <x v="3"/>
  </r>
  <r>
    <x v="0"/>
    <x v="4"/>
    <x v="4"/>
    <x v="0"/>
    <x v="0"/>
    <x v="43"/>
    <x v="385"/>
    <n v="0"/>
    <x v="0"/>
    <x v="0"/>
    <x v="3"/>
  </r>
  <r>
    <x v="0"/>
    <x v="0"/>
    <x v="0"/>
    <x v="0"/>
    <x v="0"/>
    <x v="126"/>
    <x v="386"/>
    <n v="12998.59"/>
    <x v="0"/>
    <x v="0"/>
    <x v="2"/>
  </r>
  <r>
    <x v="0"/>
    <x v="1"/>
    <x v="1"/>
    <x v="0"/>
    <x v="0"/>
    <x v="126"/>
    <x v="386"/>
    <n v="0"/>
    <x v="0"/>
    <x v="0"/>
    <x v="2"/>
  </r>
  <r>
    <x v="0"/>
    <x v="2"/>
    <x v="2"/>
    <x v="0"/>
    <x v="0"/>
    <x v="126"/>
    <x v="386"/>
    <n v="14203.55"/>
    <x v="0"/>
    <x v="0"/>
    <x v="2"/>
  </r>
  <r>
    <x v="0"/>
    <x v="3"/>
    <x v="3"/>
    <x v="0"/>
    <x v="0"/>
    <x v="126"/>
    <x v="386"/>
    <n v="0"/>
    <x v="0"/>
    <x v="0"/>
    <x v="2"/>
  </r>
  <r>
    <x v="0"/>
    <x v="4"/>
    <x v="4"/>
    <x v="0"/>
    <x v="0"/>
    <x v="126"/>
    <x v="386"/>
    <n v="27202.14"/>
    <x v="0"/>
    <x v="0"/>
    <x v="2"/>
  </r>
  <r>
    <x v="0"/>
    <x v="0"/>
    <x v="0"/>
    <x v="0"/>
    <x v="0"/>
    <x v="39"/>
    <x v="387"/>
    <n v="0"/>
    <x v="0"/>
    <x v="0"/>
    <x v="3"/>
  </r>
  <r>
    <x v="0"/>
    <x v="1"/>
    <x v="1"/>
    <x v="0"/>
    <x v="0"/>
    <x v="39"/>
    <x v="387"/>
    <n v="0"/>
    <x v="0"/>
    <x v="0"/>
    <x v="3"/>
  </r>
  <r>
    <x v="0"/>
    <x v="2"/>
    <x v="2"/>
    <x v="0"/>
    <x v="0"/>
    <x v="39"/>
    <x v="387"/>
    <n v="0"/>
    <x v="0"/>
    <x v="0"/>
    <x v="3"/>
  </r>
  <r>
    <x v="0"/>
    <x v="3"/>
    <x v="3"/>
    <x v="0"/>
    <x v="0"/>
    <x v="39"/>
    <x v="387"/>
    <n v="0"/>
    <x v="0"/>
    <x v="0"/>
    <x v="3"/>
  </r>
  <r>
    <x v="0"/>
    <x v="4"/>
    <x v="4"/>
    <x v="0"/>
    <x v="0"/>
    <x v="39"/>
    <x v="387"/>
    <n v="0"/>
    <x v="0"/>
    <x v="0"/>
    <x v="3"/>
  </r>
  <r>
    <x v="0"/>
    <x v="0"/>
    <x v="0"/>
    <x v="0"/>
    <x v="0"/>
    <x v="40"/>
    <x v="388"/>
    <n v="4739.91"/>
    <x v="0"/>
    <x v="0"/>
    <x v="3"/>
  </r>
  <r>
    <x v="0"/>
    <x v="1"/>
    <x v="1"/>
    <x v="0"/>
    <x v="0"/>
    <x v="40"/>
    <x v="388"/>
    <n v="0"/>
    <x v="0"/>
    <x v="0"/>
    <x v="3"/>
  </r>
  <r>
    <x v="0"/>
    <x v="2"/>
    <x v="2"/>
    <x v="0"/>
    <x v="0"/>
    <x v="40"/>
    <x v="388"/>
    <n v="7003.22"/>
    <x v="0"/>
    <x v="0"/>
    <x v="3"/>
  </r>
  <r>
    <x v="0"/>
    <x v="3"/>
    <x v="3"/>
    <x v="0"/>
    <x v="0"/>
    <x v="40"/>
    <x v="388"/>
    <n v="0"/>
    <x v="0"/>
    <x v="0"/>
    <x v="3"/>
  </r>
  <r>
    <x v="0"/>
    <x v="4"/>
    <x v="4"/>
    <x v="0"/>
    <x v="0"/>
    <x v="40"/>
    <x v="388"/>
    <n v="11743.13"/>
    <x v="0"/>
    <x v="0"/>
    <x v="3"/>
  </r>
  <r>
    <x v="0"/>
    <x v="0"/>
    <x v="0"/>
    <x v="0"/>
    <x v="0"/>
    <x v="41"/>
    <x v="389"/>
    <n v="4149.37"/>
    <x v="0"/>
    <x v="0"/>
    <x v="3"/>
  </r>
  <r>
    <x v="0"/>
    <x v="1"/>
    <x v="1"/>
    <x v="0"/>
    <x v="0"/>
    <x v="41"/>
    <x v="389"/>
    <n v="0"/>
    <x v="0"/>
    <x v="0"/>
    <x v="3"/>
  </r>
  <r>
    <x v="0"/>
    <x v="2"/>
    <x v="2"/>
    <x v="0"/>
    <x v="0"/>
    <x v="41"/>
    <x v="389"/>
    <n v="3610.83"/>
    <x v="0"/>
    <x v="0"/>
    <x v="3"/>
  </r>
  <r>
    <x v="0"/>
    <x v="3"/>
    <x v="3"/>
    <x v="0"/>
    <x v="0"/>
    <x v="41"/>
    <x v="389"/>
    <n v="0"/>
    <x v="0"/>
    <x v="0"/>
    <x v="3"/>
  </r>
  <r>
    <x v="0"/>
    <x v="4"/>
    <x v="4"/>
    <x v="0"/>
    <x v="0"/>
    <x v="41"/>
    <x v="389"/>
    <n v="7760.2"/>
    <x v="0"/>
    <x v="0"/>
    <x v="3"/>
  </r>
  <r>
    <x v="0"/>
    <x v="0"/>
    <x v="0"/>
    <x v="0"/>
    <x v="0"/>
    <x v="42"/>
    <x v="390"/>
    <n v="2287.8200000000002"/>
    <x v="0"/>
    <x v="0"/>
    <x v="3"/>
  </r>
  <r>
    <x v="0"/>
    <x v="1"/>
    <x v="1"/>
    <x v="0"/>
    <x v="0"/>
    <x v="42"/>
    <x v="390"/>
    <n v="0"/>
    <x v="0"/>
    <x v="0"/>
    <x v="3"/>
  </r>
  <r>
    <x v="0"/>
    <x v="2"/>
    <x v="2"/>
    <x v="0"/>
    <x v="0"/>
    <x v="42"/>
    <x v="390"/>
    <n v="2379.02"/>
    <x v="0"/>
    <x v="0"/>
    <x v="3"/>
  </r>
  <r>
    <x v="0"/>
    <x v="3"/>
    <x v="3"/>
    <x v="0"/>
    <x v="0"/>
    <x v="42"/>
    <x v="390"/>
    <n v="0"/>
    <x v="0"/>
    <x v="0"/>
    <x v="3"/>
  </r>
  <r>
    <x v="0"/>
    <x v="4"/>
    <x v="4"/>
    <x v="0"/>
    <x v="0"/>
    <x v="42"/>
    <x v="390"/>
    <n v="4666.84"/>
    <x v="0"/>
    <x v="0"/>
    <x v="3"/>
  </r>
  <r>
    <x v="0"/>
    <x v="0"/>
    <x v="0"/>
    <x v="0"/>
    <x v="0"/>
    <x v="43"/>
    <x v="391"/>
    <n v="1821.49"/>
    <x v="0"/>
    <x v="0"/>
    <x v="3"/>
  </r>
  <r>
    <x v="0"/>
    <x v="1"/>
    <x v="1"/>
    <x v="0"/>
    <x v="0"/>
    <x v="43"/>
    <x v="391"/>
    <n v="0"/>
    <x v="0"/>
    <x v="0"/>
    <x v="3"/>
  </r>
  <r>
    <x v="0"/>
    <x v="2"/>
    <x v="2"/>
    <x v="0"/>
    <x v="0"/>
    <x v="43"/>
    <x v="391"/>
    <n v="1210.48"/>
    <x v="0"/>
    <x v="0"/>
    <x v="3"/>
  </r>
  <r>
    <x v="0"/>
    <x v="3"/>
    <x v="3"/>
    <x v="0"/>
    <x v="0"/>
    <x v="43"/>
    <x v="391"/>
    <n v="0"/>
    <x v="0"/>
    <x v="0"/>
    <x v="3"/>
  </r>
  <r>
    <x v="0"/>
    <x v="4"/>
    <x v="4"/>
    <x v="0"/>
    <x v="0"/>
    <x v="43"/>
    <x v="391"/>
    <n v="3031.97"/>
    <x v="0"/>
    <x v="0"/>
    <x v="3"/>
  </r>
  <r>
    <x v="0"/>
    <x v="0"/>
    <x v="0"/>
    <x v="0"/>
    <x v="0"/>
    <x v="127"/>
    <x v="392"/>
    <n v="0"/>
    <x v="0"/>
    <x v="0"/>
    <x v="2"/>
  </r>
  <r>
    <x v="0"/>
    <x v="1"/>
    <x v="1"/>
    <x v="0"/>
    <x v="0"/>
    <x v="127"/>
    <x v="392"/>
    <n v="0"/>
    <x v="0"/>
    <x v="0"/>
    <x v="2"/>
  </r>
  <r>
    <x v="0"/>
    <x v="2"/>
    <x v="2"/>
    <x v="0"/>
    <x v="0"/>
    <x v="127"/>
    <x v="392"/>
    <n v="6785.21"/>
    <x v="0"/>
    <x v="0"/>
    <x v="2"/>
  </r>
  <r>
    <x v="0"/>
    <x v="3"/>
    <x v="3"/>
    <x v="0"/>
    <x v="0"/>
    <x v="127"/>
    <x v="392"/>
    <n v="0"/>
    <x v="0"/>
    <x v="0"/>
    <x v="2"/>
  </r>
  <r>
    <x v="0"/>
    <x v="4"/>
    <x v="4"/>
    <x v="0"/>
    <x v="0"/>
    <x v="127"/>
    <x v="392"/>
    <n v="6785.21"/>
    <x v="0"/>
    <x v="0"/>
    <x v="2"/>
  </r>
  <r>
    <x v="0"/>
    <x v="0"/>
    <x v="0"/>
    <x v="0"/>
    <x v="0"/>
    <x v="39"/>
    <x v="393"/>
    <n v="0"/>
    <x v="0"/>
    <x v="0"/>
    <x v="3"/>
  </r>
  <r>
    <x v="0"/>
    <x v="1"/>
    <x v="1"/>
    <x v="0"/>
    <x v="0"/>
    <x v="39"/>
    <x v="393"/>
    <n v="0"/>
    <x v="0"/>
    <x v="0"/>
    <x v="3"/>
  </r>
  <r>
    <x v="0"/>
    <x v="2"/>
    <x v="2"/>
    <x v="0"/>
    <x v="0"/>
    <x v="39"/>
    <x v="393"/>
    <n v="0"/>
    <x v="0"/>
    <x v="0"/>
    <x v="3"/>
  </r>
  <r>
    <x v="0"/>
    <x v="3"/>
    <x v="3"/>
    <x v="0"/>
    <x v="0"/>
    <x v="39"/>
    <x v="393"/>
    <n v="0"/>
    <x v="0"/>
    <x v="0"/>
    <x v="3"/>
  </r>
  <r>
    <x v="0"/>
    <x v="4"/>
    <x v="4"/>
    <x v="0"/>
    <x v="0"/>
    <x v="39"/>
    <x v="393"/>
    <n v="0"/>
    <x v="0"/>
    <x v="0"/>
    <x v="3"/>
  </r>
  <r>
    <x v="0"/>
    <x v="0"/>
    <x v="0"/>
    <x v="0"/>
    <x v="0"/>
    <x v="40"/>
    <x v="394"/>
    <n v="0"/>
    <x v="0"/>
    <x v="0"/>
    <x v="3"/>
  </r>
  <r>
    <x v="0"/>
    <x v="1"/>
    <x v="1"/>
    <x v="0"/>
    <x v="0"/>
    <x v="40"/>
    <x v="394"/>
    <n v="0"/>
    <x v="0"/>
    <x v="0"/>
    <x v="3"/>
  </r>
  <r>
    <x v="0"/>
    <x v="2"/>
    <x v="2"/>
    <x v="0"/>
    <x v="0"/>
    <x v="40"/>
    <x v="394"/>
    <n v="1017.47"/>
    <x v="0"/>
    <x v="0"/>
    <x v="3"/>
  </r>
  <r>
    <x v="0"/>
    <x v="3"/>
    <x v="3"/>
    <x v="0"/>
    <x v="0"/>
    <x v="40"/>
    <x v="394"/>
    <n v="0"/>
    <x v="0"/>
    <x v="0"/>
    <x v="3"/>
  </r>
  <r>
    <x v="0"/>
    <x v="4"/>
    <x v="4"/>
    <x v="0"/>
    <x v="0"/>
    <x v="40"/>
    <x v="394"/>
    <n v="1017.47"/>
    <x v="0"/>
    <x v="0"/>
    <x v="3"/>
  </r>
  <r>
    <x v="0"/>
    <x v="0"/>
    <x v="0"/>
    <x v="0"/>
    <x v="0"/>
    <x v="120"/>
    <x v="395"/>
    <n v="0"/>
    <x v="0"/>
    <x v="0"/>
    <x v="3"/>
  </r>
  <r>
    <x v="0"/>
    <x v="1"/>
    <x v="1"/>
    <x v="0"/>
    <x v="0"/>
    <x v="120"/>
    <x v="395"/>
    <n v="0"/>
    <x v="0"/>
    <x v="0"/>
    <x v="3"/>
  </r>
  <r>
    <x v="0"/>
    <x v="2"/>
    <x v="2"/>
    <x v="0"/>
    <x v="0"/>
    <x v="120"/>
    <x v="395"/>
    <n v="3103.02"/>
    <x v="0"/>
    <x v="0"/>
    <x v="3"/>
  </r>
  <r>
    <x v="0"/>
    <x v="3"/>
    <x v="3"/>
    <x v="0"/>
    <x v="0"/>
    <x v="120"/>
    <x v="395"/>
    <n v="0"/>
    <x v="0"/>
    <x v="0"/>
    <x v="3"/>
  </r>
  <r>
    <x v="0"/>
    <x v="4"/>
    <x v="4"/>
    <x v="0"/>
    <x v="0"/>
    <x v="120"/>
    <x v="395"/>
    <n v="3103.02"/>
    <x v="0"/>
    <x v="0"/>
    <x v="3"/>
  </r>
  <r>
    <x v="0"/>
    <x v="0"/>
    <x v="0"/>
    <x v="0"/>
    <x v="0"/>
    <x v="121"/>
    <x v="396"/>
    <n v="0"/>
    <x v="0"/>
    <x v="0"/>
    <x v="3"/>
  </r>
  <r>
    <x v="0"/>
    <x v="1"/>
    <x v="1"/>
    <x v="0"/>
    <x v="0"/>
    <x v="121"/>
    <x v="396"/>
    <n v="0"/>
    <x v="0"/>
    <x v="0"/>
    <x v="3"/>
  </r>
  <r>
    <x v="0"/>
    <x v="2"/>
    <x v="2"/>
    <x v="0"/>
    <x v="0"/>
    <x v="121"/>
    <x v="396"/>
    <n v="748.26"/>
    <x v="0"/>
    <x v="0"/>
    <x v="3"/>
  </r>
  <r>
    <x v="0"/>
    <x v="3"/>
    <x v="3"/>
    <x v="0"/>
    <x v="0"/>
    <x v="121"/>
    <x v="396"/>
    <n v="0"/>
    <x v="0"/>
    <x v="0"/>
    <x v="3"/>
  </r>
  <r>
    <x v="0"/>
    <x v="4"/>
    <x v="4"/>
    <x v="0"/>
    <x v="0"/>
    <x v="121"/>
    <x v="396"/>
    <n v="748.26"/>
    <x v="0"/>
    <x v="0"/>
    <x v="3"/>
  </r>
  <r>
    <x v="0"/>
    <x v="0"/>
    <x v="0"/>
    <x v="0"/>
    <x v="0"/>
    <x v="122"/>
    <x v="397"/>
    <n v="0"/>
    <x v="0"/>
    <x v="0"/>
    <x v="3"/>
  </r>
  <r>
    <x v="0"/>
    <x v="1"/>
    <x v="1"/>
    <x v="0"/>
    <x v="0"/>
    <x v="122"/>
    <x v="397"/>
    <n v="0"/>
    <x v="0"/>
    <x v="0"/>
    <x v="3"/>
  </r>
  <r>
    <x v="0"/>
    <x v="2"/>
    <x v="2"/>
    <x v="0"/>
    <x v="0"/>
    <x v="122"/>
    <x v="397"/>
    <n v="1711.86"/>
    <x v="0"/>
    <x v="0"/>
    <x v="3"/>
  </r>
  <r>
    <x v="0"/>
    <x v="3"/>
    <x v="3"/>
    <x v="0"/>
    <x v="0"/>
    <x v="122"/>
    <x v="397"/>
    <n v="0"/>
    <x v="0"/>
    <x v="0"/>
    <x v="3"/>
  </r>
  <r>
    <x v="0"/>
    <x v="4"/>
    <x v="4"/>
    <x v="0"/>
    <x v="0"/>
    <x v="122"/>
    <x v="397"/>
    <n v="1711.86"/>
    <x v="0"/>
    <x v="0"/>
    <x v="3"/>
  </r>
  <r>
    <x v="0"/>
    <x v="0"/>
    <x v="0"/>
    <x v="0"/>
    <x v="0"/>
    <x v="123"/>
    <x v="398"/>
    <n v="0"/>
    <x v="0"/>
    <x v="0"/>
    <x v="3"/>
  </r>
  <r>
    <x v="0"/>
    <x v="1"/>
    <x v="1"/>
    <x v="0"/>
    <x v="0"/>
    <x v="123"/>
    <x v="398"/>
    <n v="0"/>
    <x v="0"/>
    <x v="0"/>
    <x v="3"/>
  </r>
  <r>
    <x v="0"/>
    <x v="2"/>
    <x v="2"/>
    <x v="0"/>
    <x v="0"/>
    <x v="123"/>
    <x v="398"/>
    <n v="204.6"/>
    <x v="0"/>
    <x v="0"/>
    <x v="3"/>
  </r>
  <r>
    <x v="0"/>
    <x v="3"/>
    <x v="3"/>
    <x v="0"/>
    <x v="0"/>
    <x v="123"/>
    <x v="398"/>
    <n v="0"/>
    <x v="0"/>
    <x v="0"/>
    <x v="3"/>
  </r>
  <r>
    <x v="0"/>
    <x v="4"/>
    <x v="4"/>
    <x v="0"/>
    <x v="0"/>
    <x v="123"/>
    <x v="398"/>
    <n v="204.6"/>
    <x v="0"/>
    <x v="0"/>
    <x v="3"/>
  </r>
  <r>
    <x v="0"/>
    <x v="0"/>
    <x v="0"/>
    <x v="0"/>
    <x v="0"/>
    <x v="128"/>
    <x v="399"/>
    <n v="0"/>
    <x v="0"/>
    <x v="0"/>
    <x v="2"/>
  </r>
  <r>
    <x v="0"/>
    <x v="1"/>
    <x v="1"/>
    <x v="0"/>
    <x v="0"/>
    <x v="128"/>
    <x v="399"/>
    <n v="0"/>
    <x v="0"/>
    <x v="0"/>
    <x v="2"/>
  </r>
  <r>
    <x v="0"/>
    <x v="2"/>
    <x v="2"/>
    <x v="0"/>
    <x v="0"/>
    <x v="128"/>
    <x v="399"/>
    <n v="0"/>
    <x v="0"/>
    <x v="0"/>
    <x v="2"/>
  </r>
  <r>
    <x v="0"/>
    <x v="3"/>
    <x v="3"/>
    <x v="0"/>
    <x v="0"/>
    <x v="128"/>
    <x v="399"/>
    <n v="0"/>
    <x v="0"/>
    <x v="0"/>
    <x v="2"/>
  </r>
  <r>
    <x v="0"/>
    <x v="4"/>
    <x v="4"/>
    <x v="0"/>
    <x v="0"/>
    <x v="128"/>
    <x v="399"/>
    <n v="0"/>
    <x v="0"/>
    <x v="0"/>
    <x v="2"/>
  </r>
  <r>
    <x v="0"/>
    <x v="0"/>
    <x v="0"/>
    <x v="0"/>
    <x v="0"/>
    <x v="39"/>
    <x v="400"/>
    <n v="0"/>
    <x v="0"/>
    <x v="0"/>
    <x v="3"/>
  </r>
  <r>
    <x v="0"/>
    <x v="1"/>
    <x v="1"/>
    <x v="0"/>
    <x v="0"/>
    <x v="39"/>
    <x v="400"/>
    <n v="0"/>
    <x v="0"/>
    <x v="0"/>
    <x v="3"/>
  </r>
  <r>
    <x v="0"/>
    <x v="2"/>
    <x v="2"/>
    <x v="0"/>
    <x v="0"/>
    <x v="39"/>
    <x v="400"/>
    <n v="0"/>
    <x v="0"/>
    <x v="0"/>
    <x v="3"/>
  </r>
  <r>
    <x v="0"/>
    <x v="3"/>
    <x v="3"/>
    <x v="0"/>
    <x v="0"/>
    <x v="39"/>
    <x v="400"/>
    <n v="0"/>
    <x v="0"/>
    <x v="0"/>
    <x v="3"/>
  </r>
  <r>
    <x v="0"/>
    <x v="4"/>
    <x v="4"/>
    <x v="0"/>
    <x v="0"/>
    <x v="39"/>
    <x v="400"/>
    <n v="0"/>
    <x v="0"/>
    <x v="0"/>
    <x v="3"/>
  </r>
  <r>
    <x v="0"/>
    <x v="0"/>
    <x v="0"/>
    <x v="0"/>
    <x v="0"/>
    <x v="40"/>
    <x v="401"/>
    <n v="0"/>
    <x v="0"/>
    <x v="0"/>
    <x v="3"/>
  </r>
  <r>
    <x v="0"/>
    <x v="1"/>
    <x v="1"/>
    <x v="0"/>
    <x v="0"/>
    <x v="40"/>
    <x v="401"/>
    <n v="0"/>
    <x v="0"/>
    <x v="0"/>
    <x v="3"/>
  </r>
  <r>
    <x v="0"/>
    <x v="2"/>
    <x v="2"/>
    <x v="0"/>
    <x v="0"/>
    <x v="40"/>
    <x v="401"/>
    <n v="0"/>
    <x v="0"/>
    <x v="0"/>
    <x v="3"/>
  </r>
  <r>
    <x v="0"/>
    <x v="3"/>
    <x v="3"/>
    <x v="0"/>
    <x v="0"/>
    <x v="40"/>
    <x v="401"/>
    <n v="0"/>
    <x v="0"/>
    <x v="0"/>
    <x v="3"/>
  </r>
  <r>
    <x v="0"/>
    <x v="4"/>
    <x v="4"/>
    <x v="0"/>
    <x v="0"/>
    <x v="40"/>
    <x v="401"/>
    <n v="0"/>
    <x v="0"/>
    <x v="0"/>
    <x v="3"/>
  </r>
  <r>
    <x v="0"/>
    <x v="0"/>
    <x v="0"/>
    <x v="0"/>
    <x v="0"/>
    <x v="41"/>
    <x v="402"/>
    <n v="0"/>
    <x v="0"/>
    <x v="0"/>
    <x v="3"/>
  </r>
  <r>
    <x v="0"/>
    <x v="1"/>
    <x v="1"/>
    <x v="0"/>
    <x v="0"/>
    <x v="41"/>
    <x v="402"/>
    <n v="0"/>
    <x v="0"/>
    <x v="0"/>
    <x v="3"/>
  </r>
  <r>
    <x v="0"/>
    <x v="2"/>
    <x v="2"/>
    <x v="0"/>
    <x v="0"/>
    <x v="41"/>
    <x v="402"/>
    <n v="0"/>
    <x v="0"/>
    <x v="0"/>
    <x v="3"/>
  </r>
  <r>
    <x v="0"/>
    <x v="3"/>
    <x v="3"/>
    <x v="0"/>
    <x v="0"/>
    <x v="41"/>
    <x v="402"/>
    <n v="0"/>
    <x v="0"/>
    <x v="0"/>
    <x v="3"/>
  </r>
  <r>
    <x v="0"/>
    <x v="4"/>
    <x v="4"/>
    <x v="0"/>
    <x v="0"/>
    <x v="41"/>
    <x v="402"/>
    <n v="0"/>
    <x v="0"/>
    <x v="0"/>
    <x v="3"/>
  </r>
  <r>
    <x v="0"/>
    <x v="0"/>
    <x v="0"/>
    <x v="0"/>
    <x v="0"/>
    <x v="42"/>
    <x v="403"/>
    <n v="0"/>
    <x v="0"/>
    <x v="0"/>
    <x v="3"/>
  </r>
  <r>
    <x v="0"/>
    <x v="1"/>
    <x v="1"/>
    <x v="0"/>
    <x v="0"/>
    <x v="42"/>
    <x v="403"/>
    <n v="0"/>
    <x v="0"/>
    <x v="0"/>
    <x v="3"/>
  </r>
  <r>
    <x v="0"/>
    <x v="2"/>
    <x v="2"/>
    <x v="0"/>
    <x v="0"/>
    <x v="42"/>
    <x v="403"/>
    <n v="0"/>
    <x v="0"/>
    <x v="0"/>
    <x v="3"/>
  </r>
  <r>
    <x v="0"/>
    <x v="3"/>
    <x v="3"/>
    <x v="0"/>
    <x v="0"/>
    <x v="42"/>
    <x v="403"/>
    <n v="0"/>
    <x v="0"/>
    <x v="0"/>
    <x v="3"/>
  </r>
  <r>
    <x v="0"/>
    <x v="4"/>
    <x v="4"/>
    <x v="0"/>
    <x v="0"/>
    <x v="42"/>
    <x v="403"/>
    <n v="0"/>
    <x v="0"/>
    <x v="0"/>
    <x v="3"/>
  </r>
  <r>
    <x v="0"/>
    <x v="0"/>
    <x v="0"/>
    <x v="0"/>
    <x v="0"/>
    <x v="43"/>
    <x v="404"/>
    <n v="0"/>
    <x v="0"/>
    <x v="0"/>
    <x v="3"/>
  </r>
  <r>
    <x v="0"/>
    <x v="1"/>
    <x v="1"/>
    <x v="0"/>
    <x v="0"/>
    <x v="43"/>
    <x v="404"/>
    <n v="0"/>
    <x v="0"/>
    <x v="0"/>
    <x v="3"/>
  </r>
  <r>
    <x v="0"/>
    <x v="2"/>
    <x v="2"/>
    <x v="0"/>
    <x v="0"/>
    <x v="43"/>
    <x v="404"/>
    <n v="0"/>
    <x v="0"/>
    <x v="0"/>
    <x v="3"/>
  </r>
  <r>
    <x v="0"/>
    <x v="3"/>
    <x v="3"/>
    <x v="0"/>
    <x v="0"/>
    <x v="43"/>
    <x v="404"/>
    <n v="0"/>
    <x v="0"/>
    <x v="0"/>
    <x v="3"/>
  </r>
  <r>
    <x v="0"/>
    <x v="4"/>
    <x v="4"/>
    <x v="0"/>
    <x v="0"/>
    <x v="43"/>
    <x v="404"/>
    <n v="0"/>
    <x v="0"/>
    <x v="0"/>
    <x v="3"/>
  </r>
  <r>
    <x v="0"/>
    <x v="0"/>
    <x v="0"/>
    <x v="0"/>
    <x v="0"/>
    <x v="129"/>
    <x v="405"/>
    <n v="0"/>
    <x v="0"/>
    <x v="0"/>
    <x v="2"/>
  </r>
  <r>
    <x v="0"/>
    <x v="1"/>
    <x v="1"/>
    <x v="0"/>
    <x v="0"/>
    <x v="129"/>
    <x v="405"/>
    <n v="0"/>
    <x v="0"/>
    <x v="0"/>
    <x v="2"/>
  </r>
  <r>
    <x v="0"/>
    <x v="2"/>
    <x v="2"/>
    <x v="0"/>
    <x v="0"/>
    <x v="129"/>
    <x v="405"/>
    <n v="35958.89"/>
    <x v="0"/>
    <x v="0"/>
    <x v="2"/>
  </r>
  <r>
    <x v="0"/>
    <x v="3"/>
    <x v="3"/>
    <x v="0"/>
    <x v="0"/>
    <x v="129"/>
    <x v="405"/>
    <n v="9709.02"/>
    <x v="0"/>
    <x v="0"/>
    <x v="2"/>
  </r>
  <r>
    <x v="0"/>
    <x v="4"/>
    <x v="4"/>
    <x v="0"/>
    <x v="0"/>
    <x v="129"/>
    <x v="405"/>
    <n v="45667.91"/>
    <x v="0"/>
    <x v="0"/>
    <x v="2"/>
  </r>
  <r>
    <x v="0"/>
    <x v="0"/>
    <x v="0"/>
    <x v="0"/>
    <x v="0"/>
    <x v="39"/>
    <x v="406"/>
    <n v="0"/>
    <x v="0"/>
    <x v="0"/>
    <x v="3"/>
  </r>
  <r>
    <x v="0"/>
    <x v="1"/>
    <x v="1"/>
    <x v="0"/>
    <x v="0"/>
    <x v="39"/>
    <x v="406"/>
    <n v="0"/>
    <x v="0"/>
    <x v="0"/>
    <x v="3"/>
  </r>
  <r>
    <x v="0"/>
    <x v="2"/>
    <x v="2"/>
    <x v="0"/>
    <x v="0"/>
    <x v="39"/>
    <x v="406"/>
    <n v="0"/>
    <x v="0"/>
    <x v="0"/>
    <x v="3"/>
  </r>
  <r>
    <x v="0"/>
    <x v="3"/>
    <x v="3"/>
    <x v="0"/>
    <x v="0"/>
    <x v="39"/>
    <x v="406"/>
    <n v="0"/>
    <x v="0"/>
    <x v="0"/>
    <x v="3"/>
  </r>
  <r>
    <x v="0"/>
    <x v="4"/>
    <x v="4"/>
    <x v="0"/>
    <x v="0"/>
    <x v="39"/>
    <x v="406"/>
    <n v="0"/>
    <x v="0"/>
    <x v="0"/>
    <x v="3"/>
  </r>
  <r>
    <x v="0"/>
    <x v="0"/>
    <x v="0"/>
    <x v="0"/>
    <x v="0"/>
    <x v="40"/>
    <x v="407"/>
    <n v="0"/>
    <x v="0"/>
    <x v="0"/>
    <x v="3"/>
  </r>
  <r>
    <x v="0"/>
    <x v="1"/>
    <x v="1"/>
    <x v="0"/>
    <x v="0"/>
    <x v="40"/>
    <x v="407"/>
    <n v="0"/>
    <x v="0"/>
    <x v="0"/>
    <x v="3"/>
  </r>
  <r>
    <x v="0"/>
    <x v="2"/>
    <x v="2"/>
    <x v="0"/>
    <x v="0"/>
    <x v="40"/>
    <x v="407"/>
    <n v="1348.55"/>
    <x v="0"/>
    <x v="0"/>
    <x v="3"/>
  </r>
  <r>
    <x v="0"/>
    <x v="3"/>
    <x v="3"/>
    <x v="0"/>
    <x v="0"/>
    <x v="40"/>
    <x v="407"/>
    <n v="2622.4"/>
    <x v="0"/>
    <x v="0"/>
    <x v="3"/>
  </r>
  <r>
    <x v="0"/>
    <x v="4"/>
    <x v="4"/>
    <x v="0"/>
    <x v="0"/>
    <x v="40"/>
    <x v="407"/>
    <n v="3970.95"/>
    <x v="0"/>
    <x v="0"/>
    <x v="3"/>
  </r>
  <r>
    <x v="0"/>
    <x v="0"/>
    <x v="0"/>
    <x v="0"/>
    <x v="0"/>
    <x v="41"/>
    <x v="408"/>
    <n v="0"/>
    <x v="0"/>
    <x v="0"/>
    <x v="3"/>
  </r>
  <r>
    <x v="0"/>
    <x v="1"/>
    <x v="1"/>
    <x v="0"/>
    <x v="0"/>
    <x v="41"/>
    <x v="408"/>
    <n v="0"/>
    <x v="0"/>
    <x v="0"/>
    <x v="3"/>
  </r>
  <r>
    <x v="0"/>
    <x v="2"/>
    <x v="2"/>
    <x v="0"/>
    <x v="0"/>
    <x v="41"/>
    <x v="408"/>
    <n v="14202.17"/>
    <x v="0"/>
    <x v="0"/>
    <x v="3"/>
  </r>
  <r>
    <x v="0"/>
    <x v="3"/>
    <x v="3"/>
    <x v="0"/>
    <x v="0"/>
    <x v="41"/>
    <x v="408"/>
    <n v="2002.17"/>
    <x v="0"/>
    <x v="0"/>
    <x v="3"/>
  </r>
  <r>
    <x v="0"/>
    <x v="4"/>
    <x v="4"/>
    <x v="0"/>
    <x v="0"/>
    <x v="41"/>
    <x v="408"/>
    <n v="16204.34"/>
    <x v="0"/>
    <x v="0"/>
    <x v="3"/>
  </r>
  <r>
    <x v="0"/>
    <x v="0"/>
    <x v="0"/>
    <x v="0"/>
    <x v="0"/>
    <x v="117"/>
    <x v="409"/>
    <n v="0"/>
    <x v="0"/>
    <x v="0"/>
    <x v="3"/>
  </r>
  <r>
    <x v="0"/>
    <x v="1"/>
    <x v="1"/>
    <x v="0"/>
    <x v="0"/>
    <x v="117"/>
    <x v="409"/>
    <n v="0"/>
    <x v="0"/>
    <x v="0"/>
    <x v="3"/>
  </r>
  <r>
    <x v="0"/>
    <x v="2"/>
    <x v="2"/>
    <x v="0"/>
    <x v="0"/>
    <x v="117"/>
    <x v="409"/>
    <n v="4056.36"/>
    <x v="0"/>
    <x v="0"/>
    <x v="3"/>
  </r>
  <r>
    <x v="0"/>
    <x v="3"/>
    <x v="3"/>
    <x v="0"/>
    <x v="0"/>
    <x v="117"/>
    <x v="409"/>
    <n v="3267.19"/>
    <x v="0"/>
    <x v="0"/>
    <x v="3"/>
  </r>
  <r>
    <x v="0"/>
    <x v="4"/>
    <x v="4"/>
    <x v="0"/>
    <x v="0"/>
    <x v="117"/>
    <x v="409"/>
    <n v="7323.55"/>
    <x v="0"/>
    <x v="0"/>
    <x v="3"/>
  </r>
  <r>
    <x v="0"/>
    <x v="0"/>
    <x v="0"/>
    <x v="0"/>
    <x v="0"/>
    <x v="118"/>
    <x v="410"/>
    <n v="0"/>
    <x v="0"/>
    <x v="0"/>
    <x v="3"/>
  </r>
  <r>
    <x v="0"/>
    <x v="1"/>
    <x v="1"/>
    <x v="0"/>
    <x v="0"/>
    <x v="118"/>
    <x v="410"/>
    <n v="0"/>
    <x v="0"/>
    <x v="0"/>
    <x v="3"/>
  </r>
  <r>
    <x v="0"/>
    <x v="2"/>
    <x v="2"/>
    <x v="0"/>
    <x v="0"/>
    <x v="118"/>
    <x v="410"/>
    <n v="16351.81"/>
    <x v="0"/>
    <x v="0"/>
    <x v="3"/>
  </r>
  <r>
    <x v="0"/>
    <x v="3"/>
    <x v="3"/>
    <x v="0"/>
    <x v="0"/>
    <x v="118"/>
    <x v="410"/>
    <n v="1817.26"/>
    <x v="0"/>
    <x v="0"/>
    <x v="3"/>
  </r>
  <r>
    <x v="0"/>
    <x v="4"/>
    <x v="4"/>
    <x v="0"/>
    <x v="0"/>
    <x v="118"/>
    <x v="410"/>
    <n v="18169.07"/>
    <x v="0"/>
    <x v="0"/>
    <x v="3"/>
  </r>
  <r>
    <x v="0"/>
    <x v="0"/>
    <x v="0"/>
    <x v="0"/>
    <x v="0"/>
    <x v="130"/>
    <x v="411"/>
    <n v="0"/>
    <x v="0"/>
    <x v="0"/>
    <x v="2"/>
  </r>
  <r>
    <x v="0"/>
    <x v="1"/>
    <x v="1"/>
    <x v="0"/>
    <x v="0"/>
    <x v="130"/>
    <x v="411"/>
    <n v="0"/>
    <x v="0"/>
    <x v="0"/>
    <x v="2"/>
  </r>
  <r>
    <x v="0"/>
    <x v="2"/>
    <x v="2"/>
    <x v="0"/>
    <x v="0"/>
    <x v="130"/>
    <x v="411"/>
    <n v="0"/>
    <x v="0"/>
    <x v="0"/>
    <x v="2"/>
  </r>
  <r>
    <x v="0"/>
    <x v="3"/>
    <x v="3"/>
    <x v="0"/>
    <x v="0"/>
    <x v="130"/>
    <x v="411"/>
    <n v="1016.98"/>
    <x v="0"/>
    <x v="0"/>
    <x v="2"/>
  </r>
  <r>
    <x v="0"/>
    <x v="4"/>
    <x v="4"/>
    <x v="0"/>
    <x v="0"/>
    <x v="130"/>
    <x v="411"/>
    <n v="1016.98"/>
    <x v="0"/>
    <x v="0"/>
    <x v="2"/>
  </r>
  <r>
    <x v="0"/>
    <x v="0"/>
    <x v="0"/>
    <x v="0"/>
    <x v="0"/>
    <x v="39"/>
    <x v="412"/>
    <n v="0"/>
    <x v="0"/>
    <x v="0"/>
    <x v="3"/>
  </r>
  <r>
    <x v="0"/>
    <x v="1"/>
    <x v="1"/>
    <x v="0"/>
    <x v="0"/>
    <x v="39"/>
    <x v="412"/>
    <n v="0"/>
    <x v="0"/>
    <x v="0"/>
    <x v="3"/>
  </r>
  <r>
    <x v="0"/>
    <x v="2"/>
    <x v="2"/>
    <x v="0"/>
    <x v="0"/>
    <x v="39"/>
    <x v="412"/>
    <n v="0"/>
    <x v="0"/>
    <x v="0"/>
    <x v="3"/>
  </r>
  <r>
    <x v="0"/>
    <x v="3"/>
    <x v="3"/>
    <x v="0"/>
    <x v="0"/>
    <x v="39"/>
    <x v="412"/>
    <n v="0"/>
    <x v="0"/>
    <x v="0"/>
    <x v="3"/>
  </r>
  <r>
    <x v="0"/>
    <x v="4"/>
    <x v="4"/>
    <x v="0"/>
    <x v="0"/>
    <x v="39"/>
    <x v="412"/>
    <n v="0"/>
    <x v="0"/>
    <x v="0"/>
    <x v="3"/>
  </r>
  <r>
    <x v="0"/>
    <x v="0"/>
    <x v="0"/>
    <x v="0"/>
    <x v="0"/>
    <x v="40"/>
    <x v="413"/>
    <n v="0"/>
    <x v="0"/>
    <x v="0"/>
    <x v="3"/>
  </r>
  <r>
    <x v="0"/>
    <x v="1"/>
    <x v="1"/>
    <x v="0"/>
    <x v="0"/>
    <x v="40"/>
    <x v="413"/>
    <n v="0"/>
    <x v="0"/>
    <x v="0"/>
    <x v="3"/>
  </r>
  <r>
    <x v="0"/>
    <x v="2"/>
    <x v="2"/>
    <x v="0"/>
    <x v="0"/>
    <x v="40"/>
    <x v="413"/>
    <n v="0"/>
    <x v="0"/>
    <x v="0"/>
    <x v="3"/>
  </r>
  <r>
    <x v="0"/>
    <x v="3"/>
    <x v="3"/>
    <x v="0"/>
    <x v="0"/>
    <x v="40"/>
    <x v="413"/>
    <n v="105.84"/>
    <x v="0"/>
    <x v="0"/>
    <x v="3"/>
  </r>
  <r>
    <x v="0"/>
    <x v="4"/>
    <x v="4"/>
    <x v="0"/>
    <x v="0"/>
    <x v="40"/>
    <x v="413"/>
    <n v="105.84"/>
    <x v="0"/>
    <x v="0"/>
    <x v="3"/>
  </r>
  <r>
    <x v="0"/>
    <x v="0"/>
    <x v="0"/>
    <x v="0"/>
    <x v="0"/>
    <x v="120"/>
    <x v="414"/>
    <n v="0"/>
    <x v="0"/>
    <x v="0"/>
    <x v="3"/>
  </r>
  <r>
    <x v="0"/>
    <x v="1"/>
    <x v="1"/>
    <x v="0"/>
    <x v="0"/>
    <x v="120"/>
    <x v="414"/>
    <n v="0"/>
    <x v="0"/>
    <x v="0"/>
    <x v="3"/>
  </r>
  <r>
    <x v="0"/>
    <x v="2"/>
    <x v="2"/>
    <x v="0"/>
    <x v="0"/>
    <x v="120"/>
    <x v="414"/>
    <n v="0"/>
    <x v="0"/>
    <x v="0"/>
    <x v="3"/>
  </r>
  <r>
    <x v="0"/>
    <x v="3"/>
    <x v="3"/>
    <x v="0"/>
    <x v="0"/>
    <x v="120"/>
    <x v="414"/>
    <n v="515.23"/>
    <x v="0"/>
    <x v="0"/>
    <x v="3"/>
  </r>
  <r>
    <x v="0"/>
    <x v="4"/>
    <x v="4"/>
    <x v="0"/>
    <x v="0"/>
    <x v="120"/>
    <x v="414"/>
    <n v="515.23"/>
    <x v="0"/>
    <x v="0"/>
    <x v="3"/>
  </r>
  <r>
    <x v="0"/>
    <x v="0"/>
    <x v="0"/>
    <x v="0"/>
    <x v="0"/>
    <x v="121"/>
    <x v="415"/>
    <n v="0"/>
    <x v="0"/>
    <x v="0"/>
    <x v="3"/>
  </r>
  <r>
    <x v="0"/>
    <x v="1"/>
    <x v="1"/>
    <x v="0"/>
    <x v="0"/>
    <x v="121"/>
    <x v="415"/>
    <n v="0"/>
    <x v="0"/>
    <x v="0"/>
    <x v="3"/>
  </r>
  <r>
    <x v="0"/>
    <x v="2"/>
    <x v="2"/>
    <x v="0"/>
    <x v="0"/>
    <x v="121"/>
    <x v="415"/>
    <n v="0"/>
    <x v="0"/>
    <x v="0"/>
    <x v="3"/>
  </r>
  <r>
    <x v="0"/>
    <x v="3"/>
    <x v="3"/>
    <x v="0"/>
    <x v="0"/>
    <x v="121"/>
    <x v="415"/>
    <n v="395.91"/>
    <x v="0"/>
    <x v="0"/>
    <x v="3"/>
  </r>
  <r>
    <x v="0"/>
    <x v="4"/>
    <x v="4"/>
    <x v="0"/>
    <x v="0"/>
    <x v="121"/>
    <x v="415"/>
    <n v="395.91"/>
    <x v="0"/>
    <x v="0"/>
    <x v="3"/>
  </r>
  <r>
    <x v="0"/>
    <x v="0"/>
    <x v="0"/>
    <x v="0"/>
    <x v="0"/>
    <x v="122"/>
    <x v="416"/>
    <n v="0"/>
    <x v="0"/>
    <x v="0"/>
    <x v="3"/>
  </r>
  <r>
    <x v="0"/>
    <x v="1"/>
    <x v="1"/>
    <x v="0"/>
    <x v="0"/>
    <x v="122"/>
    <x v="416"/>
    <n v="0"/>
    <x v="0"/>
    <x v="0"/>
    <x v="3"/>
  </r>
  <r>
    <x v="0"/>
    <x v="2"/>
    <x v="2"/>
    <x v="0"/>
    <x v="0"/>
    <x v="122"/>
    <x v="416"/>
    <n v="0"/>
    <x v="0"/>
    <x v="0"/>
    <x v="3"/>
  </r>
  <r>
    <x v="0"/>
    <x v="3"/>
    <x v="3"/>
    <x v="0"/>
    <x v="0"/>
    <x v="122"/>
    <x v="416"/>
    <n v="0"/>
    <x v="0"/>
    <x v="0"/>
    <x v="3"/>
  </r>
  <r>
    <x v="0"/>
    <x v="4"/>
    <x v="4"/>
    <x v="0"/>
    <x v="0"/>
    <x v="122"/>
    <x v="416"/>
    <n v="0"/>
    <x v="0"/>
    <x v="0"/>
    <x v="3"/>
  </r>
  <r>
    <x v="0"/>
    <x v="0"/>
    <x v="0"/>
    <x v="0"/>
    <x v="0"/>
    <x v="123"/>
    <x v="417"/>
    <n v="0"/>
    <x v="0"/>
    <x v="0"/>
    <x v="3"/>
  </r>
  <r>
    <x v="0"/>
    <x v="1"/>
    <x v="1"/>
    <x v="0"/>
    <x v="0"/>
    <x v="123"/>
    <x v="417"/>
    <n v="0"/>
    <x v="0"/>
    <x v="0"/>
    <x v="3"/>
  </r>
  <r>
    <x v="0"/>
    <x v="2"/>
    <x v="2"/>
    <x v="0"/>
    <x v="0"/>
    <x v="123"/>
    <x v="417"/>
    <n v="0"/>
    <x v="0"/>
    <x v="0"/>
    <x v="3"/>
  </r>
  <r>
    <x v="0"/>
    <x v="3"/>
    <x v="3"/>
    <x v="0"/>
    <x v="0"/>
    <x v="123"/>
    <x v="417"/>
    <n v="0"/>
    <x v="0"/>
    <x v="0"/>
    <x v="3"/>
  </r>
  <r>
    <x v="0"/>
    <x v="4"/>
    <x v="4"/>
    <x v="0"/>
    <x v="0"/>
    <x v="123"/>
    <x v="417"/>
    <n v="0"/>
    <x v="0"/>
    <x v="0"/>
    <x v="3"/>
  </r>
  <r>
    <x v="0"/>
    <x v="0"/>
    <x v="0"/>
    <x v="0"/>
    <x v="0"/>
    <x v="131"/>
    <x v="418"/>
    <n v="0"/>
    <x v="0"/>
    <x v="0"/>
    <x v="2"/>
  </r>
  <r>
    <x v="0"/>
    <x v="1"/>
    <x v="1"/>
    <x v="0"/>
    <x v="0"/>
    <x v="131"/>
    <x v="418"/>
    <n v="0"/>
    <x v="0"/>
    <x v="0"/>
    <x v="2"/>
  </r>
  <r>
    <x v="0"/>
    <x v="2"/>
    <x v="2"/>
    <x v="0"/>
    <x v="0"/>
    <x v="131"/>
    <x v="418"/>
    <n v="2559.2800000000002"/>
    <x v="0"/>
    <x v="0"/>
    <x v="2"/>
  </r>
  <r>
    <x v="0"/>
    <x v="3"/>
    <x v="3"/>
    <x v="0"/>
    <x v="0"/>
    <x v="131"/>
    <x v="418"/>
    <n v="13365.33"/>
    <x v="0"/>
    <x v="0"/>
    <x v="2"/>
  </r>
  <r>
    <x v="0"/>
    <x v="4"/>
    <x v="4"/>
    <x v="0"/>
    <x v="0"/>
    <x v="131"/>
    <x v="418"/>
    <n v="15924.61"/>
    <x v="0"/>
    <x v="0"/>
    <x v="2"/>
  </r>
  <r>
    <x v="0"/>
    <x v="0"/>
    <x v="0"/>
    <x v="0"/>
    <x v="0"/>
    <x v="39"/>
    <x v="419"/>
    <n v="0"/>
    <x v="0"/>
    <x v="0"/>
    <x v="3"/>
  </r>
  <r>
    <x v="0"/>
    <x v="1"/>
    <x v="1"/>
    <x v="0"/>
    <x v="0"/>
    <x v="39"/>
    <x v="419"/>
    <n v="0"/>
    <x v="0"/>
    <x v="0"/>
    <x v="3"/>
  </r>
  <r>
    <x v="0"/>
    <x v="2"/>
    <x v="2"/>
    <x v="0"/>
    <x v="0"/>
    <x v="39"/>
    <x v="419"/>
    <n v="0"/>
    <x v="0"/>
    <x v="0"/>
    <x v="3"/>
  </r>
  <r>
    <x v="0"/>
    <x v="3"/>
    <x v="3"/>
    <x v="0"/>
    <x v="0"/>
    <x v="39"/>
    <x v="419"/>
    <n v="0"/>
    <x v="0"/>
    <x v="0"/>
    <x v="3"/>
  </r>
  <r>
    <x v="0"/>
    <x v="4"/>
    <x v="4"/>
    <x v="0"/>
    <x v="0"/>
    <x v="39"/>
    <x v="419"/>
    <n v="0"/>
    <x v="0"/>
    <x v="0"/>
    <x v="3"/>
  </r>
  <r>
    <x v="0"/>
    <x v="0"/>
    <x v="0"/>
    <x v="0"/>
    <x v="0"/>
    <x v="40"/>
    <x v="420"/>
    <n v="0"/>
    <x v="0"/>
    <x v="0"/>
    <x v="3"/>
  </r>
  <r>
    <x v="0"/>
    <x v="1"/>
    <x v="1"/>
    <x v="0"/>
    <x v="0"/>
    <x v="40"/>
    <x v="420"/>
    <n v="0"/>
    <x v="0"/>
    <x v="0"/>
    <x v="3"/>
  </r>
  <r>
    <x v="0"/>
    <x v="2"/>
    <x v="2"/>
    <x v="0"/>
    <x v="0"/>
    <x v="40"/>
    <x v="420"/>
    <n v="2559.2800000000002"/>
    <x v="0"/>
    <x v="0"/>
    <x v="3"/>
  </r>
  <r>
    <x v="0"/>
    <x v="3"/>
    <x v="3"/>
    <x v="0"/>
    <x v="0"/>
    <x v="40"/>
    <x v="420"/>
    <n v="4458.78"/>
    <x v="0"/>
    <x v="0"/>
    <x v="3"/>
  </r>
  <r>
    <x v="0"/>
    <x v="4"/>
    <x v="4"/>
    <x v="0"/>
    <x v="0"/>
    <x v="40"/>
    <x v="420"/>
    <n v="7018.06"/>
    <x v="0"/>
    <x v="0"/>
    <x v="3"/>
  </r>
  <r>
    <x v="0"/>
    <x v="0"/>
    <x v="0"/>
    <x v="0"/>
    <x v="0"/>
    <x v="41"/>
    <x v="421"/>
    <n v="0"/>
    <x v="0"/>
    <x v="0"/>
    <x v="3"/>
  </r>
  <r>
    <x v="0"/>
    <x v="1"/>
    <x v="1"/>
    <x v="0"/>
    <x v="0"/>
    <x v="41"/>
    <x v="421"/>
    <n v="0"/>
    <x v="0"/>
    <x v="0"/>
    <x v="3"/>
  </r>
  <r>
    <x v="0"/>
    <x v="2"/>
    <x v="2"/>
    <x v="0"/>
    <x v="0"/>
    <x v="41"/>
    <x v="421"/>
    <n v="0"/>
    <x v="0"/>
    <x v="0"/>
    <x v="3"/>
  </r>
  <r>
    <x v="0"/>
    <x v="3"/>
    <x v="3"/>
    <x v="0"/>
    <x v="0"/>
    <x v="41"/>
    <x v="421"/>
    <n v="2965.99"/>
    <x v="0"/>
    <x v="0"/>
    <x v="3"/>
  </r>
  <r>
    <x v="0"/>
    <x v="4"/>
    <x v="4"/>
    <x v="0"/>
    <x v="0"/>
    <x v="41"/>
    <x v="421"/>
    <n v="2965.99"/>
    <x v="0"/>
    <x v="0"/>
    <x v="3"/>
  </r>
  <r>
    <x v="0"/>
    <x v="0"/>
    <x v="0"/>
    <x v="0"/>
    <x v="0"/>
    <x v="42"/>
    <x v="422"/>
    <n v="0"/>
    <x v="0"/>
    <x v="0"/>
    <x v="3"/>
  </r>
  <r>
    <x v="0"/>
    <x v="1"/>
    <x v="1"/>
    <x v="0"/>
    <x v="0"/>
    <x v="42"/>
    <x v="422"/>
    <n v="0"/>
    <x v="0"/>
    <x v="0"/>
    <x v="3"/>
  </r>
  <r>
    <x v="0"/>
    <x v="2"/>
    <x v="2"/>
    <x v="0"/>
    <x v="0"/>
    <x v="42"/>
    <x v="422"/>
    <n v="0"/>
    <x v="0"/>
    <x v="0"/>
    <x v="3"/>
  </r>
  <r>
    <x v="0"/>
    <x v="3"/>
    <x v="3"/>
    <x v="0"/>
    <x v="0"/>
    <x v="42"/>
    <x v="422"/>
    <n v="3056.95"/>
    <x v="0"/>
    <x v="0"/>
    <x v="3"/>
  </r>
  <r>
    <x v="0"/>
    <x v="4"/>
    <x v="4"/>
    <x v="0"/>
    <x v="0"/>
    <x v="42"/>
    <x v="422"/>
    <n v="3056.95"/>
    <x v="0"/>
    <x v="0"/>
    <x v="3"/>
  </r>
  <r>
    <x v="0"/>
    <x v="0"/>
    <x v="0"/>
    <x v="0"/>
    <x v="0"/>
    <x v="43"/>
    <x v="423"/>
    <n v="0"/>
    <x v="0"/>
    <x v="0"/>
    <x v="3"/>
  </r>
  <r>
    <x v="0"/>
    <x v="1"/>
    <x v="1"/>
    <x v="0"/>
    <x v="0"/>
    <x v="43"/>
    <x v="423"/>
    <n v="0"/>
    <x v="0"/>
    <x v="0"/>
    <x v="3"/>
  </r>
  <r>
    <x v="0"/>
    <x v="2"/>
    <x v="2"/>
    <x v="0"/>
    <x v="0"/>
    <x v="43"/>
    <x v="423"/>
    <n v="0"/>
    <x v="0"/>
    <x v="0"/>
    <x v="3"/>
  </r>
  <r>
    <x v="0"/>
    <x v="3"/>
    <x v="3"/>
    <x v="0"/>
    <x v="0"/>
    <x v="43"/>
    <x v="423"/>
    <n v="2883.61"/>
    <x v="0"/>
    <x v="0"/>
    <x v="3"/>
  </r>
  <r>
    <x v="0"/>
    <x v="4"/>
    <x v="4"/>
    <x v="0"/>
    <x v="0"/>
    <x v="43"/>
    <x v="423"/>
    <n v="2883.61"/>
    <x v="0"/>
    <x v="0"/>
    <x v="3"/>
  </r>
  <r>
    <x v="0"/>
    <x v="0"/>
    <x v="0"/>
    <x v="0"/>
    <x v="0"/>
    <x v="132"/>
    <x v="424"/>
    <n v="0"/>
    <x v="0"/>
    <x v="0"/>
    <x v="2"/>
  </r>
  <r>
    <x v="0"/>
    <x v="1"/>
    <x v="1"/>
    <x v="0"/>
    <x v="0"/>
    <x v="132"/>
    <x v="424"/>
    <n v="0"/>
    <x v="0"/>
    <x v="0"/>
    <x v="2"/>
  </r>
  <r>
    <x v="0"/>
    <x v="2"/>
    <x v="2"/>
    <x v="0"/>
    <x v="0"/>
    <x v="132"/>
    <x v="424"/>
    <n v="0"/>
    <x v="0"/>
    <x v="0"/>
    <x v="2"/>
  </r>
  <r>
    <x v="0"/>
    <x v="3"/>
    <x v="3"/>
    <x v="0"/>
    <x v="0"/>
    <x v="132"/>
    <x v="424"/>
    <n v="0"/>
    <x v="0"/>
    <x v="0"/>
    <x v="2"/>
  </r>
  <r>
    <x v="0"/>
    <x v="4"/>
    <x v="4"/>
    <x v="0"/>
    <x v="0"/>
    <x v="132"/>
    <x v="424"/>
    <n v="0"/>
    <x v="0"/>
    <x v="0"/>
    <x v="2"/>
  </r>
  <r>
    <x v="0"/>
    <x v="0"/>
    <x v="0"/>
    <x v="0"/>
    <x v="0"/>
    <x v="39"/>
    <x v="425"/>
    <n v="0"/>
    <x v="0"/>
    <x v="0"/>
    <x v="3"/>
  </r>
  <r>
    <x v="0"/>
    <x v="1"/>
    <x v="1"/>
    <x v="0"/>
    <x v="0"/>
    <x v="39"/>
    <x v="425"/>
    <n v="0"/>
    <x v="0"/>
    <x v="0"/>
    <x v="3"/>
  </r>
  <r>
    <x v="0"/>
    <x v="2"/>
    <x v="2"/>
    <x v="0"/>
    <x v="0"/>
    <x v="39"/>
    <x v="425"/>
    <n v="0"/>
    <x v="0"/>
    <x v="0"/>
    <x v="3"/>
  </r>
  <r>
    <x v="0"/>
    <x v="3"/>
    <x v="3"/>
    <x v="0"/>
    <x v="0"/>
    <x v="39"/>
    <x v="425"/>
    <n v="0"/>
    <x v="0"/>
    <x v="0"/>
    <x v="3"/>
  </r>
  <r>
    <x v="0"/>
    <x v="4"/>
    <x v="4"/>
    <x v="0"/>
    <x v="0"/>
    <x v="39"/>
    <x v="425"/>
    <n v="0"/>
    <x v="0"/>
    <x v="0"/>
    <x v="3"/>
  </r>
  <r>
    <x v="0"/>
    <x v="0"/>
    <x v="0"/>
    <x v="0"/>
    <x v="0"/>
    <x v="40"/>
    <x v="426"/>
    <n v="0"/>
    <x v="0"/>
    <x v="0"/>
    <x v="3"/>
  </r>
  <r>
    <x v="0"/>
    <x v="1"/>
    <x v="1"/>
    <x v="0"/>
    <x v="0"/>
    <x v="40"/>
    <x v="426"/>
    <n v="0"/>
    <x v="0"/>
    <x v="0"/>
    <x v="3"/>
  </r>
  <r>
    <x v="0"/>
    <x v="2"/>
    <x v="2"/>
    <x v="0"/>
    <x v="0"/>
    <x v="40"/>
    <x v="426"/>
    <n v="0"/>
    <x v="0"/>
    <x v="0"/>
    <x v="3"/>
  </r>
  <r>
    <x v="0"/>
    <x v="3"/>
    <x v="3"/>
    <x v="0"/>
    <x v="0"/>
    <x v="40"/>
    <x v="426"/>
    <n v="0"/>
    <x v="0"/>
    <x v="0"/>
    <x v="3"/>
  </r>
  <r>
    <x v="0"/>
    <x v="4"/>
    <x v="4"/>
    <x v="0"/>
    <x v="0"/>
    <x v="40"/>
    <x v="426"/>
    <n v="0"/>
    <x v="0"/>
    <x v="0"/>
    <x v="3"/>
  </r>
  <r>
    <x v="0"/>
    <x v="0"/>
    <x v="0"/>
    <x v="0"/>
    <x v="0"/>
    <x v="41"/>
    <x v="427"/>
    <n v="0"/>
    <x v="0"/>
    <x v="0"/>
    <x v="3"/>
  </r>
  <r>
    <x v="0"/>
    <x v="1"/>
    <x v="1"/>
    <x v="0"/>
    <x v="0"/>
    <x v="41"/>
    <x v="427"/>
    <n v="0"/>
    <x v="0"/>
    <x v="0"/>
    <x v="3"/>
  </r>
  <r>
    <x v="0"/>
    <x v="2"/>
    <x v="2"/>
    <x v="0"/>
    <x v="0"/>
    <x v="41"/>
    <x v="427"/>
    <n v="0"/>
    <x v="0"/>
    <x v="0"/>
    <x v="3"/>
  </r>
  <r>
    <x v="0"/>
    <x v="3"/>
    <x v="3"/>
    <x v="0"/>
    <x v="0"/>
    <x v="41"/>
    <x v="427"/>
    <n v="0"/>
    <x v="0"/>
    <x v="0"/>
    <x v="3"/>
  </r>
  <r>
    <x v="0"/>
    <x v="4"/>
    <x v="4"/>
    <x v="0"/>
    <x v="0"/>
    <x v="41"/>
    <x v="427"/>
    <n v="0"/>
    <x v="0"/>
    <x v="0"/>
    <x v="3"/>
  </r>
  <r>
    <x v="0"/>
    <x v="0"/>
    <x v="0"/>
    <x v="0"/>
    <x v="0"/>
    <x v="42"/>
    <x v="428"/>
    <n v="0"/>
    <x v="0"/>
    <x v="0"/>
    <x v="3"/>
  </r>
  <r>
    <x v="0"/>
    <x v="1"/>
    <x v="1"/>
    <x v="0"/>
    <x v="0"/>
    <x v="42"/>
    <x v="428"/>
    <n v="0"/>
    <x v="0"/>
    <x v="0"/>
    <x v="3"/>
  </r>
  <r>
    <x v="0"/>
    <x v="2"/>
    <x v="2"/>
    <x v="0"/>
    <x v="0"/>
    <x v="42"/>
    <x v="428"/>
    <n v="0"/>
    <x v="0"/>
    <x v="0"/>
    <x v="3"/>
  </r>
  <r>
    <x v="0"/>
    <x v="3"/>
    <x v="3"/>
    <x v="0"/>
    <x v="0"/>
    <x v="42"/>
    <x v="428"/>
    <n v="0"/>
    <x v="0"/>
    <x v="0"/>
    <x v="3"/>
  </r>
  <r>
    <x v="0"/>
    <x v="4"/>
    <x v="4"/>
    <x v="0"/>
    <x v="0"/>
    <x v="42"/>
    <x v="428"/>
    <n v="0"/>
    <x v="0"/>
    <x v="0"/>
    <x v="3"/>
  </r>
  <r>
    <x v="0"/>
    <x v="0"/>
    <x v="0"/>
    <x v="0"/>
    <x v="0"/>
    <x v="43"/>
    <x v="429"/>
    <n v="0"/>
    <x v="0"/>
    <x v="0"/>
    <x v="3"/>
  </r>
  <r>
    <x v="0"/>
    <x v="1"/>
    <x v="1"/>
    <x v="0"/>
    <x v="0"/>
    <x v="43"/>
    <x v="429"/>
    <n v="0"/>
    <x v="0"/>
    <x v="0"/>
    <x v="3"/>
  </r>
  <r>
    <x v="0"/>
    <x v="2"/>
    <x v="2"/>
    <x v="0"/>
    <x v="0"/>
    <x v="43"/>
    <x v="429"/>
    <n v="0"/>
    <x v="0"/>
    <x v="0"/>
    <x v="3"/>
  </r>
  <r>
    <x v="0"/>
    <x v="3"/>
    <x v="3"/>
    <x v="0"/>
    <x v="0"/>
    <x v="43"/>
    <x v="429"/>
    <n v="0"/>
    <x v="0"/>
    <x v="0"/>
    <x v="3"/>
  </r>
  <r>
    <x v="0"/>
    <x v="4"/>
    <x v="4"/>
    <x v="0"/>
    <x v="0"/>
    <x v="43"/>
    <x v="429"/>
    <n v="0"/>
    <x v="0"/>
    <x v="0"/>
    <x v="3"/>
  </r>
  <r>
    <x v="0"/>
    <x v="0"/>
    <x v="0"/>
    <x v="0"/>
    <x v="0"/>
    <x v="133"/>
    <x v="430"/>
    <n v="0"/>
    <x v="0"/>
    <x v="0"/>
    <x v="2"/>
  </r>
  <r>
    <x v="0"/>
    <x v="1"/>
    <x v="1"/>
    <x v="0"/>
    <x v="0"/>
    <x v="133"/>
    <x v="430"/>
    <n v="0"/>
    <x v="0"/>
    <x v="0"/>
    <x v="2"/>
  </r>
  <r>
    <x v="0"/>
    <x v="2"/>
    <x v="2"/>
    <x v="0"/>
    <x v="0"/>
    <x v="133"/>
    <x v="430"/>
    <n v="0"/>
    <x v="0"/>
    <x v="0"/>
    <x v="2"/>
  </r>
  <r>
    <x v="0"/>
    <x v="3"/>
    <x v="3"/>
    <x v="0"/>
    <x v="0"/>
    <x v="133"/>
    <x v="430"/>
    <n v="0"/>
    <x v="0"/>
    <x v="0"/>
    <x v="2"/>
  </r>
  <r>
    <x v="0"/>
    <x v="4"/>
    <x v="4"/>
    <x v="0"/>
    <x v="0"/>
    <x v="133"/>
    <x v="430"/>
    <n v="0"/>
    <x v="0"/>
    <x v="0"/>
    <x v="2"/>
  </r>
  <r>
    <x v="0"/>
    <x v="0"/>
    <x v="0"/>
    <x v="0"/>
    <x v="0"/>
    <x v="39"/>
    <x v="431"/>
    <n v="0"/>
    <x v="0"/>
    <x v="0"/>
    <x v="3"/>
  </r>
  <r>
    <x v="0"/>
    <x v="1"/>
    <x v="1"/>
    <x v="0"/>
    <x v="0"/>
    <x v="39"/>
    <x v="431"/>
    <n v="0"/>
    <x v="0"/>
    <x v="0"/>
    <x v="3"/>
  </r>
  <r>
    <x v="0"/>
    <x v="2"/>
    <x v="2"/>
    <x v="0"/>
    <x v="0"/>
    <x v="39"/>
    <x v="431"/>
    <n v="0"/>
    <x v="0"/>
    <x v="0"/>
    <x v="3"/>
  </r>
  <r>
    <x v="0"/>
    <x v="3"/>
    <x v="3"/>
    <x v="0"/>
    <x v="0"/>
    <x v="39"/>
    <x v="431"/>
    <n v="0"/>
    <x v="0"/>
    <x v="0"/>
    <x v="3"/>
  </r>
  <r>
    <x v="0"/>
    <x v="4"/>
    <x v="4"/>
    <x v="0"/>
    <x v="0"/>
    <x v="39"/>
    <x v="431"/>
    <n v="0"/>
    <x v="0"/>
    <x v="0"/>
    <x v="3"/>
  </r>
  <r>
    <x v="0"/>
    <x v="0"/>
    <x v="0"/>
    <x v="0"/>
    <x v="0"/>
    <x v="40"/>
    <x v="432"/>
    <n v="0"/>
    <x v="0"/>
    <x v="0"/>
    <x v="3"/>
  </r>
  <r>
    <x v="0"/>
    <x v="1"/>
    <x v="1"/>
    <x v="0"/>
    <x v="0"/>
    <x v="40"/>
    <x v="432"/>
    <n v="0"/>
    <x v="0"/>
    <x v="0"/>
    <x v="3"/>
  </r>
  <r>
    <x v="0"/>
    <x v="2"/>
    <x v="2"/>
    <x v="0"/>
    <x v="0"/>
    <x v="40"/>
    <x v="432"/>
    <n v="0"/>
    <x v="0"/>
    <x v="0"/>
    <x v="3"/>
  </r>
  <r>
    <x v="0"/>
    <x v="3"/>
    <x v="3"/>
    <x v="0"/>
    <x v="0"/>
    <x v="40"/>
    <x v="432"/>
    <n v="0"/>
    <x v="0"/>
    <x v="0"/>
    <x v="3"/>
  </r>
  <r>
    <x v="0"/>
    <x v="4"/>
    <x v="4"/>
    <x v="0"/>
    <x v="0"/>
    <x v="40"/>
    <x v="432"/>
    <n v="0"/>
    <x v="0"/>
    <x v="0"/>
    <x v="3"/>
  </r>
  <r>
    <x v="0"/>
    <x v="0"/>
    <x v="0"/>
    <x v="0"/>
    <x v="0"/>
    <x v="41"/>
    <x v="433"/>
    <n v="0"/>
    <x v="0"/>
    <x v="0"/>
    <x v="3"/>
  </r>
  <r>
    <x v="0"/>
    <x v="1"/>
    <x v="1"/>
    <x v="0"/>
    <x v="0"/>
    <x v="41"/>
    <x v="433"/>
    <n v="0"/>
    <x v="0"/>
    <x v="0"/>
    <x v="3"/>
  </r>
  <r>
    <x v="0"/>
    <x v="2"/>
    <x v="2"/>
    <x v="0"/>
    <x v="0"/>
    <x v="41"/>
    <x v="433"/>
    <n v="0"/>
    <x v="0"/>
    <x v="0"/>
    <x v="3"/>
  </r>
  <r>
    <x v="0"/>
    <x v="3"/>
    <x v="3"/>
    <x v="0"/>
    <x v="0"/>
    <x v="41"/>
    <x v="433"/>
    <n v="0"/>
    <x v="0"/>
    <x v="0"/>
    <x v="3"/>
  </r>
  <r>
    <x v="0"/>
    <x v="4"/>
    <x v="4"/>
    <x v="0"/>
    <x v="0"/>
    <x v="41"/>
    <x v="433"/>
    <n v="0"/>
    <x v="0"/>
    <x v="0"/>
    <x v="3"/>
  </r>
  <r>
    <x v="0"/>
    <x v="0"/>
    <x v="0"/>
    <x v="0"/>
    <x v="0"/>
    <x v="42"/>
    <x v="434"/>
    <n v="0"/>
    <x v="0"/>
    <x v="0"/>
    <x v="3"/>
  </r>
  <r>
    <x v="0"/>
    <x v="1"/>
    <x v="1"/>
    <x v="0"/>
    <x v="0"/>
    <x v="42"/>
    <x v="434"/>
    <n v="0"/>
    <x v="0"/>
    <x v="0"/>
    <x v="3"/>
  </r>
  <r>
    <x v="0"/>
    <x v="2"/>
    <x v="2"/>
    <x v="0"/>
    <x v="0"/>
    <x v="42"/>
    <x v="434"/>
    <n v="0"/>
    <x v="0"/>
    <x v="0"/>
    <x v="3"/>
  </r>
  <r>
    <x v="0"/>
    <x v="3"/>
    <x v="3"/>
    <x v="0"/>
    <x v="0"/>
    <x v="42"/>
    <x v="434"/>
    <n v="0"/>
    <x v="0"/>
    <x v="0"/>
    <x v="3"/>
  </r>
  <r>
    <x v="0"/>
    <x v="4"/>
    <x v="4"/>
    <x v="0"/>
    <x v="0"/>
    <x v="42"/>
    <x v="434"/>
    <n v="0"/>
    <x v="0"/>
    <x v="0"/>
    <x v="3"/>
  </r>
  <r>
    <x v="0"/>
    <x v="0"/>
    <x v="0"/>
    <x v="0"/>
    <x v="0"/>
    <x v="43"/>
    <x v="435"/>
    <n v="0"/>
    <x v="0"/>
    <x v="0"/>
    <x v="3"/>
  </r>
  <r>
    <x v="0"/>
    <x v="1"/>
    <x v="1"/>
    <x v="0"/>
    <x v="0"/>
    <x v="43"/>
    <x v="435"/>
    <n v="0"/>
    <x v="0"/>
    <x v="0"/>
    <x v="3"/>
  </r>
  <r>
    <x v="0"/>
    <x v="2"/>
    <x v="2"/>
    <x v="0"/>
    <x v="0"/>
    <x v="43"/>
    <x v="435"/>
    <n v="0"/>
    <x v="0"/>
    <x v="0"/>
    <x v="3"/>
  </r>
  <r>
    <x v="0"/>
    <x v="3"/>
    <x v="3"/>
    <x v="0"/>
    <x v="0"/>
    <x v="43"/>
    <x v="435"/>
    <n v="0"/>
    <x v="0"/>
    <x v="0"/>
    <x v="3"/>
  </r>
  <r>
    <x v="0"/>
    <x v="4"/>
    <x v="4"/>
    <x v="0"/>
    <x v="0"/>
    <x v="43"/>
    <x v="435"/>
    <n v="0"/>
    <x v="0"/>
    <x v="0"/>
    <x v="3"/>
  </r>
  <r>
    <x v="0"/>
    <x v="0"/>
    <x v="0"/>
    <x v="0"/>
    <x v="0"/>
    <x v="134"/>
    <x v="436"/>
    <n v="0"/>
    <x v="0"/>
    <x v="0"/>
    <x v="2"/>
  </r>
  <r>
    <x v="0"/>
    <x v="1"/>
    <x v="1"/>
    <x v="0"/>
    <x v="0"/>
    <x v="134"/>
    <x v="436"/>
    <n v="0"/>
    <x v="0"/>
    <x v="0"/>
    <x v="2"/>
  </r>
  <r>
    <x v="0"/>
    <x v="2"/>
    <x v="2"/>
    <x v="0"/>
    <x v="0"/>
    <x v="134"/>
    <x v="436"/>
    <n v="0"/>
    <x v="0"/>
    <x v="0"/>
    <x v="2"/>
  </r>
  <r>
    <x v="0"/>
    <x v="3"/>
    <x v="3"/>
    <x v="0"/>
    <x v="0"/>
    <x v="134"/>
    <x v="436"/>
    <n v="0"/>
    <x v="0"/>
    <x v="0"/>
    <x v="2"/>
  </r>
  <r>
    <x v="0"/>
    <x v="4"/>
    <x v="4"/>
    <x v="0"/>
    <x v="0"/>
    <x v="134"/>
    <x v="436"/>
    <n v="0"/>
    <x v="0"/>
    <x v="0"/>
    <x v="2"/>
  </r>
  <r>
    <x v="0"/>
    <x v="0"/>
    <x v="0"/>
    <x v="0"/>
    <x v="0"/>
    <x v="39"/>
    <x v="437"/>
    <n v="0"/>
    <x v="0"/>
    <x v="0"/>
    <x v="3"/>
  </r>
  <r>
    <x v="0"/>
    <x v="1"/>
    <x v="1"/>
    <x v="0"/>
    <x v="0"/>
    <x v="39"/>
    <x v="437"/>
    <n v="0"/>
    <x v="0"/>
    <x v="0"/>
    <x v="3"/>
  </r>
  <r>
    <x v="0"/>
    <x v="2"/>
    <x v="2"/>
    <x v="0"/>
    <x v="0"/>
    <x v="39"/>
    <x v="437"/>
    <n v="0"/>
    <x v="0"/>
    <x v="0"/>
    <x v="3"/>
  </r>
  <r>
    <x v="0"/>
    <x v="3"/>
    <x v="3"/>
    <x v="0"/>
    <x v="0"/>
    <x v="39"/>
    <x v="437"/>
    <n v="0"/>
    <x v="0"/>
    <x v="0"/>
    <x v="3"/>
  </r>
  <r>
    <x v="0"/>
    <x v="4"/>
    <x v="4"/>
    <x v="0"/>
    <x v="0"/>
    <x v="39"/>
    <x v="437"/>
    <n v="0"/>
    <x v="0"/>
    <x v="0"/>
    <x v="3"/>
  </r>
  <r>
    <x v="0"/>
    <x v="0"/>
    <x v="0"/>
    <x v="0"/>
    <x v="0"/>
    <x v="40"/>
    <x v="438"/>
    <n v="0"/>
    <x v="0"/>
    <x v="0"/>
    <x v="3"/>
  </r>
  <r>
    <x v="0"/>
    <x v="1"/>
    <x v="1"/>
    <x v="0"/>
    <x v="0"/>
    <x v="40"/>
    <x v="438"/>
    <n v="0"/>
    <x v="0"/>
    <x v="0"/>
    <x v="3"/>
  </r>
  <r>
    <x v="0"/>
    <x v="2"/>
    <x v="2"/>
    <x v="0"/>
    <x v="0"/>
    <x v="40"/>
    <x v="438"/>
    <n v="0"/>
    <x v="0"/>
    <x v="0"/>
    <x v="3"/>
  </r>
  <r>
    <x v="0"/>
    <x v="3"/>
    <x v="3"/>
    <x v="0"/>
    <x v="0"/>
    <x v="40"/>
    <x v="438"/>
    <n v="0"/>
    <x v="0"/>
    <x v="0"/>
    <x v="3"/>
  </r>
  <r>
    <x v="0"/>
    <x v="4"/>
    <x v="4"/>
    <x v="0"/>
    <x v="0"/>
    <x v="40"/>
    <x v="438"/>
    <n v="0"/>
    <x v="0"/>
    <x v="0"/>
    <x v="3"/>
  </r>
  <r>
    <x v="0"/>
    <x v="0"/>
    <x v="0"/>
    <x v="0"/>
    <x v="0"/>
    <x v="120"/>
    <x v="439"/>
    <n v="0"/>
    <x v="0"/>
    <x v="0"/>
    <x v="3"/>
  </r>
  <r>
    <x v="0"/>
    <x v="1"/>
    <x v="1"/>
    <x v="0"/>
    <x v="0"/>
    <x v="120"/>
    <x v="439"/>
    <n v="0"/>
    <x v="0"/>
    <x v="0"/>
    <x v="3"/>
  </r>
  <r>
    <x v="0"/>
    <x v="2"/>
    <x v="2"/>
    <x v="0"/>
    <x v="0"/>
    <x v="120"/>
    <x v="439"/>
    <n v="0"/>
    <x v="0"/>
    <x v="0"/>
    <x v="3"/>
  </r>
  <r>
    <x v="0"/>
    <x v="3"/>
    <x v="3"/>
    <x v="0"/>
    <x v="0"/>
    <x v="120"/>
    <x v="439"/>
    <n v="0"/>
    <x v="0"/>
    <x v="0"/>
    <x v="3"/>
  </r>
  <r>
    <x v="0"/>
    <x v="4"/>
    <x v="4"/>
    <x v="0"/>
    <x v="0"/>
    <x v="120"/>
    <x v="439"/>
    <n v="0"/>
    <x v="0"/>
    <x v="0"/>
    <x v="3"/>
  </r>
  <r>
    <x v="0"/>
    <x v="0"/>
    <x v="0"/>
    <x v="0"/>
    <x v="0"/>
    <x v="121"/>
    <x v="440"/>
    <n v="0"/>
    <x v="0"/>
    <x v="0"/>
    <x v="3"/>
  </r>
  <r>
    <x v="0"/>
    <x v="1"/>
    <x v="1"/>
    <x v="0"/>
    <x v="0"/>
    <x v="121"/>
    <x v="440"/>
    <n v="0"/>
    <x v="0"/>
    <x v="0"/>
    <x v="3"/>
  </r>
  <r>
    <x v="0"/>
    <x v="2"/>
    <x v="2"/>
    <x v="0"/>
    <x v="0"/>
    <x v="121"/>
    <x v="440"/>
    <n v="0"/>
    <x v="0"/>
    <x v="0"/>
    <x v="3"/>
  </r>
  <r>
    <x v="0"/>
    <x v="3"/>
    <x v="3"/>
    <x v="0"/>
    <x v="0"/>
    <x v="121"/>
    <x v="440"/>
    <n v="0"/>
    <x v="0"/>
    <x v="0"/>
    <x v="3"/>
  </r>
  <r>
    <x v="0"/>
    <x v="4"/>
    <x v="4"/>
    <x v="0"/>
    <x v="0"/>
    <x v="121"/>
    <x v="440"/>
    <n v="0"/>
    <x v="0"/>
    <x v="0"/>
    <x v="3"/>
  </r>
  <r>
    <x v="0"/>
    <x v="0"/>
    <x v="0"/>
    <x v="0"/>
    <x v="0"/>
    <x v="122"/>
    <x v="441"/>
    <n v="0"/>
    <x v="0"/>
    <x v="0"/>
    <x v="3"/>
  </r>
  <r>
    <x v="0"/>
    <x v="1"/>
    <x v="1"/>
    <x v="0"/>
    <x v="0"/>
    <x v="122"/>
    <x v="441"/>
    <n v="0"/>
    <x v="0"/>
    <x v="0"/>
    <x v="3"/>
  </r>
  <r>
    <x v="0"/>
    <x v="2"/>
    <x v="2"/>
    <x v="0"/>
    <x v="0"/>
    <x v="122"/>
    <x v="441"/>
    <n v="0"/>
    <x v="0"/>
    <x v="0"/>
    <x v="3"/>
  </r>
  <r>
    <x v="0"/>
    <x v="3"/>
    <x v="3"/>
    <x v="0"/>
    <x v="0"/>
    <x v="122"/>
    <x v="441"/>
    <n v="0"/>
    <x v="0"/>
    <x v="0"/>
    <x v="3"/>
  </r>
  <r>
    <x v="0"/>
    <x v="4"/>
    <x v="4"/>
    <x v="0"/>
    <x v="0"/>
    <x v="122"/>
    <x v="441"/>
    <n v="0"/>
    <x v="0"/>
    <x v="0"/>
    <x v="3"/>
  </r>
  <r>
    <x v="0"/>
    <x v="0"/>
    <x v="0"/>
    <x v="0"/>
    <x v="0"/>
    <x v="123"/>
    <x v="442"/>
    <n v="0"/>
    <x v="0"/>
    <x v="0"/>
    <x v="3"/>
  </r>
  <r>
    <x v="0"/>
    <x v="1"/>
    <x v="1"/>
    <x v="0"/>
    <x v="0"/>
    <x v="123"/>
    <x v="442"/>
    <n v="0"/>
    <x v="0"/>
    <x v="0"/>
    <x v="3"/>
  </r>
  <r>
    <x v="0"/>
    <x v="2"/>
    <x v="2"/>
    <x v="0"/>
    <x v="0"/>
    <x v="123"/>
    <x v="442"/>
    <n v="0"/>
    <x v="0"/>
    <x v="0"/>
    <x v="3"/>
  </r>
  <r>
    <x v="0"/>
    <x v="3"/>
    <x v="3"/>
    <x v="0"/>
    <x v="0"/>
    <x v="123"/>
    <x v="442"/>
    <n v="0"/>
    <x v="0"/>
    <x v="0"/>
    <x v="3"/>
  </r>
  <r>
    <x v="0"/>
    <x v="4"/>
    <x v="4"/>
    <x v="0"/>
    <x v="0"/>
    <x v="123"/>
    <x v="442"/>
    <n v="0"/>
    <x v="0"/>
    <x v="0"/>
    <x v="3"/>
  </r>
  <r>
    <x v="0"/>
    <x v="0"/>
    <x v="0"/>
    <x v="0"/>
    <x v="0"/>
    <x v="135"/>
    <x v="443"/>
    <n v="0"/>
    <x v="0"/>
    <x v="0"/>
    <x v="2"/>
  </r>
  <r>
    <x v="0"/>
    <x v="1"/>
    <x v="1"/>
    <x v="0"/>
    <x v="0"/>
    <x v="135"/>
    <x v="443"/>
    <n v="0"/>
    <x v="0"/>
    <x v="0"/>
    <x v="2"/>
  </r>
  <r>
    <x v="0"/>
    <x v="2"/>
    <x v="2"/>
    <x v="0"/>
    <x v="0"/>
    <x v="135"/>
    <x v="443"/>
    <n v="0"/>
    <x v="0"/>
    <x v="0"/>
    <x v="2"/>
  </r>
  <r>
    <x v="0"/>
    <x v="3"/>
    <x v="3"/>
    <x v="0"/>
    <x v="0"/>
    <x v="135"/>
    <x v="443"/>
    <n v="0"/>
    <x v="0"/>
    <x v="0"/>
    <x v="2"/>
  </r>
  <r>
    <x v="0"/>
    <x v="4"/>
    <x v="4"/>
    <x v="0"/>
    <x v="0"/>
    <x v="135"/>
    <x v="443"/>
    <n v="0"/>
    <x v="0"/>
    <x v="0"/>
    <x v="2"/>
  </r>
  <r>
    <x v="0"/>
    <x v="0"/>
    <x v="0"/>
    <x v="0"/>
    <x v="0"/>
    <x v="39"/>
    <x v="444"/>
    <n v="0"/>
    <x v="0"/>
    <x v="0"/>
    <x v="3"/>
  </r>
  <r>
    <x v="0"/>
    <x v="1"/>
    <x v="1"/>
    <x v="0"/>
    <x v="0"/>
    <x v="39"/>
    <x v="444"/>
    <n v="0"/>
    <x v="0"/>
    <x v="0"/>
    <x v="3"/>
  </r>
  <r>
    <x v="0"/>
    <x v="2"/>
    <x v="2"/>
    <x v="0"/>
    <x v="0"/>
    <x v="39"/>
    <x v="444"/>
    <n v="0"/>
    <x v="0"/>
    <x v="0"/>
    <x v="3"/>
  </r>
  <r>
    <x v="0"/>
    <x v="3"/>
    <x v="3"/>
    <x v="0"/>
    <x v="0"/>
    <x v="39"/>
    <x v="444"/>
    <n v="0"/>
    <x v="0"/>
    <x v="0"/>
    <x v="3"/>
  </r>
  <r>
    <x v="0"/>
    <x v="4"/>
    <x v="4"/>
    <x v="0"/>
    <x v="0"/>
    <x v="39"/>
    <x v="444"/>
    <n v="0"/>
    <x v="0"/>
    <x v="0"/>
    <x v="3"/>
  </r>
  <r>
    <x v="0"/>
    <x v="0"/>
    <x v="0"/>
    <x v="0"/>
    <x v="0"/>
    <x v="40"/>
    <x v="445"/>
    <n v="0"/>
    <x v="0"/>
    <x v="0"/>
    <x v="3"/>
  </r>
  <r>
    <x v="0"/>
    <x v="1"/>
    <x v="1"/>
    <x v="0"/>
    <x v="0"/>
    <x v="40"/>
    <x v="445"/>
    <n v="0"/>
    <x v="0"/>
    <x v="0"/>
    <x v="3"/>
  </r>
  <r>
    <x v="0"/>
    <x v="2"/>
    <x v="2"/>
    <x v="0"/>
    <x v="0"/>
    <x v="40"/>
    <x v="445"/>
    <n v="0"/>
    <x v="0"/>
    <x v="0"/>
    <x v="3"/>
  </r>
  <r>
    <x v="0"/>
    <x v="3"/>
    <x v="3"/>
    <x v="0"/>
    <x v="0"/>
    <x v="40"/>
    <x v="445"/>
    <n v="0"/>
    <x v="0"/>
    <x v="0"/>
    <x v="3"/>
  </r>
  <r>
    <x v="0"/>
    <x v="4"/>
    <x v="4"/>
    <x v="0"/>
    <x v="0"/>
    <x v="40"/>
    <x v="445"/>
    <n v="0"/>
    <x v="0"/>
    <x v="0"/>
    <x v="3"/>
  </r>
  <r>
    <x v="0"/>
    <x v="0"/>
    <x v="0"/>
    <x v="0"/>
    <x v="0"/>
    <x v="41"/>
    <x v="446"/>
    <n v="0"/>
    <x v="0"/>
    <x v="0"/>
    <x v="3"/>
  </r>
  <r>
    <x v="0"/>
    <x v="1"/>
    <x v="1"/>
    <x v="0"/>
    <x v="0"/>
    <x v="41"/>
    <x v="446"/>
    <n v="0"/>
    <x v="0"/>
    <x v="0"/>
    <x v="3"/>
  </r>
  <r>
    <x v="0"/>
    <x v="2"/>
    <x v="2"/>
    <x v="0"/>
    <x v="0"/>
    <x v="41"/>
    <x v="446"/>
    <n v="0"/>
    <x v="0"/>
    <x v="0"/>
    <x v="3"/>
  </r>
  <r>
    <x v="0"/>
    <x v="3"/>
    <x v="3"/>
    <x v="0"/>
    <x v="0"/>
    <x v="41"/>
    <x v="446"/>
    <n v="0"/>
    <x v="0"/>
    <x v="0"/>
    <x v="3"/>
  </r>
  <r>
    <x v="0"/>
    <x v="4"/>
    <x v="4"/>
    <x v="0"/>
    <x v="0"/>
    <x v="41"/>
    <x v="446"/>
    <n v="0"/>
    <x v="0"/>
    <x v="0"/>
    <x v="3"/>
  </r>
  <r>
    <x v="0"/>
    <x v="0"/>
    <x v="0"/>
    <x v="0"/>
    <x v="0"/>
    <x v="42"/>
    <x v="447"/>
    <n v="0"/>
    <x v="0"/>
    <x v="0"/>
    <x v="3"/>
  </r>
  <r>
    <x v="0"/>
    <x v="1"/>
    <x v="1"/>
    <x v="0"/>
    <x v="0"/>
    <x v="42"/>
    <x v="447"/>
    <n v="0"/>
    <x v="0"/>
    <x v="0"/>
    <x v="3"/>
  </r>
  <r>
    <x v="0"/>
    <x v="2"/>
    <x v="2"/>
    <x v="0"/>
    <x v="0"/>
    <x v="42"/>
    <x v="447"/>
    <n v="0"/>
    <x v="0"/>
    <x v="0"/>
    <x v="3"/>
  </r>
  <r>
    <x v="0"/>
    <x v="3"/>
    <x v="3"/>
    <x v="0"/>
    <x v="0"/>
    <x v="42"/>
    <x v="447"/>
    <n v="0"/>
    <x v="0"/>
    <x v="0"/>
    <x v="3"/>
  </r>
  <r>
    <x v="0"/>
    <x v="4"/>
    <x v="4"/>
    <x v="0"/>
    <x v="0"/>
    <x v="42"/>
    <x v="447"/>
    <n v="0"/>
    <x v="0"/>
    <x v="0"/>
    <x v="3"/>
  </r>
  <r>
    <x v="0"/>
    <x v="0"/>
    <x v="0"/>
    <x v="0"/>
    <x v="0"/>
    <x v="43"/>
    <x v="448"/>
    <n v="0"/>
    <x v="0"/>
    <x v="0"/>
    <x v="3"/>
  </r>
  <r>
    <x v="0"/>
    <x v="1"/>
    <x v="1"/>
    <x v="0"/>
    <x v="0"/>
    <x v="43"/>
    <x v="448"/>
    <n v="0"/>
    <x v="0"/>
    <x v="0"/>
    <x v="3"/>
  </r>
  <r>
    <x v="0"/>
    <x v="2"/>
    <x v="2"/>
    <x v="0"/>
    <x v="0"/>
    <x v="43"/>
    <x v="448"/>
    <n v="0"/>
    <x v="0"/>
    <x v="0"/>
    <x v="3"/>
  </r>
  <r>
    <x v="0"/>
    <x v="3"/>
    <x v="3"/>
    <x v="0"/>
    <x v="0"/>
    <x v="43"/>
    <x v="448"/>
    <n v="0"/>
    <x v="0"/>
    <x v="0"/>
    <x v="3"/>
  </r>
  <r>
    <x v="0"/>
    <x v="4"/>
    <x v="4"/>
    <x v="0"/>
    <x v="0"/>
    <x v="43"/>
    <x v="448"/>
    <n v="0"/>
    <x v="0"/>
    <x v="0"/>
    <x v="3"/>
  </r>
  <r>
    <x v="0"/>
    <x v="0"/>
    <x v="0"/>
    <x v="0"/>
    <x v="0"/>
    <x v="136"/>
    <x v="449"/>
    <n v="0"/>
    <x v="0"/>
    <x v="0"/>
    <x v="2"/>
  </r>
  <r>
    <x v="0"/>
    <x v="1"/>
    <x v="1"/>
    <x v="0"/>
    <x v="0"/>
    <x v="136"/>
    <x v="449"/>
    <n v="201.63"/>
    <x v="0"/>
    <x v="0"/>
    <x v="2"/>
  </r>
  <r>
    <x v="0"/>
    <x v="2"/>
    <x v="2"/>
    <x v="0"/>
    <x v="0"/>
    <x v="136"/>
    <x v="449"/>
    <n v="307889.21000000002"/>
    <x v="0"/>
    <x v="0"/>
    <x v="2"/>
  </r>
  <r>
    <x v="0"/>
    <x v="3"/>
    <x v="3"/>
    <x v="0"/>
    <x v="0"/>
    <x v="136"/>
    <x v="449"/>
    <n v="0"/>
    <x v="0"/>
    <x v="0"/>
    <x v="2"/>
  </r>
  <r>
    <x v="0"/>
    <x v="4"/>
    <x v="4"/>
    <x v="0"/>
    <x v="0"/>
    <x v="136"/>
    <x v="449"/>
    <n v="308090.84000000003"/>
    <x v="0"/>
    <x v="0"/>
    <x v="2"/>
  </r>
  <r>
    <x v="0"/>
    <x v="0"/>
    <x v="0"/>
    <x v="0"/>
    <x v="0"/>
    <x v="39"/>
    <x v="450"/>
    <n v="0"/>
    <x v="0"/>
    <x v="0"/>
    <x v="3"/>
  </r>
  <r>
    <x v="0"/>
    <x v="1"/>
    <x v="1"/>
    <x v="0"/>
    <x v="0"/>
    <x v="39"/>
    <x v="450"/>
    <n v="0"/>
    <x v="0"/>
    <x v="0"/>
    <x v="3"/>
  </r>
  <r>
    <x v="0"/>
    <x v="2"/>
    <x v="2"/>
    <x v="0"/>
    <x v="0"/>
    <x v="39"/>
    <x v="450"/>
    <n v="0"/>
    <x v="0"/>
    <x v="0"/>
    <x v="3"/>
  </r>
  <r>
    <x v="0"/>
    <x v="3"/>
    <x v="3"/>
    <x v="0"/>
    <x v="0"/>
    <x v="39"/>
    <x v="450"/>
    <n v="0"/>
    <x v="0"/>
    <x v="0"/>
    <x v="3"/>
  </r>
  <r>
    <x v="0"/>
    <x v="4"/>
    <x v="4"/>
    <x v="0"/>
    <x v="0"/>
    <x v="39"/>
    <x v="450"/>
    <n v="0"/>
    <x v="0"/>
    <x v="0"/>
    <x v="3"/>
  </r>
  <r>
    <x v="0"/>
    <x v="0"/>
    <x v="0"/>
    <x v="0"/>
    <x v="0"/>
    <x v="40"/>
    <x v="451"/>
    <n v="0"/>
    <x v="0"/>
    <x v="0"/>
    <x v="3"/>
  </r>
  <r>
    <x v="0"/>
    <x v="1"/>
    <x v="1"/>
    <x v="0"/>
    <x v="0"/>
    <x v="40"/>
    <x v="451"/>
    <n v="201.63"/>
    <x v="0"/>
    <x v="0"/>
    <x v="3"/>
  </r>
  <r>
    <x v="0"/>
    <x v="2"/>
    <x v="2"/>
    <x v="0"/>
    <x v="0"/>
    <x v="40"/>
    <x v="451"/>
    <n v="5860.8"/>
    <x v="0"/>
    <x v="0"/>
    <x v="3"/>
  </r>
  <r>
    <x v="0"/>
    <x v="3"/>
    <x v="3"/>
    <x v="0"/>
    <x v="0"/>
    <x v="40"/>
    <x v="451"/>
    <n v="0"/>
    <x v="0"/>
    <x v="0"/>
    <x v="3"/>
  </r>
  <r>
    <x v="0"/>
    <x v="4"/>
    <x v="4"/>
    <x v="0"/>
    <x v="0"/>
    <x v="40"/>
    <x v="451"/>
    <n v="6062.43"/>
    <x v="0"/>
    <x v="0"/>
    <x v="3"/>
  </r>
  <r>
    <x v="0"/>
    <x v="0"/>
    <x v="0"/>
    <x v="0"/>
    <x v="0"/>
    <x v="41"/>
    <x v="452"/>
    <n v="0"/>
    <x v="0"/>
    <x v="0"/>
    <x v="3"/>
  </r>
  <r>
    <x v="0"/>
    <x v="1"/>
    <x v="1"/>
    <x v="0"/>
    <x v="0"/>
    <x v="41"/>
    <x v="452"/>
    <n v="0"/>
    <x v="0"/>
    <x v="0"/>
    <x v="3"/>
  </r>
  <r>
    <x v="0"/>
    <x v="2"/>
    <x v="2"/>
    <x v="0"/>
    <x v="0"/>
    <x v="41"/>
    <x v="452"/>
    <n v="40341.97"/>
    <x v="0"/>
    <x v="0"/>
    <x v="3"/>
  </r>
  <r>
    <x v="0"/>
    <x v="3"/>
    <x v="3"/>
    <x v="0"/>
    <x v="0"/>
    <x v="41"/>
    <x v="452"/>
    <n v="0"/>
    <x v="0"/>
    <x v="0"/>
    <x v="3"/>
  </r>
  <r>
    <x v="0"/>
    <x v="4"/>
    <x v="4"/>
    <x v="0"/>
    <x v="0"/>
    <x v="41"/>
    <x v="452"/>
    <n v="40341.97"/>
    <x v="0"/>
    <x v="0"/>
    <x v="3"/>
  </r>
  <r>
    <x v="0"/>
    <x v="0"/>
    <x v="0"/>
    <x v="0"/>
    <x v="0"/>
    <x v="117"/>
    <x v="453"/>
    <n v="0"/>
    <x v="0"/>
    <x v="0"/>
    <x v="3"/>
  </r>
  <r>
    <x v="0"/>
    <x v="1"/>
    <x v="1"/>
    <x v="0"/>
    <x v="0"/>
    <x v="117"/>
    <x v="453"/>
    <n v="0"/>
    <x v="0"/>
    <x v="0"/>
    <x v="3"/>
  </r>
  <r>
    <x v="0"/>
    <x v="2"/>
    <x v="2"/>
    <x v="0"/>
    <x v="0"/>
    <x v="117"/>
    <x v="453"/>
    <n v="30332.23"/>
    <x v="0"/>
    <x v="0"/>
    <x v="3"/>
  </r>
  <r>
    <x v="0"/>
    <x v="3"/>
    <x v="3"/>
    <x v="0"/>
    <x v="0"/>
    <x v="117"/>
    <x v="453"/>
    <n v="0"/>
    <x v="0"/>
    <x v="0"/>
    <x v="3"/>
  </r>
  <r>
    <x v="0"/>
    <x v="4"/>
    <x v="4"/>
    <x v="0"/>
    <x v="0"/>
    <x v="117"/>
    <x v="453"/>
    <n v="30332.23"/>
    <x v="0"/>
    <x v="0"/>
    <x v="3"/>
  </r>
  <r>
    <x v="0"/>
    <x v="0"/>
    <x v="0"/>
    <x v="0"/>
    <x v="0"/>
    <x v="118"/>
    <x v="454"/>
    <n v="0"/>
    <x v="0"/>
    <x v="0"/>
    <x v="3"/>
  </r>
  <r>
    <x v="0"/>
    <x v="1"/>
    <x v="1"/>
    <x v="0"/>
    <x v="0"/>
    <x v="118"/>
    <x v="454"/>
    <n v="0"/>
    <x v="0"/>
    <x v="0"/>
    <x v="3"/>
  </r>
  <r>
    <x v="0"/>
    <x v="2"/>
    <x v="2"/>
    <x v="0"/>
    <x v="0"/>
    <x v="118"/>
    <x v="454"/>
    <n v="231354.21"/>
    <x v="0"/>
    <x v="0"/>
    <x v="3"/>
  </r>
  <r>
    <x v="0"/>
    <x v="3"/>
    <x v="3"/>
    <x v="0"/>
    <x v="0"/>
    <x v="118"/>
    <x v="454"/>
    <n v="0"/>
    <x v="0"/>
    <x v="0"/>
    <x v="3"/>
  </r>
  <r>
    <x v="0"/>
    <x v="4"/>
    <x v="4"/>
    <x v="0"/>
    <x v="0"/>
    <x v="118"/>
    <x v="454"/>
    <n v="231354.21"/>
    <x v="0"/>
    <x v="0"/>
    <x v="3"/>
  </r>
  <r>
    <x v="0"/>
    <x v="0"/>
    <x v="0"/>
    <x v="0"/>
    <x v="0"/>
    <x v="137"/>
    <x v="455"/>
    <n v="0"/>
    <x v="0"/>
    <x v="0"/>
    <x v="2"/>
  </r>
  <r>
    <x v="0"/>
    <x v="1"/>
    <x v="1"/>
    <x v="0"/>
    <x v="0"/>
    <x v="137"/>
    <x v="455"/>
    <n v="0"/>
    <x v="0"/>
    <x v="0"/>
    <x v="2"/>
  </r>
  <r>
    <x v="0"/>
    <x v="2"/>
    <x v="2"/>
    <x v="0"/>
    <x v="0"/>
    <x v="137"/>
    <x v="455"/>
    <n v="0"/>
    <x v="0"/>
    <x v="0"/>
    <x v="2"/>
  </r>
  <r>
    <x v="0"/>
    <x v="3"/>
    <x v="3"/>
    <x v="0"/>
    <x v="0"/>
    <x v="137"/>
    <x v="455"/>
    <n v="0"/>
    <x v="0"/>
    <x v="0"/>
    <x v="2"/>
  </r>
  <r>
    <x v="0"/>
    <x v="4"/>
    <x v="4"/>
    <x v="0"/>
    <x v="0"/>
    <x v="137"/>
    <x v="455"/>
    <n v="0"/>
    <x v="0"/>
    <x v="0"/>
    <x v="2"/>
  </r>
  <r>
    <x v="0"/>
    <x v="0"/>
    <x v="0"/>
    <x v="0"/>
    <x v="0"/>
    <x v="39"/>
    <x v="456"/>
    <n v="0"/>
    <x v="0"/>
    <x v="0"/>
    <x v="3"/>
  </r>
  <r>
    <x v="0"/>
    <x v="1"/>
    <x v="1"/>
    <x v="0"/>
    <x v="0"/>
    <x v="39"/>
    <x v="456"/>
    <n v="0"/>
    <x v="0"/>
    <x v="0"/>
    <x v="3"/>
  </r>
  <r>
    <x v="0"/>
    <x v="2"/>
    <x v="2"/>
    <x v="0"/>
    <x v="0"/>
    <x v="39"/>
    <x v="456"/>
    <n v="0"/>
    <x v="0"/>
    <x v="0"/>
    <x v="3"/>
  </r>
  <r>
    <x v="0"/>
    <x v="3"/>
    <x v="3"/>
    <x v="0"/>
    <x v="0"/>
    <x v="39"/>
    <x v="456"/>
    <n v="0"/>
    <x v="0"/>
    <x v="0"/>
    <x v="3"/>
  </r>
  <r>
    <x v="0"/>
    <x v="4"/>
    <x v="4"/>
    <x v="0"/>
    <x v="0"/>
    <x v="39"/>
    <x v="456"/>
    <n v="0"/>
    <x v="0"/>
    <x v="0"/>
    <x v="3"/>
  </r>
  <r>
    <x v="0"/>
    <x v="0"/>
    <x v="0"/>
    <x v="0"/>
    <x v="0"/>
    <x v="40"/>
    <x v="457"/>
    <n v="0"/>
    <x v="0"/>
    <x v="0"/>
    <x v="3"/>
  </r>
  <r>
    <x v="0"/>
    <x v="1"/>
    <x v="1"/>
    <x v="0"/>
    <x v="0"/>
    <x v="40"/>
    <x v="457"/>
    <n v="0"/>
    <x v="0"/>
    <x v="0"/>
    <x v="3"/>
  </r>
  <r>
    <x v="0"/>
    <x v="2"/>
    <x v="2"/>
    <x v="0"/>
    <x v="0"/>
    <x v="40"/>
    <x v="457"/>
    <n v="0"/>
    <x v="0"/>
    <x v="0"/>
    <x v="3"/>
  </r>
  <r>
    <x v="0"/>
    <x v="3"/>
    <x v="3"/>
    <x v="0"/>
    <x v="0"/>
    <x v="40"/>
    <x v="457"/>
    <n v="0"/>
    <x v="0"/>
    <x v="0"/>
    <x v="3"/>
  </r>
  <r>
    <x v="0"/>
    <x v="4"/>
    <x v="4"/>
    <x v="0"/>
    <x v="0"/>
    <x v="40"/>
    <x v="457"/>
    <n v="0"/>
    <x v="0"/>
    <x v="0"/>
    <x v="3"/>
  </r>
  <r>
    <x v="0"/>
    <x v="0"/>
    <x v="0"/>
    <x v="0"/>
    <x v="0"/>
    <x v="120"/>
    <x v="458"/>
    <n v="0"/>
    <x v="0"/>
    <x v="0"/>
    <x v="3"/>
  </r>
  <r>
    <x v="0"/>
    <x v="1"/>
    <x v="1"/>
    <x v="0"/>
    <x v="0"/>
    <x v="120"/>
    <x v="458"/>
    <n v="0"/>
    <x v="0"/>
    <x v="0"/>
    <x v="3"/>
  </r>
  <r>
    <x v="0"/>
    <x v="2"/>
    <x v="2"/>
    <x v="0"/>
    <x v="0"/>
    <x v="120"/>
    <x v="458"/>
    <n v="0"/>
    <x v="0"/>
    <x v="0"/>
    <x v="3"/>
  </r>
  <r>
    <x v="0"/>
    <x v="3"/>
    <x v="3"/>
    <x v="0"/>
    <x v="0"/>
    <x v="120"/>
    <x v="458"/>
    <n v="0"/>
    <x v="0"/>
    <x v="0"/>
    <x v="3"/>
  </r>
  <r>
    <x v="0"/>
    <x v="4"/>
    <x v="4"/>
    <x v="0"/>
    <x v="0"/>
    <x v="120"/>
    <x v="458"/>
    <n v="0"/>
    <x v="0"/>
    <x v="0"/>
    <x v="3"/>
  </r>
  <r>
    <x v="0"/>
    <x v="0"/>
    <x v="0"/>
    <x v="0"/>
    <x v="0"/>
    <x v="121"/>
    <x v="459"/>
    <n v="0"/>
    <x v="0"/>
    <x v="0"/>
    <x v="3"/>
  </r>
  <r>
    <x v="0"/>
    <x v="1"/>
    <x v="1"/>
    <x v="0"/>
    <x v="0"/>
    <x v="121"/>
    <x v="459"/>
    <n v="0"/>
    <x v="0"/>
    <x v="0"/>
    <x v="3"/>
  </r>
  <r>
    <x v="0"/>
    <x v="2"/>
    <x v="2"/>
    <x v="0"/>
    <x v="0"/>
    <x v="121"/>
    <x v="459"/>
    <n v="0"/>
    <x v="0"/>
    <x v="0"/>
    <x v="3"/>
  </r>
  <r>
    <x v="0"/>
    <x v="3"/>
    <x v="3"/>
    <x v="0"/>
    <x v="0"/>
    <x v="121"/>
    <x v="459"/>
    <n v="0"/>
    <x v="0"/>
    <x v="0"/>
    <x v="3"/>
  </r>
  <r>
    <x v="0"/>
    <x v="4"/>
    <x v="4"/>
    <x v="0"/>
    <x v="0"/>
    <x v="121"/>
    <x v="459"/>
    <n v="0"/>
    <x v="0"/>
    <x v="0"/>
    <x v="3"/>
  </r>
  <r>
    <x v="0"/>
    <x v="0"/>
    <x v="0"/>
    <x v="0"/>
    <x v="0"/>
    <x v="122"/>
    <x v="460"/>
    <n v="0"/>
    <x v="0"/>
    <x v="0"/>
    <x v="3"/>
  </r>
  <r>
    <x v="0"/>
    <x v="1"/>
    <x v="1"/>
    <x v="0"/>
    <x v="0"/>
    <x v="122"/>
    <x v="460"/>
    <n v="0"/>
    <x v="0"/>
    <x v="0"/>
    <x v="3"/>
  </r>
  <r>
    <x v="0"/>
    <x v="2"/>
    <x v="2"/>
    <x v="0"/>
    <x v="0"/>
    <x v="122"/>
    <x v="460"/>
    <n v="0"/>
    <x v="0"/>
    <x v="0"/>
    <x v="3"/>
  </r>
  <r>
    <x v="0"/>
    <x v="3"/>
    <x v="3"/>
    <x v="0"/>
    <x v="0"/>
    <x v="122"/>
    <x v="460"/>
    <n v="0"/>
    <x v="0"/>
    <x v="0"/>
    <x v="3"/>
  </r>
  <r>
    <x v="0"/>
    <x v="4"/>
    <x v="4"/>
    <x v="0"/>
    <x v="0"/>
    <x v="122"/>
    <x v="460"/>
    <n v="0"/>
    <x v="0"/>
    <x v="0"/>
    <x v="3"/>
  </r>
  <r>
    <x v="0"/>
    <x v="0"/>
    <x v="0"/>
    <x v="0"/>
    <x v="0"/>
    <x v="123"/>
    <x v="461"/>
    <n v="0"/>
    <x v="0"/>
    <x v="0"/>
    <x v="3"/>
  </r>
  <r>
    <x v="0"/>
    <x v="1"/>
    <x v="1"/>
    <x v="0"/>
    <x v="0"/>
    <x v="123"/>
    <x v="461"/>
    <n v="0"/>
    <x v="0"/>
    <x v="0"/>
    <x v="3"/>
  </r>
  <r>
    <x v="0"/>
    <x v="2"/>
    <x v="2"/>
    <x v="0"/>
    <x v="0"/>
    <x v="123"/>
    <x v="461"/>
    <n v="0"/>
    <x v="0"/>
    <x v="0"/>
    <x v="3"/>
  </r>
  <r>
    <x v="0"/>
    <x v="3"/>
    <x v="3"/>
    <x v="0"/>
    <x v="0"/>
    <x v="123"/>
    <x v="461"/>
    <n v="0"/>
    <x v="0"/>
    <x v="0"/>
    <x v="3"/>
  </r>
  <r>
    <x v="0"/>
    <x v="4"/>
    <x v="4"/>
    <x v="0"/>
    <x v="0"/>
    <x v="123"/>
    <x v="461"/>
    <n v="0"/>
    <x v="0"/>
    <x v="0"/>
    <x v="3"/>
  </r>
  <r>
    <x v="0"/>
    <x v="0"/>
    <x v="0"/>
    <x v="0"/>
    <x v="0"/>
    <x v="138"/>
    <x v="462"/>
    <n v="0"/>
    <x v="0"/>
    <x v="0"/>
    <x v="2"/>
  </r>
  <r>
    <x v="0"/>
    <x v="1"/>
    <x v="1"/>
    <x v="0"/>
    <x v="0"/>
    <x v="138"/>
    <x v="462"/>
    <n v="0"/>
    <x v="0"/>
    <x v="0"/>
    <x v="2"/>
  </r>
  <r>
    <x v="0"/>
    <x v="2"/>
    <x v="2"/>
    <x v="0"/>
    <x v="0"/>
    <x v="138"/>
    <x v="462"/>
    <n v="0"/>
    <x v="0"/>
    <x v="0"/>
    <x v="2"/>
  </r>
  <r>
    <x v="0"/>
    <x v="3"/>
    <x v="3"/>
    <x v="0"/>
    <x v="0"/>
    <x v="138"/>
    <x v="462"/>
    <n v="0"/>
    <x v="0"/>
    <x v="0"/>
    <x v="2"/>
  </r>
  <r>
    <x v="0"/>
    <x v="4"/>
    <x v="4"/>
    <x v="0"/>
    <x v="0"/>
    <x v="138"/>
    <x v="462"/>
    <n v="0"/>
    <x v="0"/>
    <x v="0"/>
    <x v="2"/>
  </r>
  <r>
    <x v="0"/>
    <x v="0"/>
    <x v="0"/>
    <x v="0"/>
    <x v="0"/>
    <x v="39"/>
    <x v="463"/>
    <n v="0"/>
    <x v="0"/>
    <x v="0"/>
    <x v="3"/>
  </r>
  <r>
    <x v="0"/>
    <x v="1"/>
    <x v="1"/>
    <x v="0"/>
    <x v="0"/>
    <x v="39"/>
    <x v="463"/>
    <n v="0"/>
    <x v="0"/>
    <x v="0"/>
    <x v="3"/>
  </r>
  <r>
    <x v="0"/>
    <x v="2"/>
    <x v="2"/>
    <x v="0"/>
    <x v="0"/>
    <x v="39"/>
    <x v="463"/>
    <n v="0"/>
    <x v="0"/>
    <x v="0"/>
    <x v="3"/>
  </r>
  <r>
    <x v="0"/>
    <x v="3"/>
    <x v="3"/>
    <x v="0"/>
    <x v="0"/>
    <x v="39"/>
    <x v="463"/>
    <n v="0"/>
    <x v="0"/>
    <x v="0"/>
    <x v="3"/>
  </r>
  <r>
    <x v="0"/>
    <x v="4"/>
    <x v="4"/>
    <x v="0"/>
    <x v="0"/>
    <x v="39"/>
    <x v="463"/>
    <n v="0"/>
    <x v="0"/>
    <x v="0"/>
    <x v="3"/>
  </r>
  <r>
    <x v="0"/>
    <x v="0"/>
    <x v="0"/>
    <x v="0"/>
    <x v="0"/>
    <x v="40"/>
    <x v="464"/>
    <n v="0"/>
    <x v="0"/>
    <x v="0"/>
    <x v="3"/>
  </r>
  <r>
    <x v="0"/>
    <x v="1"/>
    <x v="1"/>
    <x v="0"/>
    <x v="0"/>
    <x v="40"/>
    <x v="464"/>
    <n v="0"/>
    <x v="0"/>
    <x v="0"/>
    <x v="3"/>
  </r>
  <r>
    <x v="0"/>
    <x v="2"/>
    <x v="2"/>
    <x v="0"/>
    <x v="0"/>
    <x v="40"/>
    <x v="464"/>
    <n v="0"/>
    <x v="0"/>
    <x v="0"/>
    <x v="3"/>
  </r>
  <r>
    <x v="0"/>
    <x v="3"/>
    <x v="3"/>
    <x v="0"/>
    <x v="0"/>
    <x v="40"/>
    <x v="464"/>
    <n v="0"/>
    <x v="0"/>
    <x v="0"/>
    <x v="3"/>
  </r>
  <r>
    <x v="0"/>
    <x v="4"/>
    <x v="4"/>
    <x v="0"/>
    <x v="0"/>
    <x v="40"/>
    <x v="464"/>
    <n v="0"/>
    <x v="0"/>
    <x v="0"/>
    <x v="3"/>
  </r>
  <r>
    <x v="0"/>
    <x v="0"/>
    <x v="0"/>
    <x v="0"/>
    <x v="0"/>
    <x v="41"/>
    <x v="465"/>
    <n v="0"/>
    <x v="0"/>
    <x v="0"/>
    <x v="3"/>
  </r>
  <r>
    <x v="0"/>
    <x v="1"/>
    <x v="1"/>
    <x v="0"/>
    <x v="0"/>
    <x v="41"/>
    <x v="465"/>
    <n v="0"/>
    <x v="0"/>
    <x v="0"/>
    <x v="3"/>
  </r>
  <r>
    <x v="0"/>
    <x v="2"/>
    <x v="2"/>
    <x v="0"/>
    <x v="0"/>
    <x v="41"/>
    <x v="465"/>
    <n v="0"/>
    <x v="0"/>
    <x v="0"/>
    <x v="3"/>
  </r>
  <r>
    <x v="0"/>
    <x v="3"/>
    <x v="3"/>
    <x v="0"/>
    <x v="0"/>
    <x v="41"/>
    <x v="465"/>
    <n v="0"/>
    <x v="0"/>
    <x v="0"/>
    <x v="3"/>
  </r>
  <r>
    <x v="0"/>
    <x v="4"/>
    <x v="4"/>
    <x v="0"/>
    <x v="0"/>
    <x v="41"/>
    <x v="465"/>
    <n v="0"/>
    <x v="0"/>
    <x v="0"/>
    <x v="3"/>
  </r>
  <r>
    <x v="0"/>
    <x v="0"/>
    <x v="0"/>
    <x v="0"/>
    <x v="0"/>
    <x v="42"/>
    <x v="466"/>
    <n v="0"/>
    <x v="0"/>
    <x v="0"/>
    <x v="3"/>
  </r>
  <r>
    <x v="0"/>
    <x v="1"/>
    <x v="1"/>
    <x v="0"/>
    <x v="0"/>
    <x v="42"/>
    <x v="466"/>
    <n v="0"/>
    <x v="0"/>
    <x v="0"/>
    <x v="3"/>
  </r>
  <r>
    <x v="0"/>
    <x v="2"/>
    <x v="2"/>
    <x v="0"/>
    <x v="0"/>
    <x v="42"/>
    <x v="466"/>
    <n v="0"/>
    <x v="0"/>
    <x v="0"/>
    <x v="3"/>
  </r>
  <r>
    <x v="0"/>
    <x v="3"/>
    <x v="3"/>
    <x v="0"/>
    <x v="0"/>
    <x v="42"/>
    <x v="466"/>
    <n v="0"/>
    <x v="0"/>
    <x v="0"/>
    <x v="3"/>
  </r>
  <r>
    <x v="0"/>
    <x v="4"/>
    <x v="4"/>
    <x v="0"/>
    <x v="0"/>
    <x v="42"/>
    <x v="466"/>
    <n v="0"/>
    <x v="0"/>
    <x v="0"/>
    <x v="3"/>
  </r>
  <r>
    <x v="0"/>
    <x v="0"/>
    <x v="0"/>
    <x v="0"/>
    <x v="0"/>
    <x v="43"/>
    <x v="467"/>
    <n v="0"/>
    <x v="0"/>
    <x v="0"/>
    <x v="3"/>
  </r>
  <r>
    <x v="0"/>
    <x v="1"/>
    <x v="1"/>
    <x v="0"/>
    <x v="0"/>
    <x v="43"/>
    <x v="467"/>
    <n v="0"/>
    <x v="0"/>
    <x v="0"/>
    <x v="3"/>
  </r>
  <r>
    <x v="0"/>
    <x v="2"/>
    <x v="2"/>
    <x v="0"/>
    <x v="0"/>
    <x v="43"/>
    <x v="467"/>
    <n v="0"/>
    <x v="0"/>
    <x v="0"/>
    <x v="3"/>
  </r>
  <r>
    <x v="0"/>
    <x v="3"/>
    <x v="3"/>
    <x v="0"/>
    <x v="0"/>
    <x v="43"/>
    <x v="467"/>
    <n v="0"/>
    <x v="0"/>
    <x v="0"/>
    <x v="3"/>
  </r>
  <r>
    <x v="0"/>
    <x v="4"/>
    <x v="4"/>
    <x v="0"/>
    <x v="0"/>
    <x v="43"/>
    <x v="467"/>
    <n v="0"/>
    <x v="0"/>
    <x v="0"/>
    <x v="3"/>
  </r>
  <r>
    <x v="0"/>
    <x v="0"/>
    <x v="0"/>
    <x v="0"/>
    <x v="0"/>
    <x v="139"/>
    <x v="468"/>
    <n v="0"/>
    <x v="0"/>
    <x v="0"/>
    <x v="2"/>
  </r>
  <r>
    <x v="0"/>
    <x v="1"/>
    <x v="1"/>
    <x v="0"/>
    <x v="0"/>
    <x v="139"/>
    <x v="468"/>
    <n v="0"/>
    <x v="0"/>
    <x v="0"/>
    <x v="2"/>
  </r>
  <r>
    <x v="0"/>
    <x v="2"/>
    <x v="2"/>
    <x v="0"/>
    <x v="0"/>
    <x v="139"/>
    <x v="468"/>
    <n v="0"/>
    <x v="0"/>
    <x v="0"/>
    <x v="2"/>
  </r>
  <r>
    <x v="0"/>
    <x v="3"/>
    <x v="3"/>
    <x v="0"/>
    <x v="0"/>
    <x v="139"/>
    <x v="468"/>
    <n v="0"/>
    <x v="0"/>
    <x v="0"/>
    <x v="2"/>
  </r>
  <r>
    <x v="0"/>
    <x v="4"/>
    <x v="4"/>
    <x v="0"/>
    <x v="0"/>
    <x v="139"/>
    <x v="468"/>
    <n v="0"/>
    <x v="0"/>
    <x v="0"/>
    <x v="2"/>
  </r>
  <r>
    <x v="0"/>
    <x v="0"/>
    <x v="0"/>
    <x v="0"/>
    <x v="0"/>
    <x v="39"/>
    <x v="469"/>
    <n v="0"/>
    <x v="0"/>
    <x v="0"/>
    <x v="3"/>
  </r>
  <r>
    <x v="0"/>
    <x v="1"/>
    <x v="1"/>
    <x v="0"/>
    <x v="0"/>
    <x v="39"/>
    <x v="469"/>
    <n v="0"/>
    <x v="0"/>
    <x v="0"/>
    <x v="3"/>
  </r>
  <r>
    <x v="0"/>
    <x v="2"/>
    <x v="2"/>
    <x v="0"/>
    <x v="0"/>
    <x v="39"/>
    <x v="469"/>
    <n v="0"/>
    <x v="0"/>
    <x v="0"/>
    <x v="3"/>
  </r>
  <r>
    <x v="0"/>
    <x v="3"/>
    <x v="3"/>
    <x v="0"/>
    <x v="0"/>
    <x v="39"/>
    <x v="469"/>
    <n v="0"/>
    <x v="0"/>
    <x v="0"/>
    <x v="3"/>
  </r>
  <r>
    <x v="0"/>
    <x v="4"/>
    <x v="4"/>
    <x v="0"/>
    <x v="0"/>
    <x v="39"/>
    <x v="469"/>
    <n v="0"/>
    <x v="0"/>
    <x v="0"/>
    <x v="3"/>
  </r>
  <r>
    <x v="0"/>
    <x v="0"/>
    <x v="0"/>
    <x v="0"/>
    <x v="0"/>
    <x v="40"/>
    <x v="470"/>
    <n v="0"/>
    <x v="0"/>
    <x v="0"/>
    <x v="3"/>
  </r>
  <r>
    <x v="0"/>
    <x v="1"/>
    <x v="1"/>
    <x v="0"/>
    <x v="0"/>
    <x v="40"/>
    <x v="470"/>
    <n v="0"/>
    <x v="0"/>
    <x v="0"/>
    <x v="3"/>
  </r>
  <r>
    <x v="0"/>
    <x v="2"/>
    <x v="2"/>
    <x v="0"/>
    <x v="0"/>
    <x v="40"/>
    <x v="470"/>
    <n v="0"/>
    <x v="0"/>
    <x v="0"/>
    <x v="3"/>
  </r>
  <r>
    <x v="0"/>
    <x v="3"/>
    <x v="3"/>
    <x v="0"/>
    <x v="0"/>
    <x v="40"/>
    <x v="470"/>
    <n v="0"/>
    <x v="0"/>
    <x v="0"/>
    <x v="3"/>
  </r>
  <r>
    <x v="0"/>
    <x v="4"/>
    <x v="4"/>
    <x v="0"/>
    <x v="0"/>
    <x v="40"/>
    <x v="470"/>
    <n v="0"/>
    <x v="0"/>
    <x v="0"/>
    <x v="3"/>
  </r>
  <r>
    <x v="0"/>
    <x v="0"/>
    <x v="0"/>
    <x v="0"/>
    <x v="0"/>
    <x v="41"/>
    <x v="471"/>
    <n v="0"/>
    <x v="0"/>
    <x v="0"/>
    <x v="3"/>
  </r>
  <r>
    <x v="0"/>
    <x v="1"/>
    <x v="1"/>
    <x v="0"/>
    <x v="0"/>
    <x v="41"/>
    <x v="471"/>
    <n v="0"/>
    <x v="0"/>
    <x v="0"/>
    <x v="3"/>
  </r>
  <r>
    <x v="0"/>
    <x v="2"/>
    <x v="2"/>
    <x v="0"/>
    <x v="0"/>
    <x v="41"/>
    <x v="471"/>
    <n v="0"/>
    <x v="0"/>
    <x v="0"/>
    <x v="3"/>
  </r>
  <r>
    <x v="0"/>
    <x v="3"/>
    <x v="3"/>
    <x v="0"/>
    <x v="0"/>
    <x v="41"/>
    <x v="471"/>
    <n v="0"/>
    <x v="0"/>
    <x v="0"/>
    <x v="3"/>
  </r>
  <r>
    <x v="0"/>
    <x v="4"/>
    <x v="4"/>
    <x v="0"/>
    <x v="0"/>
    <x v="41"/>
    <x v="471"/>
    <n v="0"/>
    <x v="0"/>
    <x v="0"/>
    <x v="3"/>
  </r>
  <r>
    <x v="0"/>
    <x v="0"/>
    <x v="0"/>
    <x v="0"/>
    <x v="0"/>
    <x v="42"/>
    <x v="472"/>
    <n v="0"/>
    <x v="0"/>
    <x v="0"/>
    <x v="3"/>
  </r>
  <r>
    <x v="0"/>
    <x v="1"/>
    <x v="1"/>
    <x v="0"/>
    <x v="0"/>
    <x v="42"/>
    <x v="472"/>
    <n v="0"/>
    <x v="0"/>
    <x v="0"/>
    <x v="3"/>
  </r>
  <r>
    <x v="0"/>
    <x v="2"/>
    <x v="2"/>
    <x v="0"/>
    <x v="0"/>
    <x v="42"/>
    <x v="472"/>
    <n v="0"/>
    <x v="0"/>
    <x v="0"/>
    <x v="3"/>
  </r>
  <r>
    <x v="0"/>
    <x v="3"/>
    <x v="3"/>
    <x v="0"/>
    <x v="0"/>
    <x v="42"/>
    <x v="472"/>
    <n v="0"/>
    <x v="0"/>
    <x v="0"/>
    <x v="3"/>
  </r>
  <r>
    <x v="0"/>
    <x v="4"/>
    <x v="4"/>
    <x v="0"/>
    <x v="0"/>
    <x v="42"/>
    <x v="472"/>
    <n v="0"/>
    <x v="0"/>
    <x v="0"/>
    <x v="3"/>
  </r>
  <r>
    <x v="0"/>
    <x v="0"/>
    <x v="0"/>
    <x v="0"/>
    <x v="0"/>
    <x v="43"/>
    <x v="473"/>
    <n v="0"/>
    <x v="0"/>
    <x v="0"/>
    <x v="3"/>
  </r>
  <r>
    <x v="0"/>
    <x v="1"/>
    <x v="1"/>
    <x v="0"/>
    <x v="0"/>
    <x v="43"/>
    <x v="473"/>
    <n v="0"/>
    <x v="0"/>
    <x v="0"/>
    <x v="3"/>
  </r>
  <r>
    <x v="0"/>
    <x v="2"/>
    <x v="2"/>
    <x v="0"/>
    <x v="0"/>
    <x v="43"/>
    <x v="473"/>
    <n v="0"/>
    <x v="0"/>
    <x v="0"/>
    <x v="3"/>
  </r>
  <r>
    <x v="0"/>
    <x v="3"/>
    <x v="3"/>
    <x v="0"/>
    <x v="0"/>
    <x v="43"/>
    <x v="473"/>
    <n v="0"/>
    <x v="0"/>
    <x v="0"/>
    <x v="3"/>
  </r>
  <r>
    <x v="0"/>
    <x v="4"/>
    <x v="4"/>
    <x v="0"/>
    <x v="0"/>
    <x v="43"/>
    <x v="473"/>
    <n v="0"/>
    <x v="0"/>
    <x v="0"/>
    <x v="3"/>
  </r>
  <r>
    <x v="0"/>
    <x v="0"/>
    <x v="0"/>
    <x v="0"/>
    <x v="0"/>
    <x v="140"/>
    <x v="474"/>
    <n v="0"/>
    <x v="0"/>
    <x v="0"/>
    <x v="2"/>
  </r>
  <r>
    <x v="0"/>
    <x v="1"/>
    <x v="1"/>
    <x v="0"/>
    <x v="0"/>
    <x v="140"/>
    <x v="474"/>
    <n v="0"/>
    <x v="0"/>
    <x v="0"/>
    <x v="2"/>
  </r>
  <r>
    <x v="0"/>
    <x v="2"/>
    <x v="2"/>
    <x v="0"/>
    <x v="0"/>
    <x v="140"/>
    <x v="474"/>
    <n v="0"/>
    <x v="0"/>
    <x v="0"/>
    <x v="2"/>
  </r>
  <r>
    <x v="0"/>
    <x v="3"/>
    <x v="3"/>
    <x v="0"/>
    <x v="0"/>
    <x v="140"/>
    <x v="474"/>
    <n v="0"/>
    <x v="0"/>
    <x v="0"/>
    <x v="2"/>
  </r>
  <r>
    <x v="0"/>
    <x v="4"/>
    <x v="4"/>
    <x v="0"/>
    <x v="0"/>
    <x v="140"/>
    <x v="474"/>
    <n v="0"/>
    <x v="0"/>
    <x v="0"/>
    <x v="2"/>
  </r>
  <r>
    <x v="0"/>
    <x v="0"/>
    <x v="0"/>
    <x v="0"/>
    <x v="0"/>
    <x v="39"/>
    <x v="475"/>
    <n v="0"/>
    <x v="0"/>
    <x v="0"/>
    <x v="3"/>
  </r>
  <r>
    <x v="0"/>
    <x v="1"/>
    <x v="1"/>
    <x v="0"/>
    <x v="0"/>
    <x v="39"/>
    <x v="475"/>
    <n v="0"/>
    <x v="0"/>
    <x v="0"/>
    <x v="3"/>
  </r>
  <r>
    <x v="0"/>
    <x v="2"/>
    <x v="2"/>
    <x v="0"/>
    <x v="0"/>
    <x v="39"/>
    <x v="475"/>
    <n v="0"/>
    <x v="0"/>
    <x v="0"/>
    <x v="3"/>
  </r>
  <r>
    <x v="0"/>
    <x v="3"/>
    <x v="3"/>
    <x v="0"/>
    <x v="0"/>
    <x v="39"/>
    <x v="475"/>
    <n v="0"/>
    <x v="0"/>
    <x v="0"/>
    <x v="3"/>
  </r>
  <r>
    <x v="0"/>
    <x v="4"/>
    <x v="4"/>
    <x v="0"/>
    <x v="0"/>
    <x v="39"/>
    <x v="475"/>
    <n v="0"/>
    <x v="0"/>
    <x v="0"/>
    <x v="3"/>
  </r>
  <r>
    <x v="0"/>
    <x v="0"/>
    <x v="0"/>
    <x v="0"/>
    <x v="0"/>
    <x v="40"/>
    <x v="476"/>
    <n v="0"/>
    <x v="0"/>
    <x v="0"/>
    <x v="3"/>
  </r>
  <r>
    <x v="0"/>
    <x v="1"/>
    <x v="1"/>
    <x v="0"/>
    <x v="0"/>
    <x v="40"/>
    <x v="476"/>
    <n v="0"/>
    <x v="0"/>
    <x v="0"/>
    <x v="3"/>
  </r>
  <r>
    <x v="0"/>
    <x v="2"/>
    <x v="2"/>
    <x v="0"/>
    <x v="0"/>
    <x v="40"/>
    <x v="476"/>
    <n v="0"/>
    <x v="0"/>
    <x v="0"/>
    <x v="3"/>
  </r>
  <r>
    <x v="0"/>
    <x v="3"/>
    <x v="3"/>
    <x v="0"/>
    <x v="0"/>
    <x v="40"/>
    <x v="476"/>
    <n v="0"/>
    <x v="0"/>
    <x v="0"/>
    <x v="3"/>
  </r>
  <r>
    <x v="0"/>
    <x v="4"/>
    <x v="4"/>
    <x v="0"/>
    <x v="0"/>
    <x v="40"/>
    <x v="476"/>
    <n v="0"/>
    <x v="0"/>
    <x v="0"/>
    <x v="3"/>
  </r>
  <r>
    <x v="0"/>
    <x v="0"/>
    <x v="0"/>
    <x v="0"/>
    <x v="0"/>
    <x v="41"/>
    <x v="477"/>
    <n v="0"/>
    <x v="0"/>
    <x v="0"/>
    <x v="3"/>
  </r>
  <r>
    <x v="0"/>
    <x v="1"/>
    <x v="1"/>
    <x v="0"/>
    <x v="0"/>
    <x v="41"/>
    <x v="477"/>
    <n v="0"/>
    <x v="0"/>
    <x v="0"/>
    <x v="3"/>
  </r>
  <r>
    <x v="0"/>
    <x v="2"/>
    <x v="2"/>
    <x v="0"/>
    <x v="0"/>
    <x v="41"/>
    <x v="477"/>
    <n v="0"/>
    <x v="0"/>
    <x v="0"/>
    <x v="3"/>
  </r>
  <r>
    <x v="0"/>
    <x v="3"/>
    <x v="3"/>
    <x v="0"/>
    <x v="0"/>
    <x v="41"/>
    <x v="477"/>
    <n v="0"/>
    <x v="0"/>
    <x v="0"/>
    <x v="3"/>
  </r>
  <r>
    <x v="0"/>
    <x v="4"/>
    <x v="4"/>
    <x v="0"/>
    <x v="0"/>
    <x v="41"/>
    <x v="477"/>
    <n v="0"/>
    <x v="0"/>
    <x v="0"/>
    <x v="3"/>
  </r>
  <r>
    <x v="0"/>
    <x v="0"/>
    <x v="0"/>
    <x v="0"/>
    <x v="0"/>
    <x v="42"/>
    <x v="478"/>
    <n v="0"/>
    <x v="0"/>
    <x v="0"/>
    <x v="3"/>
  </r>
  <r>
    <x v="0"/>
    <x v="1"/>
    <x v="1"/>
    <x v="0"/>
    <x v="0"/>
    <x v="42"/>
    <x v="478"/>
    <n v="0"/>
    <x v="0"/>
    <x v="0"/>
    <x v="3"/>
  </r>
  <r>
    <x v="0"/>
    <x v="2"/>
    <x v="2"/>
    <x v="0"/>
    <x v="0"/>
    <x v="42"/>
    <x v="478"/>
    <n v="0"/>
    <x v="0"/>
    <x v="0"/>
    <x v="3"/>
  </r>
  <r>
    <x v="0"/>
    <x v="3"/>
    <x v="3"/>
    <x v="0"/>
    <x v="0"/>
    <x v="42"/>
    <x v="478"/>
    <n v="0"/>
    <x v="0"/>
    <x v="0"/>
    <x v="3"/>
  </r>
  <r>
    <x v="0"/>
    <x v="4"/>
    <x v="4"/>
    <x v="0"/>
    <x v="0"/>
    <x v="42"/>
    <x v="478"/>
    <n v="0"/>
    <x v="0"/>
    <x v="0"/>
    <x v="3"/>
  </r>
  <r>
    <x v="0"/>
    <x v="0"/>
    <x v="0"/>
    <x v="0"/>
    <x v="0"/>
    <x v="43"/>
    <x v="479"/>
    <n v="0"/>
    <x v="0"/>
    <x v="0"/>
    <x v="3"/>
  </r>
  <r>
    <x v="0"/>
    <x v="1"/>
    <x v="1"/>
    <x v="0"/>
    <x v="0"/>
    <x v="43"/>
    <x v="479"/>
    <n v="0"/>
    <x v="0"/>
    <x v="0"/>
    <x v="3"/>
  </r>
  <r>
    <x v="0"/>
    <x v="2"/>
    <x v="2"/>
    <x v="0"/>
    <x v="0"/>
    <x v="43"/>
    <x v="479"/>
    <n v="0"/>
    <x v="0"/>
    <x v="0"/>
    <x v="3"/>
  </r>
  <r>
    <x v="0"/>
    <x v="3"/>
    <x v="3"/>
    <x v="0"/>
    <x v="0"/>
    <x v="43"/>
    <x v="479"/>
    <n v="0"/>
    <x v="0"/>
    <x v="0"/>
    <x v="3"/>
  </r>
  <r>
    <x v="0"/>
    <x v="4"/>
    <x v="4"/>
    <x v="0"/>
    <x v="0"/>
    <x v="43"/>
    <x v="479"/>
    <n v="0"/>
    <x v="0"/>
    <x v="0"/>
    <x v="3"/>
  </r>
  <r>
    <x v="0"/>
    <x v="0"/>
    <x v="0"/>
    <x v="0"/>
    <x v="0"/>
    <x v="141"/>
    <x v="480"/>
    <n v="0"/>
    <x v="0"/>
    <x v="0"/>
    <x v="2"/>
  </r>
  <r>
    <x v="0"/>
    <x v="1"/>
    <x v="1"/>
    <x v="0"/>
    <x v="0"/>
    <x v="141"/>
    <x v="480"/>
    <n v="0"/>
    <x v="0"/>
    <x v="0"/>
    <x v="2"/>
  </r>
  <r>
    <x v="0"/>
    <x v="2"/>
    <x v="2"/>
    <x v="0"/>
    <x v="0"/>
    <x v="141"/>
    <x v="480"/>
    <n v="0"/>
    <x v="0"/>
    <x v="0"/>
    <x v="2"/>
  </r>
  <r>
    <x v="0"/>
    <x v="3"/>
    <x v="3"/>
    <x v="0"/>
    <x v="0"/>
    <x v="141"/>
    <x v="480"/>
    <n v="0"/>
    <x v="0"/>
    <x v="0"/>
    <x v="2"/>
  </r>
  <r>
    <x v="0"/>
    <x v="4"/>
    <x v="4"/>
    <x v="0"/>
    <x v="0"/>
    <x v="141"/>
    <x v="480"/>
    <n v="0"/>
    <x v="0"/>
    <x v="0"/>
    <x v="2"/>
  </r>
  <r>
    <x v="0"/>
    <x v="0"/>
    <x v="0"/>
    <x v="0"/>
    <x v="0"/>
    <x v="39"/>
    <x v="481"/>
    <n v="0"/>
    <x v="0"/>
    <x v="0"/>
    <x v="3"/>
  </r>
  <r>
    <x v="0"/>
    <x v="1"/>
    <x v="1"/>
    <x v="0"/>
    <x v="0"/>
    <x v="39"/>
    <x v="481"/>
    <n v="0"/>
    <x v="0"/>
    <x v="0"/>
    <x v="3"/>
  </r>
  <r>
    <x v="0"/>
    <x v="2"/>
    <x v="2"/>
    <x v="0"/>
    <x v="0"/>
    <x v="39"/>
    <x v="481"/>
    <n v="0"/>
    <x v="0"/>
    <x v="0"/>
    <x v="3"/>
  </r>
  <r>
    <x v="0"/>
    <x v="3"/>
    <x v="3"/>
    <x v="0"/>
    <x v="0"/>
    <x v="39"/>
    <x v="481"/>
    <n v="0"/>
    <x v="0"/>
    <x v="0"/>
    <x v="3"/>
  </r>
  <r>
    <x v="0"/>
    <x v="4"/>
    <x v="4"/>
    <x v="0"/>
    <x v="0"/>
    <x v="39"/>
    <x v="481"/>
    <n v="0"/>
    <x v="0"/>
    <x v="0"/>
    <x v="3"/>
  </r>
  <r>
    <x v="0"/>
    <x v="0"/>
    <x v="0"/>
    <x v="0"/>
    <x v="0"/>
    <x v="40"/>
    <x v="482"/>
    <n v="0"/>
    <x v="0"/>
    <x v="0"/>
    <x v="3"/>
  </r>
  <r>
    <x v="0"/>
    <x v="1"/>
    <x v="1"/>
    <x v="0"/>
    <x v="0"/>
    <x v="40"/>
    <x v="482"/>
    <n v="0"/>
    <x v="0"/>
    <x v="0"/>
    <x v="3"/>
  </r>
  <r>
    <x v="0"/>
    <x v="2"/>
    <x v="2"/>
    <x v="0"/>
    <x v="0"/>
    <x v="40"/>
    <x v="482"/>
    <n v="0"/>
    <x v="0"/>
    <x v="0"/>
    <x v="3"/>
  </r>
  <r>
    <x v="0"/>
    <x v="3"/>
    <x v="3"/>
    <x v="0"/>
    <x v="0"/>
    <x v="40"/>
    <x v="482"/>
    <n v="0"/>
    <x v="0"/>
    <x v="0"/>
    <x v="3"/>
  </r>
  <r>
    <x v="0"/>
    <x v="4"/>
    <x v="4"/>
    <x v="0"/>
    <x v="0"/>
    <x v="40"/>
    <x v="482"/>
    <n v="0"/>
    <x v="0"/>
    <x v="0"/>
    <x v="3"/>
  </r>
  <r>
    <x v="0"/>
    <x v="0"/>
    <x v="0"/>
    <x v="0"/>
    <x v="0"/>
    <x v="120"/>
    <x v="483"/>
    <n v="0"/>
    <x v="0"/>
    <x v="0"/>
    <x v="3"/>
  </r>
  <r>
    <x v="0"/>
    <x v="1"/>
    <x v="1"/>
    <x v="0"/>
    <x v="0"/>
    <x v="120"/>
    <x v="483"/>
    <n v="0"/>
    <x v="0"/>
    <x v="0"/>
    <x v="3"/>
  </r>
  <r>
    <x v="0"/>
    <x v="2"/>
    <x v="2"/>
    <x v="0"/>
    <x v="0"/>
    <x v="120"/>
    <x v="483"/>
    <n v="0"/>
    <x v="0"/>
    <x v="0"/>
    <x v="3"/>
  </r>
  <r>
    <x v="0"/>
    <x v="3"/>
    <x v="3"/>
    <x v="0"/>
    <x v="0"/>
    <x v="120"/>
    <x v="483"/>
    <n v="0"/>
    <x v="0"/>
    <x v="0"/>
    <x v="3"/>
  </r>
  <r>
    <x v="0"/>
    <x v="4"/>
    <x v="4"/>
    <x v="0"/>
    <x v="0"/>
    <x v="120"/>
    <x v="483"/>
    <n v="0"/>
    <x v="0"/>
    <x v="0"/>
    <x v="3"/>
  </r>
  <r>
    <x v="0"/>
    <x v="0"/>
    <x v="0"/>
    <x v="0"/>
    <x v="0"/>
    <x v="121"/>
    <x v="484"/>
    <n v="0"/>
    <x v="0"/>
    <x v="0"/>
    <x v="3"/>
  </r>
  <r>
    <x v="0"/>
    <x v="1"/>
    <x v="1"/>
    <x v="0"/>
    <x v="0"/>
    <x v="121"/>
    <x v="484"/>
    <n v="0"/>
    <x v="0"/>
    <x v="0"/>
    <x v="3"/>
  </r>
  <r>
    <x v="0"/>
    <x v="2"/>
    <x v="2"/>
    <x v="0"/>
    <x v="0"/>
    <x v="121"/>
    <x v="484"/>
    <n v="0"/>
    <x v="0"/>
    <x v="0"/>
    <x v="3"/>
  </r>
  <r>
    <x v="0"/>
    <x v="3"/>
    <x v="3"/>
    <x v="0"/>
    <x v="0"/>
    <x v="121"/>
    <x v="484"/>
    <n v="0"/>
    <x v="0"/>
    <x v="0"/>
    <x v="3"/>
  </r>
  <r>
    <x v="0"/>
    <x v="4"/>
    <x v="4"/>
    <x v="0"/>
    <x v="0"/>
    <x v="121"/>
    <x v="484"/>
    <n v="0"/>
    <x v="0"/>
    <x v="0"/>
    <x v="3"/>
  </r>
  <r>
    <x v="0"/>
    <x v="0"/>
    <x v="0"/>
    <x v="0"/>
    <x v="0"/>
    <x v="122"/>
    <x v="485"/>
    <n v="0"/>
    <x v="0"/>
    <x v="0"/>
    <x v="3"/>
  </r>
  <r>
    <x v="0"/>
    <x v="1"/>
    <x v="1"/>
    <x v="0"/>
    <x v="0"/>
    <x v="122"/>
    <x v="485"/>
    <n v="0"/>
    <x v="0"/>
    <x v="0"/>
    <x v="3"/>
  </r>
  <r>
    <x v="0"/>
    <x v="2"/>
    <x v="2"/>
    <x v="0"/>
    <x v="0"/>
    <x v="122"/>
    <x v="485"/>
    <n v="0"/>
    <x v="0"/>
    <x v="0"/>
    <x v="3"/>
  </r>
  <r>
    <x v="0"/>
    <x v="3"/>
    <x v="3"/>
    <x v="0"/>
    <x v="0"/>
    <x v="122"/>
    <x v="485"/>
    <n v="0"/>
    <x v="0"/>
    <x v="0"/>
    <x v="3"/>
  </r>
  <r>
    <x v="0"/>
    <x v="4"/>
    <x v="4"/>
    <x v="0"/>
    <x v="0"/>
    <x v="122"/>
    <x v="485"/>
    <n v="0"/>
    <x v="0"/>
    <x v="0"/>
    <x v="3"/>
  </r>
  <r>
    <x v="0"/>
    <x v="0"/>
    <x v="0"/>
    <x v="0"/>
    <x v="0"/>
    <x v="123"/>
    <x v="486"/>
    <n v="0"/>
    <x v="0"/>
    <x v="0"/>
    <x v="3"/>
  </r>
  <r>
    <x v="0"/>
    <x v="1"/>
    <x v="1"/>
    <x v="0"/>
    <x v="0"/>
    <x v="123"/>
    <x v="486"/>
    <n v="0"/>
    <x v="0"/>
    <x v="0"/>
    <x v="3"/>
  </r>
  <r>
    <x v="0"/>
    <x v="2"/>
    <x v="2"/>
    <x v="0"/>
    <x v="0"/>
    <x v="123"/>
    <x v="486"/>
    <n v="0"/>
    <x v="0"/>
    <x v="0"/>
    <x v="3"/>
  </r>
  <r>
    <x v="0"/>
    <x v="3"/>
    <x v="3"/>
    <x v="0"/>
    <x v="0"/>
    <x v="123"/>
    <x v="486"/>
    <n v="0"/>
    <x v="0"/>
    <x v="0"/>
    <x v="3"/>
  </r>
  <r>
    <x v="0"/>
    <x v="4"/>
    <x v="4"/>
    <x v="0"/>
    <x v="0"/>
    <x v="123"/>
    <x v="486"/>
    <n v="0"/>
    <x v="0"/>
    <x v="0"/>
    <x v="3"/>
  </r>
  <r>
    <x v="0"/>
    <x v="0"/>
    <x v="0"/>
    <x v="0"/>
    <x v="0"/>
    <x v="142"/>
    <x v="487"/>
    <n v="0"/>
    <x v="0"/>
    <x v="0"/>
    <x v="2"/>
  </r>
  <r>
    <x v="0"/>
    <x v="1"/>
    <x v="1"/>
    <x v="0"/>
    <x v="0"/>
    <x v="142"/>
    <x v="487"/>
    <n v="0"/>
    <x v="0"/>
    <x v="0"/>
    <x v="2"/>
  </r>
  <r>
    <x v="0"/>
    <x v="2"/>
    <x v="2"/>
    <x v="0"/>
    <x v="0"/>
    <x v="142"/>
    <x v="487"/>
    <n v="0"/>
    <x v="0"/>
    <x v="0"/>
    <x v="2"/>
  </r>
  <r>
    <x v="0"/>
    <x v="3"/>
    <x v="3"/>
    <x v="0"/>
    <x v="0"/>
    <x v="142"/>
    <x v="487"/>
    <n v="0"/>
    <x v="0"/>
    <x v="0"/>
    <x v="2"/>
  </r>
  <r>
    <x v="0"/>
    <x v="4"/>
    <x v="4"/>
    <x v="0"/>
    <x v="0"/>
    <x v="142"/>
    <x v="487"/>
    <n v="0"/>
    <x v="0"/>
    <x v="0"/>
    <x v="2"/>
  </r>
  <r>
    <x v="0"/>
    <x v="0"/>
    <x v="0"/>
    <x v="0"/>
    <x v="0"/>
    <x v="39"/>
    <x v="488"/>
    <n v="0"/>
    <x v="0"/>
    <x v="0"/>
    <x v="3"/>
  </r>
  <r>
    <x v="0"/>
    <x v="1"/>
    <x v="1"/>
    <x v="0"/>
    <x v="0"/>
    <x v="39"/>
    <x v="488"/>
    <n v="0"/>
    <x v="0"/>
    <x v="0"/>
    <x v="3"/>
  </r>
  <r>
    <x v="0"/>
    <x v="2"/>
    <x v="2"/>
    <x v="0"/>
    <x v="0"/>
    <x v="39"/>
    <x v="488"/>
    <n v="0"/>
    <x v="0"/>
    <x v="0"/>
    <x v="3"/>
  </r>
  <r>
    <x v="0"/>
    <x v="3"/>
    <x v="3"/>
    <x v="0"/>
    <x v="0"/>
    <x v="39"/>
    <x v="488"/>
    <n v="0"/>
    <x v="0"/>
    <x v="0"/>
    <x v="3"/>
  </r>
  <r>
    <x v="0"/>
    <x v="4"/>
    <x v="4"/>
    <x v="0"/>
    <x v="0"/>
    <x v="39"/>
    <x v="488"/>
    <n v="0"/>
    <x v="0"/>
    <x v="0"/>
    <x v="3"/>
  </r>
  <r>
    <x v="0"/>
    <x v="0"/>
    <x v="0"/>
    <x v="0"/>
    <x v="0"/>
    <x v="40"/>
    <x v="489"/>
    <n v="0"/>
    <x v="0"/>
    <x v="0"/>
    <x v="3"/>
  </r>
  <r>
    <x v="0"/>
    <x v="1"/>
    <x v="1"/>
    <x v="0"/>
    <x v="0"/>
    <x v="40"/>
    <x v="489"/>
    <n v="0"/>
    <x v="0"/>
    <x v="0"/>
    <x v="3"/>
  </r>
  <r>
    <x v="0"/>
    <x v="2"/>
    <x v="2"/>
    <x v="0"/>
    <x v="0"/>
    <x v="40"/>
    <x v="489"/>
    <n v="0"/>
    <x v="0"/>
    <x v="0"/>
    <x v="3"/>
  </r>
  <r>
    <x v="0"/>
    <x v="3"/>
    <x v="3"/>
    <x v="0"/>
    <x v="0"/>
    <x v="40"/>
    <x v="489"/>
    <n v="0"/>
    <x v="0"/>
    <x v="0"/>
    <x v="3"/>
  </r>
  <r>
    <x v="0"/>
    <x v="4"/>
    <x v="4"/>
    <x v="0"/>
    <x v="0"/>
    <x v="40"/>
    <x v="489"/>
    <n v="0"/>
    <x v="0"/>
    <x v="0"/>
    <x v="3"/>
  </r>
  <r>
    <x v="0"/>
    <x v="0"/>
    <x v="0"/>
    <x v="0"/>
    <x v="0"/>
    <x v="41"/>
    <x v="490"/>
    <n v="0"/>
    <x v="0"/>
    <x v="0"/>
    <x v="3"/>
  </r>
  <r>
    <x v="0"/>
    <x v="1"/>
    <x v="1"/>
    <x v="0"/>
    <x v="0"/>
    <x v="41"/>
    <x v="490"/>
    <n v="0"/>
    <x v="0"/>
    <x v="0"/>
    <x v="3"/>
  </r>
  <r>
    <x v="0"/>
    <x v="2"/>
    <x v="2"/>
    <x v="0"/>
    <x v="0"/>
    <x v="41"/>
    <x v="490"/>
    <n v="0"/>
    <x v="0"/>
    <x v="0"/>
    <x v="3"/>
  </r>
  <r>
    <x v="0"/>
    <x v="3"/>
    <x v="3"/>
    <x v="0"/>
    <x v="0"/>
    <x v="41"/>
    <x v="490"/>
    <n v="0"/>
    <x v="0"/>
    <x v="0"/>
    <x v="3"/>
  </r>
  <r>
    <x v="0"/>
    <x v="4"/>
    <x v="4"/>
    <x v="0"/>
    <x v="0"/>
    <x v="41"/>
    <x v="490"/>
    <n v="0"/>
    <x v="0"/>
    <x v="0"/>
    <x v="3"/>
  </r>
  <r>
    <x v="0"/>
    <x v="0"/>
    <x v="0"/>
    <x v="0"/>
    <x v="0"/>
    <x v="42"/>
    <x v="491"/>
    <n v="0"/>
    <x v="0"/>
    <x v="0"/>
    <x v="3"/>
  </r>
  <r>
    <x v="0"/>
    <x v="1"/>
    <x v="1"/>
    <x v="0"/>
    <x v="0"/>
    <x v="42"/>
    <x v="491"/>
    <n v="0"/>
    <x v="0"/>
    <x v="0"/>
    <x v="3"/>
  </r>
  <r>
    <x v="0"/>
    <x v="2"/>
    <x v="2"/>
    <x v="0"/>
    <x v="0"/>
    <x v="42"/>
    <x v="491"/>
    <n v="0"/>
    <x v="0"/>
    <x v="0"/>
    <x v="3"/>
  </r>
  <r>
    <x v="0"/>
    <x v="3"/>
    <x v="3"/>
    <x v="0"/>
    <x v="0"/>
    <x v="42"/>
    <x v="491"/>
    <n v="0"/>
    <x v="0"/>
    <x v="0"/>
    <x v="3"/>
  </r>
  <r>
    <x v="0"/>
    <x v="4"/>
    <x v="4"/>
    <x v="0"/>
    <x v="0"/>
    <x v="42"/>
    <x v="491"/>
    <n v="0"/>
    <x v="0"/>
    <x v="0"/>
    <x v="3"/>
  </r>
  <r>
    <x v="0"/>
    <x v="0"/>
    <x v="0"/>
    <x v="0"/>
    <x v="0"/>
    <x v="43"/>
    <x v="492"/>
    <n v="0"/>
    <x v="0"/>
    <x v="0"/>
    <x v="3"/>
  </r>
  <r>
    <x v="0"/>
    <x v="1"/>
    <x v="1"/>
    <x v="0"/>
    <x v="0"/>
    <x v="43"/>
    <x v="492"/>
    <n v="0"/>
    <x v="0"/>
    <x v="0"/>
    <x v="3"/>
  </r>
  <r>
    <x v="0"/>
    <x v="2"/>
    <x v="2"/>
    <x v="0"/>
    <x v="0"/>
    <x v="43"/>
    <x v="492"/>
    <n v="0"/>
    <x v="0"/>
    <x v="0"/>
    <x v="3"/>
  </r>
  <r>
    <x v="0"/>
    <x v="3"/>
    <x v="3"/>
    <x v="0"/>
    <x v="0"/>
    <x v="43"/>
    <x v="492"/>
    <n v="0"/>
    <x v="0"/>
    <x v="0"/>
    <x v="3"/>
  </r>
  <r>
    <x v="0"/>
    <x v="4"/>
    <x v="4"/>
    <x v="0"/>
    <x v="0"/>
    <x v="43"/>
    <x v="492"/>
    <n v="0"/>
    <x v="0"/>
    <x v="0"/>
    <x v="3"/>
  </r>
  <r>
    <x v="0"/>
    <x v="0"/>
    <x v="0"/>
    <x v="0"/>
    <x v="0"/>
    <x v="143"/>
    <x v="493"/>
    <n v="0"/>
    <x v="0"/>
    <x v="0"/>
    <x v="2"/>
  </r>
  <r>
    <x v="0"/>
    <x v="1"/>
    <x v="1"/>
    <x v="0"/>
    <x v="0"/>
    <x v="143"/>
    <x v="493"/>
    <n v="0"/>
    <x v="0"/>
    <x v="0"/>
    <x v="2"/>
  </r>
  <r>
    <x v="0"/>
    <x v="2"/>
    <x v="2"/>
    <x v="0"/>
    <x v="0"/>
    <x v="143"/>
    <x v="493"/>
    <n v="0"/>
    <x v="0"/>
    <x v="0"/>
    <x v="2"/>
  </r>
  <r>
    <x v="0"/>
    <x v="3"/>
    <x v="3"/>
    <x v="0"/>
    <x v="0"/>
    <x v="143"/>
    <x v="493"/>
    <n v="0"/>
    <x v="0"/>
    <x v="0"/>
    <x v="2"/>
  </r>
  <r>
    <x v="0"/>
    <x v="4"/>
    <x v="4"/>
    <x v="0"/>
    <x v="0"/>
    <x v="143"/>
    <x v="493"/>
    <n v="0"/>
    <x v="0"/>
    <x v="0"/>
    <x v="2"/>
  </r>
  <r>
    <x v="0"/>
    <x v="0"/>
    <x v="0"/>
    <x v="0"/>
    <x v="0"/>
    <x v="39"/>
    <x v="494"/>
    <n v="0"/>
    <x v="0"/>
    <x v="0"/>
    <x v="3"/>
  </r>
  <r>
    <x v="0"/>
    <x v="1"/>
    <x v="1"/>
    <x v="0"/>
    <x v="0"/>
    <x v="39"/>
    <x v="494"/>
    <n v="0"/>
    <x v="0"/>
    <x v="0"/>
    <x v="3"/>
  </r>
  <r>
    <x v="0"/>
    <x v="2"/>
    <x v="2"/>
    <x v="0"/>
    <x v="0"/>
    <x v="39"/>
    <x v="494"/>
    <n v="0"/>
    <x v="0"/>
    <x v="0"/>
    <x v="3"/>
  </r>
  <r>
    <x v="0"/>
    <x v="3"/>
    <x v="3"/>
    <x v="0"/>
    <x v="0"/>
    <x v="39"/>
    <x v="494"/>
    <n v="0"/>
    <x v="0"/>
    <x v="0"/>
    <x v="3"/>
  </r>
  <r>
    <x v="0"/>
    <x v="4"/>
    <x v="4"/>
    <x v="0"/>
    <x v="0"/>
    <x v="39"/>
    <x v="494"/>
    <n v="0"/>
    <x v="0"/>
    <x v="0"/>
    <x v="3"/>
  </r>
  <r>
    <x v="0"/>
    <x v="0"/>
    <x v="0"/>
    <x v="0"/>
    <x v="0"/>
    <x v="40"/>
    <x v="495"/>
    <n v="0"/>
    <x v="0"/>
    <x v="0"/>
    <x v="3"/>
  </r>
  <r>
    <x v="0"/>
    <x v="1"/>
    <x v="1"/>
    <x v="0"/>
    <x v="0"/>
    <x v="40"/>
    <x v="495"/>
    <n v="0"/>
    <x v="0"/>
    <x v="0"/>
    <x v="3"/>
  </r>
  <r>
    <x v="0"/>
    <x v="2"/>
    <x v="2"/>
    <x v="0"/>
    <x v="0"/>
    <x v="40"/>
    <x v="495"/>
    <n v="0"/>
    <x v="0"/>
    <x v="0"/>
    <x v="3"/>
  </r>
  <r>
    <x v="0"/>
    <x v="3"/>
    <x v="3"/>
    <x v="0"/>
    <x v="0"/>
    <x v="40"/>
    <x v="495"/>
    <n v="0"/>
    <x v="0"/>
    <x v="0"/>
    <x v="3"/>
  </r>
  <r>
    <x v="0"/>
    <x v="4"/>
    <x v="4"/>
    <x v="0"/>
    <x v="0"/>
    <x v="40"/>
    <x v="495"/>
    <n v="0"/>
    <x v="0"/>
    <x v="0"/>
    <x v="3"/>
  </r>
  <r>
    <x v="0"/>
    <x v="0"/>
    <x v="0"/>
    <x v="0"/>
    <x v="0"/>
    <x v="41"/>
    <x v="496"/>
    <n v="0"/>
    <x v="0"/>
    <x v="0"/>
    <x v="3"/>
  </r>
  <r>
    <x v="0"/>
    <x v="1"/>
    <x v="1"/>
    <x v="0"/>
    <x v="0"/>
    <x v="41"/>
    <x v="496"/>
    <n v="0"/>
    <x v="0"/>
    <x v="0"/>
    <x v="3"/>
  </r>
  <r>
    <x v="0"/>
    <x v="2"/>
    <x v="2"/>
    <x v="0"/>
    <x v="0"/>
    <x v="41"/>
    <x v="496"/>
    <n v="0"/>
    <x v="0"/>
    <x v="0"/>
    <x v="3"/>
  </r>
  <r>
    <x v="0"/>
    <x v="3"/>
    <x v="3"/>
    <x v="0"/>
    <x v="0"/>
    <x v="41"/>
    <x v="496"/>
    <n v="0"/>
    <x v="0"/>
    <x v="0"/>
    <x v="3"/>
  </r>
  <r>
    <x v="0"/>
    <x v="4"/>
    <x v="4"/>
    <x v="0"/>
    <x v="0"/>
    <x v="41"/>
    <x v="496"/>
    <n v="0"/>
    <x v="0"/>
    <x v="0"/>
    <x v="3"/>
  </r>
  <r>
    <x v="0"/>
    <x v="0"/>
    <x v="0"/>
    <x v="0"/>
    <x v="0"/>
    <x v="42"/>
    <x v="497"/>
    <n v="0"/>
    <x v="0"/>
    <x v="0"/>
    <x v="3"/>
  </r>
  <r>
    <x v="0"/>
    <x v="1"/>
    <x v="1"/>
    <x v="0"/>
    <x v="0"/>
    <x v="42"/>
    <x v="497"/>
    <n v="0"/>
    <x v="0"/>
    <x v="0"/>
    <x v="3"/>
  </r>
  <r>
    <x v="0"/>
    <x v="2"/>
    <x v="2"/>
    <x v="0"/>
    <x v="0"/>
    <x v="42"/>
    <x v="497"/>
    <n v="0"/>
    <x v="0"/>
    <x v="0"/>
    <x v="3"/>
  </r>
  <r>
    <x v="0"/>
    <x v="3"/>
    <x v="3"/>
    <x v="0"/>
    <x v="0"/>
    <x v="42"/>
    <x v="497"/>
    <n v="0"/>
    <x v="0"/>
    <x v="0"/>
    <x v="3"/>
  </r>
  <r>
    <x v="0"/>
    <x v="4"/>
    <x v="4"/>
    <x v="0"/>
    <x v="0"/>
    <x v="42"/>
    <x v="497"/>
    <n v="0"/>
    <x v="0"/>
    <x v="0"/>
    <x v="3"/>
  </r>
  <r>
    <x v="0"/>
    <x v="0"/>
    <x v="0"/>
    <x v="0"/>
    <x v="0"/>
    <x v="43"/>
    <x v="498"/>
    <n v="0"/>
    <x v="0"/>
    <x v="0"/>
    <x v="3"/>
  </r>
  <r>
    <x v="0"/>
    <x v="1"/>
    <x v="1"/>
    <x v="0"/>
    <x v="0"/>
    <x v="43"/>
    <x v="498"/>
    <n v="0"/>
    <x v="0"/>
    <x v="0"/>
    <x v="3"/>
  </r>
  <r>
    <x v="0"/>
    <x v="2"/>
    <x v="2"/>
    <x v="0"/>
    <x v="0"/>
    <x v="43"/>
    <x v="498"/>
    <n v="0"/>
    <x v="0"/>
    <x v="0"/>
    <x v="3"/>
  </r>
  <r>
    <x v="0"/>
    <x v="3"/>
    <x v="3"/>
    <x v="0"/>
    <x v="0"/>
    <x v="43"/>
    <x v="498"/>
    <n v="0"/>
    <x v="0"/>
    <x v="0"/>
    <x v="3"/>
  </r>
  <r>
    <x v="0"/>
    <x v="4"/>
    <x v="4"/>
    <x v="0"/>
    <x v="0"/>
    <x v="43"/>
    <x v="498"/>
    <n v="0"/>
    <x v="0"/>
    <x v="0"/>
    <x v="3"/>
  </r>
  <r>
    <x v="0"/>
    <x v="0"/>
    <x v="0"/>
    <x v="0"/>
    <x v="0"/>
    <x v="144"/>
    <x v="499"/>
    <n v="0"/>
    <x v="0"/>
    <x v="0"/>
    <x v="2"/>
  </r>
  <r>
    <x v="0"/>
    <x v="1"/>
    <x v="1"/>
    <x v="0"/>
    <x v="0"/>
    <x v="144"/>
    <x v="499"/>
    <n v="0"/>
    <x v="0"/>
    <x v="0"/>
    <x v="2"/>
  </r>
  <r>
    <x v="0"/>
    <x v="2"/>
    <x v="2"/>
    <x v="0"/>
    <x v="0"/>
    <x v="144"/>
    <x v="499"/>
    <n v="0"/>
    <x v="0"/>
    <x v="0"/>
    <x v="2"/>
  </r>
  <r>
    <x v="0"/>
    <x v="3"/>
    <x v="3"/>
    <x v="0"/>
    <x v="0"/>
    <x v="144"/>
    <x v="499"/>
    <n v="0"/>
    <x v="0"/>
    <x v="0"/>
    <x v="2"/>
  </r>
  <r>
    <x v="0"/>
    <x v="4"/>
    <x v="4"/>
    <x v="0"/>
    <x v="0"/>
    <x v="144"/>
    <x v="499"/>
    <n v="0"/>
    <x v="0"/>
    <x v="0"/>
    <x v="2"/>
  </r>
  <r>
    <x v="0"/>
    <x v="0"/>
    <x v="0"/>
    <x v="0"/>
    <x v="0"/>
    <x v="39"/>
    <x v="500"/>
    <n v="0"/>
    <x v="0"/>
    <x v="0"/>
    <x v="3"/>
  </r>
  <r>
    <x v="0"/>
    <x v="1"/>
    <x v="1"/>
    <x v="0"/>
    <x v="0"/>
    <x v="39"/>
    <x v="500"/>
    <n v="0"/>
    <x v="0"/>
    <x v="0"/>
    <x v="3"/>
  </r>
  <r>
    <x v="0"/>
    <x v="2"/>
    <x v="2"/>
    <x v="0"/>
    <x v="0"/>
    <x v="39"/>
    <x v="500"/>
    <n v="0"/>
    <x v="0"/>
    <x v="0"/>
    <x v="3"/>
  </r>
  <r>
    <x v="0"/>
    <x v="3"/>
    <x v="3"/>
    <x v="0"/>
    <x v="0"/>
    <x v="39"/>
    <x v="500"/>
    <n v="0"/>
    <x v="0"/>
    <x v="0"/>
    <x v="3"/>
  </r>
  <r>
    <x v="0"/>
    <x v="4"/>
    <x v="4"/>
    <x v="0"/>
    <x v="0"/>
    <x v="39"/>
    <x v="500"/>
    <n v="0"/>
    <x v="0"/>
    <x v="0"/>
    <x v="3"/>
  </r>
  <r>
    <x v="0"/>
    <x v="0"/>
    <x v="0"/>
    <x v="0"/>
    <x v="0"/>
    <x v="40"/>
    <x v="501"/>
    <n v="0"/>
    <x v="0"/>
    <x v="0"/>
    <x v="3"/>
  </r>
  <r>
    <x v="0"/>
    <x v="1"/>
    <x v="1"/>
    <x v="0"/>
    <x v="0"/>
    <x v="40"/>
    <x v="501"/>
    <n v="0"/>
    <x v="0"/>
    <x v="0"/>
    <x v="3"/>
  </r>
  <r>
    <x v="0"/>
    <x v="2"/>
    <x v="2"/>
    <x v="0"/>
    <x v="0"/>
    <x v="40"/>
    <x v="501"/>
    <n v="0"/>
    <x v="0"/>
    <x v="0"/>
    <x v="3"/>
  </r>
  <r>
    <x v="0"/>
    <x v="3"/>
    <x v="3"/>
    <x v="0"/>
    <x v="0"/>
    <x v="40"/>
    <x v="501"/>
    <n v="0"/>
    <x v="0"/>
    <x v="0"/>
    <x v="3"/>
  </r>
  <r>
    <x v="0"/>
    <x v="4"/>
    <x v="4"/>
    <x v="0"/>
    <x v="0"/>
    <x v="40"/>
    <x v="501"/>
    <n v="0"/>
    <x v="0"/>
    <x v="0"/>
    <x v="3"/>
  </r>
  <r>
    <x v="0"/>
    <x v="0"/>
    <x v="0"/>
    <x v="0"/>
    <x v="0"/>
    <x v="41"/>
    <x v="502"/>
    <n v="0"/>
    <x v="0"/>
    <x v="0"/>
    <x v="3"/>
  </r>
  <r>
    <x v="0"/>
    <x v="1"/>
    <x v="1"/>
    <x v="0"/>
    <x v="0"/>
    <x v="41"/>
    <x v="502"/>
    <n v="0"/>
    <x v="0"/>
    <x v="0"/>
    <x v="3"/>
  </r>
  <r>
    <x v="0"/>
    <x v="2"/>
    <x v="2"/>
    <x v="0"/>
    <x v="0"/>
    <x v="41"/>
    <x v="502"/>
    <n v="0"/>
    <x v="0"/>
    <x v="0"/>
    <x v="3"/>
  </r>
  <r>
    <x v="0"/>
    <x v="3"/>
    <x v="3"/>
    <x v="0"/>
    <x v="0"/>
    <x v="41"/>
    <x v="502"/>
    <n v="0"/>
    <x v="0"/>
    <x v="0"/>
    <x v="3"/>
  </r>
  <r>
    <x v="0"/>
    <x v="4"/>
    <x v="4"/>
    <x v="0"/>
    <x v="0"/>
    <x v="41"/>
    <x v="502"/>
    <n v="0"/>
    <x v="0"/>
    <x v="0"/>
    <x v="3"/>
  </r>
  <r>
    <x v="0"/>
    <x v="0"/>
    <x v="0"/>
    <x v="0"/>
    <x v="0"/>
    <x v="42"/>
    <x v="503"/>
    <n v="0"/>
    <x v="0"/>
    <x v="0"/>
    <x v="3"/>
  </r>
  <r>
    <x v="0"/>
    <x v="1"/>
    <x v="1"/>
    <x v="0"/>
    <x v="0"/>
    <x v="42"/>
    <x v="503"/>
    <n v="0"/>
    <x v="0"/>
    <x v="0"/>
    <x v="3"/>
  </r>
  <r>
    <x v="0"/>
    <x v="2"/>
    <x v="2"/>
    <x v="0"/>
    <x v="0"/>
    <x v="42"/>
    <x v="503"/>
    <n v="0"/>
    <x v="0"/>
    <x v="0"/>
    <x v="3"/>
  </r>
  <r>
    <x v="0"/>
    <x v="3"/>
    <x v="3"/>
    <x v="0"/>
    <x v="0"/>
    <x v="42"/>
    <x v="503"/>
    <n v="0"/>
    <x v="0"/>
    <x v="0"/>
    <x v="3"/>
  </r>
  <r>
    <x v="0"/>
    <x v="4"/>
    <x v="4"/>
    <x v="0"/>
    <x v="0"/>
    <x v="42"/>
    <x v="503"/>
    <n v="0"/>
    <x v="0"/>
    <x v="0"/>
    <x v="3"/>
  </r>
  <r>
    <x v="0"/>
    <x v="0"/>
    <x v="0"/>
    <x v="0"/>
    <x v="0"/>
    <x v="43"/>
    <x v="504"/>
    <n v="0"/>
    <x v="0"/>
    <x v="0"/>
    <x v="3"/>
  </r>
  <r>
    <x v="0"/>
    <x v="1"/>
    <x v="1"/>
    <x v="0"/>
    <x v="0"/>
    <x v="43"/>
    <x v="504"/>
    <n v="0"/>
    <x v="0"/>
    <x v="0"/>
    <x v="3"/>
  </r>
  <r>
    <x v="0"/>
    <x v="2"/>
    <x v="2"/>
    <x v="0"/>
    <x v="0"/>
    <x v="43"/>
    <x v="504"/>
    <n v="0"/>
    <x v="0"/>
    <x v="0"/>
    <x v="3"/>
  </r>
  <r>
    <x v="0"/>
    <x v="3"/>
    <x v="3"/>
    <x v="0"/>
    <x v="0"/>
    <x v="43"/>
    <x v="504"/>
    <n v="0"/>
    <x v="0"/>
    <x v="0"/>
    <x v="3"/>
  </r>
  <r>
    <x v="0"/>
    <x v="4"/>
    <x v="4"/>
    <x v="0"/>
    <x v="0"/>
    <x v="43"/>
    <x v="504"/>
    <n v="0"/>
    <x v="0"/>
    <x v="0"/>
    <x v="3"/>
  </r>
  <r>
    <x v="0"/>
    <x v="0"/>
    <x v="0"/>
    <x v="0"/>
    <x v="0"/>
    <x v="145"/>
    <x v="505"/>
    <n v="0"/>
    <x v="0"/>
    <x v="0"/>
    <x v="2"/>
  </r>
  <r>
    <x v="0"/>
    <x v="1"/>
    <x v="1"/>
    <x v="0"/>
    <x v="0"/>
    <x v="145"/>
    <x v="505"/>
    <n v="0"/>
    <x v="0"/>
    <x v="0"/>
    <x v="2"/>
  </r>
  <r>
    <x v="0"/>
    <x v="2"/>
    <x v="2"/>
    <x v="0"/>
    <x v="0"/>
    <x v="145"/>
    <x v="505"/>
    <n v="0"/>
    <x v="0"/>
    <x v="0"/>
    <x v="2"/>
  </r>
  <r>
    <x v="0"/>
    <x v="3"/>
    <x v="3"/>
    <x v="0"/>
    <x v="0"/>
    <x v="145"/>
    <x v="505"/>
    <n v="0"/>
    <x v="0"/>
    <x v="0"/>
    <x v="2"/>
  </r>
  <r>
    <x v="0"/>
    <x v="4"/>
    <x v="4"/>
    <x v="0"/>
    <x v="0"/>
    <x v="145"/>
    <x v="505"/>
    <n v="0"/>
    <x v="0"/>
    <x v="0"/>
    <x v="2"/>
  </r>
  <r>
    <x v="0"/>
    <x v="0"/>
    <x v="0"/>
    <x v="0"/>
    <x v="0"/>
    <x v="39"/>
    <x v="506"/>
    <n v="0"/>
    <x v="0"/>
    <x v="0"/>
    <x v="3"/>
  </r>
  <r>
    <x v="0"/>
    <x v="1"/>
    <x v="1"/>
    <x v="0"/>
    <x v="0"/>
    <x v="39"/>
    <x v="506"/>
    <n v="0"/>
    <x v="0"/>
    <x v="0"/>
    <x v="3"/>
  </r>
  <r>
    <x v="0"/>
    <x v="2"/>
    <x v="2"/>
    <x v="0"/>
    <x v="0"/>
    <x v="39"/>
    <x v="506"/>
    <n v="0"/>
    <x v="0"/>
    <x v="0"/>
    <x v="3"/>
  </r>
  <r>
    <x v="0"/>
    <x v="3"/>
    <x v="3"/>
    <x v="0"/>
    <x v="0"/>
    <x v="39"/>
    <x v="506"/>
    <n v="0"/>
    <x v="0"/>
    <x v="0"/>
    <x v="3"/>
  </r>
  <r>
    <x v="0"/>
    <x v="4"/>
    <x v="4"/>
    <x v="0"/>
    <x v="0"/>
    <x v="39"/>
    <x v="506"/>
    <n v="0"/>
    <x v="0"/>
    <x v="0"/>
    <x v="3"/>
  </r>
  <r>
    <x v="0"/>
    <x v="0"/>
    <x v="0"/>
    <x v="0"/>
    <x v="0"/>
    <x v="40"/>
    <x v="507"/>
    <n v="0"/>
    <x v="0"/>
    <x v="0"/>
    <x v="3"/>
  </r>
  <r>
    <x v="0"/>
    <x v="1"/>
    <x v="1"/>
    <x v="0"/>
    <x v="0"/>
    <x v="40"/>
    <x v="507"/>
    <n v="0"/>
    <x v="0"/>
    <x v="0"/>
    <x v="3"/>
  </r>
  <r>
    <x v="0"/>
    <x v="2"/>
    <x v="2"/>
    <x v="0"/>
    <x v="0"/>
    <x v="40"/>
    <x v="507"/>
    <n v="0"/>
    <x v="0"/>
    <x v="0"/>
    <x v="3"/>
  </r>
  <r>
    <x v="0"/>
    <x v="3"/>
    <x v="3"/>
    <x v="0"/>
    <x v="0"/>
    <x v="40"/>
    <x v="507"/>
    <n v="0"/>
    <x v="0"/>
    <x v="0"/>
    <x v="3"/>
  </r>
  <r>
    <x v="0"/>
    <x v="4"/>
    <x v="4"/>
    <x v="0"/>
    <x v="0"/>
    <x v="40"/>
    <x v="507"/>
    <n v="0"/>
    <x v="0"/>
    <x v="0"/>
    <x v="3"/>
  </r>
  <r>
    <x v="0"/>
    <x v="0"/>
    <x v="0"/>
    <x v="0"/>
    <x v="0"/>
    <x v="41"/>
    <x v="508"/>
    <n v="0"/>
    <x v="0"/>
    <x v="0"/>
    <x v="3"/>
  </r>
  <r>
    <x v="0"/>
    <x v="1"/>
    <x v="1"/>
    <x v="0"/>
    <x v="0"/>
    <x v="41"/>
    <x v="508"/>
    <n v="0"/>
    <x v="0"/>
    <x v="0"/>
    <x v="3"/>
  </r>
  <r>
    <x v="0"/>
    <x v="2"/>
    <x v="2"/>
    <x v="0"/>
    <x v="0"/>
    <x v="41"/>
    <x v="508"/>
    <n v="0"/>
    <x v="0"/>
    <x v="0"/>
    <x v="3"/>
  </r>
  <r>
    <x v="0"/>
    <x v="3"/>
    <x v="3"/>
    <x v="0"/>
    <x v="0"/>
    <x v="41"/>
    <x v="508"/>
    <n v="0"/>
    <x v="0"/>
    <x v="0"/>
    <x v="3"/>
  </r>
  <r>
    <x v="0"/>
    <x v="4"/>
    <x v="4"/>
    <x v="0"/>
    <x v="0"/>
    <x v="41"/>
    <x v="508"/>
    <n v="0"/>
    <x v="0"/>
    <x v="0"/>
    <x v="3"/>
  </r>
  <r>
    <x v="0"/>
    <x v="0"/>
    <x v="0"/>
    <x v="0"/>
    <x v="0"/>
    <x v="42"/>
    <x v="509"/>
    <n v="0"/>
    <x v="0"/>
    <x v="0"/>
    <x v="3"/>
  </r>
  <r>
    <x v="0"/>
    <x v="1"/>
    <x v="1"/>
    <x v="0"/>
    <x v="0"/>
    <x v="42"/>
    <x v="509"/>
    <n v="0"/>
    <x v="0"/>
    <x v="0"/>
    <x v="3"/>
  </r>
  <r>
    <x v="0"/>
    <x v="2"/>
    <x v="2"/>
    <x v="0"/>
    <x v="0"/>
    <x v="42"/>
    <x v="509"/>
    <n v="0"/>
    <x v="0"/>
    <x v="0"/>
    <x v="3"/>
  </r>
  <r>
    <x v="0"/>
    <x v="3"/>
    <x v="3"/>
    <x v="0"/>
    <x v="0"/>
    <x v="42"/>
    <x v="509"/>
    <n v="0"/>
    <x v="0"/>
    <x v="0"/>
    <x v="3"/>
  </r>
  <r>
    <x v="0"/>
    <x v="4"/>
    <x v="4"/>
    <x v="0"/>
    <x v="0"/>
    <x v="42"/>
    <x v="509"/>
    <n v="0"/>
    <x v="0"/>
    <x v="0"/>
    <x v="3"/>
  </r>
  <r>
    <x v="0"/>
    <x v="0"/>
    <x v="0"/>
    <x v="0"/>
    <x v="0"/>
    <x v="43"/>
    <x v="510"/>
    <n v="0"/>
    <x v="0"/>
    <x v="0"/>
    <x v="3"/>
  </r>
  <r>
    <x v="0"/>
    <x v="1"/>
    <x v="1"/>
    <x v="0"/>
    <x v="0"/>
    <x v="43"/>
    <x v="510"/>
    <n v="0"/>
    <x v="0"/>
    <x v="0"/>
    <x v="3"/>
  </r>
  <r>
    <x v="0"/>
    <x v="2"/>
    <x v="2"/>
    <x v="0"/>
    <x v="0"/>
    <x v="43"/>
    <x v="510"/>
    <n v="0"/>
    <x v="0"/>
    <x v="0"/>
    <x v="3"/>
  </r>
  <r>
    <x v="0"/>
    <x v="3"/>
    <x v="3"/>
    <x v="0"/>
    <x v="0"/>
    <x v="43"/>
    <x v="510"/>
    <n v="0"/>
    <x v="0"/>
    <x v="0"/>
    <x v="3"/>
  </r>
  <r>
    <x v="0"/>
    <x v="4"/>
    <x v="4"/>
    <x v="0"/>
    <x v="0"/>
    <x v="43"/>
    <x v="510"/>
    <n v="0"/>
    <x v="0"/>
    <x v="0"/>
    <x v="3"/>
  </r>
  <r>
    <x v="0"/>
    <x v="0"/>
    <x v="0"/>
    <x v="0"/>
    <x v="0"/>
    <x v="146"/>
    <x v="511"/>
    <n v="0"/>
    <x v="0"/>
    <x v="0"/>
    <x v="2"/>
  </r>
  <r>
    <x v="0"/>
    <x v="1"/>
    <x v="1"/>
    <x v="0"/>
    <x v="0"/>
    <x v="146"/>
    <x v="511"/>
    <n v="0"/>
    <x v="0"/>
    <x v="0"/>
    <x v="2"/>
  </r>
  <r>
    <x v="0"/>
    <x v="2"/>
    <x v="2"/>
    <x v="0"/>
    <x v="0"/>
    <x v="146"/>
    <x v="511"/>
    <n v="0"/>
    <x v="0"/>
    <x v="0"/>
    <x v="2"/>
  </r>
  <r>
    <x v="0"/>
    <x v="3"/>
    <x v="3"/>
    <x v="0"/>
    <x v="0"/>
    <x v="146"/>
    <x v="511"/>
    <n v="0"/>
    <x v="0"/>
    <x v="0"/>
    <x v="2"/>
  </r>
  <r>
    <x v="0"/>
    <x v="4"/>
    <x v="4"/>
    <x v="0"/>
    <x v="0"/>
    <x v="146"/>
    <x v="511"/>
    <n v="0"/>
    <x v="0"/>
    <x v="0"/>
    <x v="2"/>
  </r>
  <r>
    <x v="0"/>
    <x v="0"/>
    <x v="0"/>
    <x v="0"/>
    <x v="0"/>
    <x v="39"/>
    <x v="512"/>
    <n v="0"/>
    <x v="0"/>
    <x v="0"/>
    <x v="3"/>
  </r>
  <r>
    <x v="0"/>
    <x v="1"/>
    <x v="1"/>
    <x v="0"/>
    <x v="0"/>
    <x v="39"/>
    <x v="512"/>
    <n v="0"/>
    <x v="0"/>
    <x v="0"/>
    <x v="3"/>
  </r>
  <r>
    <x v="0"/>
    <x v="2"/>
    <x v="2"/>
    <x v="0"/>
    <x v="0"/>
    <x v="39"/>
    <x v="512"/>
    <n v="0"/>
    <x v="0"/>
    <x v="0"/>
    <x v="3"/>
  </r>
  <r>
    <x v="0"/>
    <x v="3"/>
    <x v="3"/>
    <x v="0"/>
    <x v="0"/>
    <x v="39"/>
    <x v="512"/>
    <n v="0"/>
    <x v="0"/>
    <x v="0"/>
    <x v="3"/>
  </r>
  <r>
    <x v="0"/>
    <x v="4"/>
    <x v="4"/>
    <x v="0"/>
    <x v="0"/>
    <x v="39"/>
    <x v="512"/>
    <n v="0"/>
    <x v="0"/>
    <x v="0"/>
    <x v="3"/>
  </r>
  <r>
    <x v="0"/>
    <x v="0"/>
    <x v="0"/>
    <x v="0"/>
    <x v="0"/>
    <x v="40"/>
    <x v="513"/>
    <n v="0"/>
    <x v="0"/>
    <x v="0"/>
    <x v="3"/>
  </r>
  <r>
    <x v="0"/>
    <x v="1"/>
    <x v="1"/>
    <x v="0"/>
    <x v="0"/>
    <x v="40"/>
    <x v="513"/>
    <n v="0"/>
    <x v="0"/>
    <x v="0"/>
    <x v="3"/>
  </r>
  <r>
    <x v="0"/>
    <x v="2"/>
    <x v="2"/>
    <x v="0"/>
    <x v="0"/>
    <x v="40"/>
    <x v="513"/>
    <n v="0"/>
    <x v="0"/>
    <x v="0"/>
    <x v="3"/>
  </r>
  <r>
    <x v="0"/>
    <x v="3"/>
    <x v="3"/>
    <x v="0"/>
    <x v="0"/>
    <x v="40"/>
    <x v="513"/>
    <n v="0"/>
    <x v="0"/>
    <x v="0"/>
    <x v="3"/>
  </r>
  <r>
    <x v="0"/>
    <x v="4"/>
    <x v="4"/>
    <x v="0"/>
    <x v="0"/>
    <x v="40"/>
    <x v="513"/>
    <n v="0"/>
    <x v="0"/>
    <x v="0"/>
    <x v="3"/>
  </r>
  <r>
    <x v="0"/>
    <x v="0"/>
    <x v="0"/>
    <x v="0"/>
    <x v="0"/>
    <x v="41"/>
    <x v="514"/>
    <n v="0"/>
    <x v="0"/>
    <x v="0"/>
    <x v="3"/>
  </r>
  <r>
    <x v="0"/>
    <x v="1"/>
    <x v="1"/>
    <x v="0"/>
    <x v="0"/>
    <x v="41"/>
    <x v="514"/>
    <n v="0"/>
    <x v="0"/>
    <x v="0"/>
    <x v="3"/>
  </r>
  <r>
    <x v="0"/>
    <x v="2"/>
    <x v="2"/>
    <x v="0"/>
    <x v="0"/>
    <x v="41"/>
    <x v="514"/>
    <n v="0"/>
    <x v="0"/>
    <x v="0"/>
    <x v="3"/>
  </r>
  <r>
    <x v="0"/>
    <x v="3"/>
    <x v="3"/>
    <x v="0"/>
    <x v="0"/>
    <x v="41"/>
    <x v="514"/>
    <n v="0"/>
    <x v="0"/>
    <x v="0"/>
    <x v="3"/>
  </r>
  <r>
    <x v="0"/>
    <x v="4"/>
    <x v="4"/>
    <x v="0"/>
    <x v="0"/>
    <x v="41"/>
    <x v="514"/>
    <n v="0"/>
    <x v="0"/>
    <x v="0"/>
    <x v="3"/>
  </r>
  <r>
    <x v="0"/>
    <x v="0"/>
    <x v="0"/>
    <x v="0"/>
    <x v="0"/>
    <x v="42"/>
    <x v="515"/>
    <n v="0"/>
    <x v="0"/>
    <x v="0"/>
    <x v="3"/>
  </r>
  <r>
    <x v="0"/>
    <x v="1"/>
    <x v="1"/>
    <x v="0"/>
    <x v="0"/>
    <x v="42"/>
    <x v="515"/>
    <n v="0"/>
    <x v="0"/>
    <x v="0"/>
    <x v="3"/>
  </r>
  <r>
    <x v="0"/>
    <x v="2"/>
    <x v="2"/>
    <x v="0"/>
    <x v="0"/>
    <x v="42"/>
    <x v="515"/>
    <n v="0"/>
    <x v="0"/>
    <x v="0"/>
    <x v="3"/>
  </r>
  <r>
    <x v="0"/>
    <x v="3"/>
    <x v="3"/>
    <x v="0"/>
    <x v="0"/>
    <x v="42"/>
    <x v="515"/>
    <n v="0"/>
    <x v="0"/>
    <x v="0"/>
    <x v="3"/>
  </r>
  <r>
    <x v="0"/>
    <x v="4"/>
    <x v="4"/>
    <x v="0"/>
    <x v="0"/>
    <x v="42"/>
    <x v="515"/>
    <n v="0"/>
    <x v="0"/>
    <x v="0"/>
    <x v="3"/>
  </r>
  <r>
    <x v="0"/>
    <x v="0"/>
    <x v="0"/>
    <x v="0"/>
    <x v="0"/>
    <x v="43"/>
    <x v="516"/>
    <n v="0"/>
    <x v="0"/>
    <x v="0"/>
    <x v="3"/>
  </r>
  <r>
    <x v="0"/>
    <x v="1"/>
    <x v="1"/>
    <x v="0"/>
    <x v="0"/>
    <x v="43"/>
    <x v="516"/>
    <n v="0"/>
    <x v="0"/>
    <x v="0"/>
    <x v="3"/>
  </r>
  <r>
    <x v="0"/>
    <x v="2"/>
    <x v="2"/>
    <x v="0"/>
    <x v="0"/>
    <x v="43"/>
    <x v="516"/>
    <n v="0"/>
    <x v="0"/>
    <x v="0"/>
    <x v="3"/>
  </r>
  <r>
    <x v="0"/>
    <x v="3"/>
    <x v="3"/>
    <x v="0"/>
    <x v="0"/>
    <x v="43"/>
    <x v="516"/>
    <n v="0"/>
    <x v="0"/>
    <x v="0"/>
    <x v="3"/>
  </r>
  <r>
    <x v="0"/>
    <x v="4"/>
    <x v="4"/>
    <x v="0"/>
    <x v="0"/>
    <x v="43"/>
    <x v="516"/>
    <n v="0"/>
    <x v="0"/>
    <x v="0"/>
    <x v="3"/>
  </r>
  <r>
    <x v="0"/>
    <x v="0"/>
    <x v="0"/>
    <x v="0"/>
    <x v="0"/>
    <x v="147"/>
    <x v="517"/>
    <n v="0"/>
    <x v="0"/>
    <x v="0"/>
    <x v="2"/>
  </r>
  <r>
    <x v="0"/>
    <x v="1"/>
    <x v="1"/>
    <x v="0"/>
    <x v="0"/>
    <x v="147"/>
    <x v="517"/>
    <n v="0"/>
    <x v="0"/>
    <x v="0"/>
    <x v="2"/>
  </r>
  <r>
    <x v="0"/>
    <x v="2"/>
    <x v="2"/>
    <x v="0"/>
    <x v="0"/>
    <x v="147"/>
    <x v="517"/>
    <n v="0"/>
    <x v="0"/>
    <x v="0"/>
    <x v="2"/>
  </r>
  <r>
    <x v="0"/>
    <x v="3"/>
    <x v="3"/>
    <x v="0"/>
    <x v="0"/>
    <x v="147"/>
    <x v="517"/>
    <n v="0"/>
    <x v="0"/>
    <x v="0"/>
    <x v="2"/>
  </r>
  <r>
    <x v="0"/>
    <x v="4"/>
    <x v="4"/>
    <x v="0"/>
    <x v="0"/>
    <x v="147"/>
    <x v="517"/>
    <n v="0"/>
    <x v="0"/>
    <x v="0"/>
    <x v="2"/>
  </r>
  <r>
    <x v="0"/>
    <x v="0"/>
    <x v="0"/>
    <x v="0"/>
    <x v="0"/>
    <x v="39"/>
    <x v="518"/>
    <n v="0"/>
    <x v="0"/>
    <x v="0"/>
    <x v="3"/>
  </r>
  <r>
    <x v="0"/>
    <x v="1"/>
    <x v="1"/>
    <x v="0"/>
    <x v="0"/>
    <x v="39"/>
    <x v="518"/>
    <n v="0"/>
    <x v="0"/>
    <x v="0"/>
    <x v="3"/>
  </r>
  <r>
    <x v="0"/>
    <x v="2"/>
    <x v="2"/>
    <x v="0"/>
    <x v="0"/>
    <x v="39"/>
    <x v="518"/>
    <n v="0"/>
    <x v="0"/>
    <x v="0"/>
    <x v="3"/>
  </r>
  <r>
    <x v="0"/>
    <x v="3"/>
    <x v="3"/>
    <x v="0"/>
    <x v="0"/>
    <x v="39"/>
    <x v="518"/>
    <n v="0"/>
    <x v="0"/>
    <x v="0"/>
    <x v="3"/>
  </r>
  <r>
    <x v="0"/>
    <x v="4"/>
    <x v="4"/>
    <x v="0"/>
    <x v="0"/>
    <x v="39"/>
    <x v="518"/>
    <n v="0"/>
    <x v="0"/>
    <x v="0"/>
    <x v="3"/>
  </r>
  <r>
    <x v="0"/>
    <x v="0"/>
    <x v="0"/>
    <x v="0"/>
    <x v="0"/>
    <x v="40"/>
    <x v="519"/>
    <n v="0"/>
    <x v="0"/>
    <x v="0"/>
    <x v="3"/>
  </r>
  <r>
    <x v="0"/>
    <x v="1"/>
    <x v="1"/>
    <x v="0"/>
    <x v="0"/>
    <x v="40"/>
    <x v="519"/>
    <n v="0"/>
    <x v="0"/>
    <x v="0"/>
    <x v="3"/>
  </r>
  <r>
    <x v="0"/>
    <x v="2"/>
    <x v="2"/>
    <x v="0"/>
    <x v="0"/>
    <x v="40"/>
    <x v="519"/>
    <n v="0"/>
    <x v="0"/>
    <x v="0"/>
    <x v="3"/>
  </r>
  <r>
    <x v="0"/>
    <x v="3"/>
    <x v="3"/>
    <x v="0"/>
    <x v="0"/>
    <x v="40"/>
    <x v="519"/>
    <n v="0"/>
    <x v="0"/>
    <x v="0"/>
    <x v="3"/>
  </r>
  <r>
    <x v="0"/>
    <x v="4"/>
    <x v="4"/>
    <x v="0"/>
    <x v="0"/>
    <x v="40"/>
    <x v="519"/>
    <n v="0"/>
    <x v="0"/>
    <x v="0"/>
    <x v="3"/>
  </r>
  <r>
    <x v="0"/>
    <x v="0"/>
    <x v="0"/>
    <x v="0"/>
    <x v="0"/>
    <x v="41"/>
    <x v="520"/>
    <n v="0"/>
    <x v="0"/>
    <x v="0"/>
    <x v="3"/>
  </r>
  <r>
    <x v="0"/>
    <x v="1"/>
    <x v="1"/>
    <x v="0"/>
    <x v="0"/>
    <x v="41"/>
    <x v="520"/>
    <n v="0"/>
    <x v="0"/>
    <x v="0"/>
    <x v="3"/>
  </r>
  <r>
    <x v="0"/>
    <x v="2"/>
    <x v="2"/>
    <x v="0"/>
    <x v="0"/>
    <x v="41"/>
    <x v="520"/>
    <n v="0"/>
    <x v="0"/>
    <x v="0"/>
    <x v="3"/>
  </r>
  <r>
    <x v="0"/>
    <x v="3"/>
    <x v="3"/>
    <x v="0"/>
    <x v="0"/>
    <x v="41"/>
    <x v="520"/>
    <n v="0"/>
    <x v="0"/>
    <x v="0"/>
    <x v="3"/>
  </r>
  <r>
    <x v="0"/>
    <x v="4"/>
    <x v="4"/>
    <x v="0"/>
    <x v="0"/>
    <x v="41"/>
    <x v="520"/>
    <n v="0"/>
    <x v="0"/>
    <x v="0"/>
    <x v="3"/>
  </r>
  <r>
    <x v="0"/>
    <x v="0"/>
    <x v="0"/>
    <x v="0"/>
    <x v="0"/>
    <x v="42"/>
    <x v="521"/>
    <n v="0"/>
    <x v="0"/>
    <x v="0"/>
    <x v="3"/>
  </r>
  <r>
    <x v="0"/>
    <x v="1"/>
    <x v="1"/>
    <x v="0"/>
    <x v="0"/>
    <x v="42"/>
    <x v="521"/>
    <n v="0"/>
    <x v="0"/>
    <x v="0"/>
    <x v="3"/>
  </r>
  <r>
    <x v="0"/>
    <x v="2"/>
    <x v="2"/>
    <x v="0"/>
    <x v="0"/>
    <x v="42"/>
    <x v="521"/>
    <n v="0"/>
    <x v="0"/>
    <x v="0"/>
    <x v="3"/>
  </r>
  <r>
    <x v="0"/>
    <x v="3"/>
    <x v="3"/>
    <x v="0"/>
    <x v="0"/>
    <x v="42"/>
    <x v="521"/>
    <n v="0"/>
    <x v="0"/>
    <x v="0"/>
    <x v="3"/>
  </r>
  <r>
    <x v="0"/>
    <x v="4"/>
    <x v="4"/>
    <x v="0"/>
    <x v="0"/>
    <x v="42"/>
    <x v="521"/>
    <n v="0"/>
    <x v="0"/>
    <x v="0"/>
    <x v="3"/>
  </r>
  <r>
    <x v="0"/>
    <x v="0"/>
    <x v="0"/>
    <x v="0"/>
    <x v="0"/>
    <x v="43"/>
    <x v="522"/>
    <n v="0"/>
    <x v="0"/>
    <x v="0"/>
    <x v="3"/>
  </r>
  <r>
    <x v="0"/>
    <x v="1"/>
    <x v="1"/>
    <x v="0"/>
    <x v="0"/>
    <x v="43"/>
    <x v="522"/>
    <n v="0"/>
    <x v="0"/>
    <x v="0"/>
    <x v="3"/>
  </r>
  <r>
    <x v="0"/>
    <x v="2"/>
    <x v="2"/>
    <x v="0"/>
    <x v="0"/>
    <x v="43"/>
    <x v="522"/>
    <n v="0"/>
    <x v="0"/>
    <x v="0"/>
    <x v="3"/>
  </r>
  <r>
    <x v="0"/>
    <x v="3"/>
    <x v="3"/>
    <x v="0"/>
    <x v="0"/>
    <x v="43"/>
    <x v="522"/>
    <n v="0"/>
    <x v="0"/>
    <x v="0"/>
    <x v="3"/>
  </r>
  <r>
    <x v="0"/>
    <x v="4"/>
    <x v="4"/>
    <x v="0"/>
    <x v="0"/>
    <x v="43"/>
    <x v="522"/>
    <n v="0"/>
    <x v="0"/>
    <x v="0"/>
    <x v="3"/>
  </r>
  <r>
    <x v="0"/>
    <x v="0"/>
    <x v="0"/>
    <x v="0"/>
    <x v="0"/>
    <x v="148"/>
    <x v="523"/>
    <n v="0"/>
    <x v="0"/>
    <x v="0"/>
    <x v="2"/>
  </r>
  <r>
    <x v="0"/>
    <x v="1"/>
    <x v="1"/>
    <x v="0"/>
    <x v="0"/>
    <x v="148"/>
    <x v="523"/>
    <n v="0"/>
    <x v="0"/>
    <x v="0"/>
    <x v="2"/>
  </r>
  <r>
    <x v="0"/>
    <x v="2"/>
    <x v="2"/>
    <x v="0"/>
    <x v="0"/>
    <x v="148"/>
    <x v="523"/>
    <n v="0"/>
    <x v="0"/>
    <x v="0"/>
    <x v="2"/>
  </r>
  <r>
    <x v="0"/>
    <x v="3"/>
    <x v="3"/>
    <x v="0"/>
    <x v="0"/>
    <x v="148"/>
    <x v="523"/>
    <n v="0"/>
    <x v="0"/>
    <x v="0"/>
    <x v="2"/>
  </r>
  <r>
    <x v="0"/>
    <x v="4"/>
    <x v="4"/>
    <x v="0"/>
    <x v="0"/>
    <x v="148"/>
    <x v="523"/>
    <n v="0"/>
    <x v="0"/>
    <x v="0"/>
    <x v="2"/>
  </r>
  <r>
    <x v="0"/>
    <x v="0"/>
    <x v="0"/>
    <x v="0"/>
    <x v="0"/>
    <x v="39"/>
    <x v="524"/>
    <n v="0"/>
    <x v="0"/>
    <x v="0"/>
    <x v="3"/>
  </r>
  <r>
    <x v="0"/>
    <x v="1"/>
    <x v="1"/>
    <x v="0"/>
    <x v="0"/>
    <x v="39"/>
    <x v="524"/>
    <n v="0"/>
    <x v="0"/>
    <x v="0"/>
    <x v="3"/>
  </r>
  <r>
    <x v="0"/>
    <x v="2"/>
    <x v="2"/>
    <x v="0"/>
    <x v="0"/>
    <x v="39"/>
    <x v="524"/>
    <n v="0"/>
    <x v="0"/>
    <x v="0"/>
    <x v="3"/>
  </r>
  <r>
    <x v="0"/>
    <x v="3"/>
    <x v="3"/>
    <x v="0"/>
    <x v="0"/>
    <x v="39"/>
    <x v="524"/>
    <n v="0"/>
    <x v="0"/>
    <x v="0"/>
    <x v="3"/>
  </r>
  <r>
    <x v="0"/>
    <x v="4"/>
    <x v="4"/>
    <x v="0"/>
    <x v="0"/>
    <x v="39"/>
    <x v="524"/>
    <n v="0"/>
    <x v="0"/>
    <x v="0"/>
    <x v="3"/>
  </r>
  <r>
    <x v="0"/>
    <x v="0"/>
    <x v="0"/>
    <x v="0"/>
    <x v="0"/>
    <x v="40"/>
    <x v="525"/>
    <n v="0"/>
    <x v="0"/>
    <x v="0"/>
    <x v="3"/>
  </r>
  <r>
    <x v="0"/>
    <x v="1"/>
    <x v="1"/>
    <x v="0"/>
    <x v="0"/>
    <x v="40"/>
    <x v="525"/>
    <n v="0"/>
    <x v="0"/>
    <x v="0"/>
    <x v="3"/>
  </r>
  <r>
    <x v="0"/>
    <x v="2"/>
    <x v="2"/>
    <x v="0"/>
    <x v="0"/>
    <x v="40"/>
    <x v="525"/>
    <n v="0"/>
    <x v="0"/>
    <x v="0"/>
    <x v="3"/>
  </r>
  <r>
    <x v="0"/>
    <x v="3"/>
    <x v="3"/>
    <x v="0"/>
    <x v="0"/>
    <x v="40"/>
    <x v="525"/>
    <n v="0"/>
    <x v="0"/>
    <x v="0"/>
    <x v="3"/>
  </r>
  <r>
    <x v="0"/>
    <x v="4"/>
    <x v="4"/>
    <x v="0"/>
    <x v="0"/>
    <x v="40"/>
    <x v="525"/>
    <n v="0"/>
    <x v="0"/>
    <x v="0"/>
    <x v="3"/>
  </r>
  <r>
    <x v="0"/>
    <x v="0"/>
    <x v="0"/>
    <x v="0"/>
    <x v="0"/>
    <x v="41"/>
    <x v="526"/>
    <n v="0"/>
    <x v="0"/>
    <x v="0"/>
    <x v="3"/>
  </r>
  <r>
    <x v="0"/>
    <x v="1"/>
    <x v="1"/>
    <x v="0"/>
    <x v="0"/>
    <x v="41"/>
    <x v="526"/>
    <n v="0"/>
    <x v="0"/>
    <x v="0"/>
    <x v="3"/>
  </r>
  <r>
    <x v="0"/>
    <x v="2"/>
    <x v="2"/>
    <x v="0"/>
    <x v="0"/>
    <x v="41"/>
    <x v="526"/>
    <n v="0"/>
    <x v="0"/>
    <x v="0"/>
    <x v="3"/>
  </r>
  <r>
    <x v="0"/>
    <x v="3"/>
    <x v="3"/>
    <x v="0"/>
    <x v="0"/>
    <x v="41"/>
    <x v="526"/>
    <n v="0"/>
    <x v="0"/>
    <x v="0"/>
    <x v="3"/>
  </r>
  <r>
    <x v="0"/>
    <x v="4"/>
    <x v="4"/>
    <x v="0"/>
    <x v="0"/>
    <x v="41"/>
    <x v="526"/>
    <n v="0"/>
    <x v="0"/>
    <x v="0"/>
    <x v="3"/>
  </r>
  <r>
    <x v="0"/>
    <x v="0"/>
    <x v="0"/>
    <x v="0"/>
    <x v="0"/>
    <x v="42"/>
    <x v="527"/>
    <n v="0"/>
    <x v="0"/>
    <x v="0"/>
    <x v="3"/>
  </r>
  <r>
    <x v="0"/>
    <x v="1"/>
    <x v="1"/>
    <x v="0"/>
    <x v="0"/>
    <x v="42"/>
    <x v="527"/>
    <n v="0"/>
    <x v="0"/>
    <x v="0"/>
    <x v="3"/>
  </r>
  <r>
    <x v="0"/>
    <x v="2"/>
    <x v="2"/>
    <x v="0"/>
    <x v="0"/>
    <x v="42"/>
    <x v="527"/>
    <n v="0"/>
    <x v="0"/>
    <x v="0"/>
    <x v="3"/>
  </r>
  <r>
    <x v="0"/>
    <x v="3"/>
    <x v="3"/>
    <x v="0"/>
    <x v="0"/>
    <x v="42"/>
    <x v="527"/>
    <n v="0"/>
    <x v="0"/>
    <x v="0"/>
    <x v="3"/>
  </r>
  <r>
    <x v="0"/>
    <x v="4"/>
    <x v="4"/>
    <x v="0"/>
    <x v="0"/>
    <x v="42"/>
    <x v="527"/>
    <n v="0"/>
    <x v="0"/>
    <x v="0"/>
    <x v="3"/>
  </r>
  <r>
    <x v="0"/>
    <x v="0"/>
    <x v="0"/>
    <x v="0"/>
    <x v="0"/>
    <x v="43"/>
    <x v="528"/>
    <n v="0"/>
    <x v="0"/>
    <x v="0"/>
    <x v="3"/>
  </r>
  <r>
    <x v="0"/>
    <x v="1"/>
    <x v="1"/>
    <x v="0"/>
    <x v="0"/>
    <x v="43"/>
    <x v="528"/>
    <n v="0"/>
    <x v="0"/>
    <x v="0"/>
    <x v="3"/>
  </r>
  <r>
    <x v="0"/>
    <x v="2"/>
    <x v="2"/>
    <x v="0"/>
    <x v="0"/>
    <x v="43"/>
    <x v="528"/>
    <n v="0"/>
    <x v="0"/>
    <x v="0"/>
    <x v="3"/>
  </r>
  <r>
    <x v="0"/>
    <x v="3"/>
    <x v="3"/>
    <x v="0"/>
    <x v="0"/>
    <x v="43"/>
    <x v="528"/>
    <n v="0"/>
    <x v="0"/>
    <x v="0"/>
    <x v="3"/>
  </r>
  <r>
    <x v="0"/>
    <x v="4"/>
    <x v="4"/>
    <x v="0"/>
    <x v="0"/>
    <x v="43"/>
    <x v="528"/>
    <n v="0"/>
    <x v="0"/>
    <x v="0"/>
    <x v="3"/>
  </r>
  <r>
    <x v="0"/>
    <x v="0"/>
    <x v="0"/>
    <x v="0"/>
    <x v="0"/>
    <x v="149"/>
    <x v="529"/>
    <n v="0"/>
    <x v="0"/>
    <x v="0"/>
    <x v="2"/>
  </r>
  <r>
    <x v="0"/>
    <x v="1"/>
    <x v="1"/>
    <x v="0"/>
    <x v="0"/>
    <x v="149"/>
    <x v="529"/>
    <n v="0"/>
    <x v="0"/>
    <x v="0"/>
    <x v="2"/>
  </r>
  <r>
    <x v="0"/>
    <x v="2"/>
    <x v="2"/>
    <x v="0"/>
    <x v="0"/>
    <x v="149"/>
    <x v="529"/>
    <n v="0"/>
    <x v="0"/>
    <x v="0"/>
    <x v="2"/>
  </r>
  <r>
    <x v="0"/>
    <x v="3"/>
    <x v="3"/>
    <x v="0"/>
    <x v="0"/>
    <x v="149"/>
    <x v="529"/>
    <n v="0"/>
    <x v="0"/>
    <x v="0"/>
    <x v="2"/>
  </r>
  <r>
    <x v="0"/>
    <x v="4"/>
    <x v="4"/>
    <x v="0"/>
    <x v="0"/>
    <x v="149"/>
    <x v="529"/>
    <n v="0"/>
    <x v="0"/>
    <x v="0"/>
    <x v="2"/>
  </r>
  <r>
    <x v="0"/>
    <x v="0"/>
    <x v="0"/>
    <x v="0"/>
    <x v="0"/>
    <x v="39"/>
    <x v="530"/>
    <n v="0"/>
    <x v="0"/>
    <x v="0"/>
    <x v="3"/>
  </r>
  <r>
    <x v="0"/>
    <x v="1"/>
    <x v="1"/>
    <x v="0"/>
    <x v="0"/>
    <x v="39"/>
    <x v="530"/>
    <n v="0"/>
    <x v="0"/>
    <x v="0"/>
    <x v="3"/>
  </r>
  <r>
    <x v="0"/>
    <x v="2"/>
    <x v="2"/>
    <x v="0"/>
    <x v="0"/>
    <x v="39"/>
    <x v="530"/>
    <n v="0"/>
    <x v="0"/>
    <x v="0"/>
    <x v="3"/>
  </r>
  <r>
    <x v="0"/>
    <x v="3"/>
    <x v="3"/>
    <x v="0"/>
    <x v="0"/>
    <x v="39"/>
    <x v="530"/>
    <n v="0"/>
    <x v="0"/>
    <x v="0"/>
    <x v="3"/>
  </r>
  <r>
    <x v="0"/>
    <x v="4"/>
    <x v="4"/>
    <x v="0"/>
    <x v="0"/>
    <x v="39"/>
    <x v="530"/>
    <n v="0"/>
    <x v="0"/>
    <x v="0"/>
    <x v="3"/>
  </r>
  <r>
    <x v="0"/>
    <x v="0"/>
    <x v="0"/>
    <x v="0"/>
    <x v="0"/>
    <x v="40"/>
    <x v="531"/>
    <n v="0"/>
    <x v="0"/>
    <x v="0"/>
    <x v="3"/>
  </r>
  <r>
    <x v="0"/>
    <x v="1"/>
    <x v="1"/>
    <x v="0"/>
    <x v="0"/>
    <x v="40"/>
    <x v="531"/>
    <n v="0"/>
    <x v="0"/>
    <x v="0"/>
    <x v="3"/>
  </r>
  <r>
    <x v="0"/>
    <x v="2"/>
    <x v="2"/>
    <x v="0"/>
    <x v="0"/>
    <x v="40"/>
    <x v="531"/>
    <n v="0"/>
    <x v="0"/>
    <x v="0"/>
    <x v="3"/>
  </r>
  <r>
    <x v="0"/>
    <x v="3"/>
    <x v="3"/>
    <x v="0"/>
    <x v="0"/>
    <x v="40"/>
    <x v="531"/>
    <n v="0"/>
    <x v="0"/>
    <x v="0"/>
    <x v="3"/>
  </r>
  <r>
    <x v="0"/>
    <x v="4"/>
    <x v="4"/>
    <x v="0"/>
    <x v="0"/>
    <x v="40"/>
    <x v="531"/>
    <n v="0"/>
    <x v="0"/>
    <x v="0"/>
    <x v="3"/>
  </r>
  <r>
    <x v="0"/>
    <x v="0"/>
    <x v="0"/>
    <x v="0"/>
    <x v="0"/>
    <x v="41"/>
    <x v="532"/>
    <n v="0"/>
    <x v="0"/>
    <x v="0"/>
    <x v="3"/>
  </r>
  <r>
    <x v="0"/>
    <x v="1"/>
    <x v="1"/>
    <x v="0"/>
    <x v="0"/>
    <x v="41"/>
    <x v="532"/>
    <n v="0"/>
    <x v="0"/>
    <x v="0"/>
    <x v="3"/>
  </r>
  <r>
    <x v="0"/>
    <x v="2"/>
    <x v="2"/>
    <x v="0"/>
    <x v="0"/>
    <x v="41"/>
    <x v="532"/>
    <n v="0"/>
    <x v="0"/>
    <x v="0"/>
    <x v="3"/>
  </r>
  <r>
    <x v="0"/>
    <x v="3"/>
    <x v="3"/>
    <x v="0"/>
    <x v="0"/>
    <x v="41"/>
    <x v="532"/>
    <n v="0"/>
    <x v="0"/>
    <x v="0"/>
    <x v="3"/>
  </r>
  <r>
    <x v="0"/>
    <x v="4"/>
    <x v="4"/>
    <x v="0"/>
    <x v="0"/>
    <x v="41"/>
    <x v="532"/>
    <n v="0"/>
    <x v="0"/>
    <x v="0"/>
    <x v="3"/>
  </r>
  <r>
    <x v="0"/>
    <x v="0"/>
    <x v="0"/>
    <x v="0"/>
    <x v="0"/>
    <x v="42"/>
    <x v="533"/>
    <n v="0"/>
    <x v="0"/>
    <x v="0"/>
    <x v="3"/>
  </r>
  <r>
    <x v="0"/>
    <x v="1"/>
    <x v="1"/>
    <x v="0"/>
    <x v="0"/>
    <x v="42"/>
    <x v="533"/>
    <n v="0"/>
    <x v="0"/>
    <x v="0"/>
    <x v="3"/>
  </r>
  <r>
    <x v="0"/>
    <x v="2"/>
    <x v="2"/>
    <x v="0"/>
    <x v="0"/>
    <x v="42"/>
    <x v="533"/>
    <n v="0"/>
    <x v="0"/>
    <x v="0"/>
    <x v="3"/>
  </r>
  <r>
    <x v="0"/>
    <x v="3"/>
    <x v="3"/>
    <x v="0"/>
    <x v="0"/>
    <x v="42"/>
    <x v="533"/>
    <n v="0"/>
    <x v="0"/>
    <x v="0"/>
    <x v="3"/>
  </r>
  <r>
    <x v="0"/>
    <x v="4"/>
    <x v="4"/>
    <x v="0"/>
    <x v="0"/>
    <x v="42"/>
    <x v="533"/>
    <n v="0"/>
    <x v="0"/>
    <x v="0"/>
    <x v="3"/>
  </r>
  <r>
    <x v="0"/>
    <x v="0"/>
    <x v="0"/>
    <x v="0"/>
    <x v="0"/>
    <x v="43"/>
    <x v="534"/>
    <n v="0"/>
    <x v="0"/>
    <x v="0"/>
    <x v="3"/>
  </r>
  <r>
    <x v="0"/>
    <x v="1"/>
    <x v="1"/>
    <x v="0"/>
    <x v="0"/>
    <x v="43"/>
    <x v="534"/>
    <n v="0"/>
    <x v="0"/>
    <x v="0"/>
    <x v="3"/>
  </r>
  <r>
    <x v="0"/>
    <x v="2"/>
    <x v="2"/>
    <x v="0"/>
    <x v="0"/>
    <x v="43"/>
    <x v="534"/>
    <n v="0"/>
    <x v="0"/>
    <x v="0"/>
    <x v="3"/>
  </r>
  <r>
    <x v="0"/>
    <x v="3"/>
    <x v="3"/>
    <x v="0"/>
    <x v="0"/>
    <x v="43"/>
    <x v="534"/>
    <n v="0"/>
    <x v="0"/>
    <x v="0"/>
    <x v="3"/>
  </r>
  <r>
    <x v="0"/>
    <x v="4"/>
    <x v="4"/>
    <x v="0"/>
    <x v="0"/>
    <x v="43"/>
    <x v="534"/>
    <n v="0"/>
    <x v="0"/>
    <x v="0"/>
    <x v="3"/>
  </r>
  <r>
    <x v="0"/>
    <x v="0"/>
    <x v="0"/>
    <x v="0"/>
    <x v="0"/>
    <x v="150"/>
    <x v="535"/>
    <n v="0"/>
    <x v="0"/>
    <x v="0"/>
    <x v="2"/>
  </r>
  <r>
    <x v="0"/>
    <x v="1"/>
    <x v="1"/>
    <x v="0"/>
    <x v="0"/>
    <x v="150"/>
    <x v="535"/>
    <n v="0"/>
    <x v="0"/>
    <x v="0"/>
    <x v="2"/>
  </r>
  <r>
    <x v="0"/>
    <x v="2"/>
    <x v="2"/>
    <x v="0"/>
    <x v="0"/>
    <x v="150"/>
    <x v="535"/>
    <n v="0"/>
    <x v="0"/>
    <x v="0"/>
    <x v="2"/>
  </r>
  <r>
    <x v="0"/>
    <x v="3"/>
    <x v="3"/>
    <x v="0"/>
    <x v="0"/>
    <x v="150"/>
    <x v="535"/>
    <n v="0"/>
    <x v="0"/>
    <x v="0"/>
    <x v="2"/>
  </r>
  <r>
    <x v="0"/>
    <x v="4"/>
    <x v="4"/>
    <x v="0"/>
    <x v="0"/>
    <x v="150"/>
    <x v="535"/>
    <n v="0"/>
    <x v="0"/>
    <x v="0"/>
    <x v="2"/>
  </r>
  <r>
    <x v="0"/>
    <x v="0"/>
    <x v="0"/>
    <x v="0"/>
    <x v="0"/>
    <x v="39"/>
    <x v="536"/>
    <n v="0"/>
    <x v="0"/>
    <x v="0"/>
    <x v="3"/>
  </r>
  <r>
    <x v="0"/>
    <x v="1"/>
    <x v="1"/>
    <x v="0"/>
    <x v="0"/>
    <x v="39"/>
    <x v="536"/>
    <n v="0"/>
    <x v="0"/>
    <x v="0"/>
    <x v="3"/>
  </r>
  <r>
    <x v="0"/>
    <x v="2"/>
    <x v="2"/>
    <x v="0"/>
    <x v="0"/>
    <x v="39"/>
    <x v="536"/>
    <n v="0"/>
    <x v="0"/>
    <x v="0"/>
    <x v="3"/>
  </r>
  <r>
    <x v="0"/>
    <x v="3"/>
    <x v="3"/>
    <x v="0"/>
    <x v="0"/>
    <x v="39"/>
    <x v="536"/>
    <n v="0"/>
    <x v="0"/>
    <x v="0"/>
    <x v="3"/>
  </r>
  <r>
    <x v="0"/>
    <x v="4"/>
    <x v="4"/>
    <x v="0"/>
    <x v="0"/>
    <x v="39"/>
    <x v="536"/>
    <n v="0"/>
    <x v="0"/>
    <x v="0"/>
    <x v="3"/>
  </r>
  <r>
    <x v="0"/>
    <x v="0"/>
    <x v="0"/>
    <x v="0"/>
    <x v="0"/>
    <x v="40"/>
    <x v="537"/>
    <n v="0"/>
    <x v="0"/>
    <x v="0"/>
    <x v="3"/>
  </r>
  <r>
    <x v="0"/>
    <x v="1"/>
    <x v="1"/>
    <x v="0"/>
    <x v="0"/>
    <x v="40"/>
    <x v="537"/>
    <n v="0"/>
    <x v="0"/>
    <x v="0"/>
    <x v="3"/>
  </r>
  <r>
    <x v="0"/>
    <x v="2"/>
    <x v="2"/>
    <x v="0"/>
    <x v="0"/>
    <x v="40"/>
    <x v="537"/>
    <n v="0"/>
    <x v="0"/>
    <x v="0"/>
    <x v="3"/>
  </r>
  <r>
    <x v="0"/>
    <x v="3"/>
    <x v="3"/>
    <x v="0"/>
    <x v="0"/>
    <x v="40"/>
    <x v="537"/>
    <n v="0"/>
    <x v="0"/>
    <x v="0"/>
    <x v="3"/>
  </r>
  <r>
    <x v="0"/>
    <x v="4"/>
    <x v="4"/>
    <x v="0"/>
    <x v="0"/>
    <x v="40"/>
    <x v="537"/>
    <n v="0"/>
    <x v="0"/>
    <x v="0"/>
    <x v="3"/>
  </r>
  <r>
    <x v="0"/>
    <x v="0"/>
    <x v="0"/>
    <x v="0"/>
    <x v="0"/>
    <x v="41"/>
    <x v="538"/>
    <n v="0"/>
    <x v="0"/>
    <x v="0"/>
    <x v="3"/>
  </r>
  <r>
    <x v="0"/>
    <x v="1"/>
    <x v="1"/>
    <x v="0"/>
    <x v="0"/>
    <x v="41"/>
    <x v="538"/>
    <n v="0"/>
    <x v="0"/>
    <x v="0"/>
    <x v="3"/>
  </r>
  <r>
    <x v="0"/>
    <x v="2"/>
    <x v="2"/>
    <x v="0"/>
    <x v="0"/>
    <x v="41"/>
    <x v="538"/>
    <n v="0"/>
    <x v="0"/>
    <x v="0"/>
    <x v="3"/>
  </r>
  <r>
    <x v="0"/>
    <x v="3"/>
    <x v="3"/>
    <x v="0"/>
    <x v="0"/>
    <x v="41"/>
    <x v="538"/>
    <n v="0"/>
    <x v="0"/>
    <x v="0"/>
    <x v="3"/>
  </r>
  <r>
    <x v="0"/>
    <x v="4"/>
    <x v="4"/>
    <x v="0"/>
    <x v="0"/>
    <x v="41"/>
    <x v="538"/>
    <n v="0"/>
    <x v="0"/>
    <x v="0"/>
    <x v="3"/>
  </r>
  <r>
    <x v="0"/>
    <x v="0"/>
    <x v="0"/>
    <x v="0"/>
    <x v="0"/>
    <x v="42"/>
    <x v="539"/>
    <n v="0"/>
    <x v="0"/>
    <x v="0"/>
    <x v="3"/>
  </r>
  <r>
    <x v="0"/>
    <x v="1"/>
    <x v="1"/>
    <x v="0"/>
    <x v="0"/>
    <x v="42"/>
    <x v="539"/>
    <n v="0"/>
    <x v="0"/>
    <x v="0"/>
    <x v="3"/>
  </r>
  <r>
    <x v="0"/>
    <x v="2"/>
    <x v="2"/>
    <x v="0"/>
    <x v="0"/>
    <x v="42"/>
    <x v="539"/>
    <n v="0"/>
    <x v="0"/>
    <x v="0"/>
    <x v="3"/>
  </r>
  <r>
    <x v="0"/>
    <x v="3"/>
    <x v="3"/>
    <x v="0"/>
    <x v="0"/>
    <x v="42"/>
    <x v="539"/>
    <n v="0"/>
    <x v="0"/>
    <x v="0"/>
    <x v="3"/>
  </r>
  <r>
    <x v="0"/>
    <x v="4"/>
    <x v="4"/>
    <x v="0"/>
    <x v="0"/>
    <x v="42"/>
    <x v="539"/>
    <n v="0"/>
    <x v="0"/>
    <x v="0"/>
    <x v="3"/>
  </r>
  <r>
    <x v="0"/>
    <x v="0"/>
    <x v="0"/>
    <x v="0"/>
    <x v="0"/>
    <x v="43"/>
    <x v="540"/>
    <n v="0"/>
    <x v="0"/>
    <x v="0"/>
    <x v="3"/>
  </r>
  <r>
    <x v="0"/>
    <x v="1"/>
    <x v="1"/>
    <x v="0"/>
    <x v="0"/>
    <x v="43"/>
    <x v="540"/>
    <n v="0"/>
    <x v="0"/>
    <x v="0"/>
    <x v="3"/>
  </r>
  <r>
    <x v="0"/>
    <x v="2"/>
    <x v="2"/>
    <x v="0"/>
    <x v="0"/>
    <x v="43"/>
    <x v="540"/>
    <n v="0"/>
    <x v="0"/>
    <x v="0"/>
    <x v="3"/>
  </r>
  <r>
    <x v="0"/>
    <x v="3"/>
    <x v="3"/>
    <x v="0"/>
    <x v="0"/>
    <x v="43"/>
    <x v="540"/>
    <n v="0"/>
    <x v="0"/>
    <x v="0"/>
    <x v="3"/>
  </r>
  <r>
    <x v="0"/>
    <x v="4"/>
    <x v="4"/>
    <x v="0"/>
    <x v="0"/>
    <x v="43"/>
    <x v="540"/>
    <n v="0"/>
    <x v="0"/>
    <x v="0"/>
    <x v="3"/>
  </r>
  <r>
    <x v="0"/>
    <x v="0"/>
    <x v="0"/>
    <x v="0"/>
    <x v="0"/>
    <x v="151"/>
    <x v="541"/>
    <n v="-3081786.19"/>
    <x v="0"/>
    <x v="0"/>
    <x v="2"/>
  </r>
  <r>
    <x v="0"/>
    <x v="1"/>
    <x v="1"/>
    <x v="0"/>
    <x v="0"/>
    <x v="151"/>
    <x v="541"/>
    <n v="-1390291.53"/>
    <x v="0"/>
    <x v="0"/>
    <x v="2"/>
  </r>
  <r>
    <x v="0"/>
    <x v="2"/>
    <x v="2"/>
    <x v="0"/>
    <x v="0"/>
    <x v="151"/>
    <x v="541"/>
    <n v="-13734483.039999999"/>
    <x v="0"/>
    <x v="0"/>
    <x v="2"/>
  </r>
  <r>
    <x v="0"/>
    <x v="3"/>
    <x v="3"/>
    <x v="0"/>
    <x v="0"/>
    <x v="151"/>
    <x v="541"/>
    <n v="-954257.55"/>
    <x v="0"/>
    <x v="0"/>
    <x v="2"/>
  </r>
  <r>
    <x v="0"/>
    <x v="4"/>
    <x v="4"/>
    <x v="0"/>
    <x v="0"/>
    <x v="151"/>
    <x v="541"/>
    <n v="-19160818.309999999"/>
    <x v="0"/>
    <x v="0"/>
    <x v="2"/>
  </r>
  <r>
    <x v="0"/>
    <x v="0"/>
    <x v="0"/>
    <x v="0"/>
    <x v="0"/>
    <x v="152"/>
    <x v="542"/>
    <n v="-42902.720000000001"/>
    <x v="0"/>
    <x v="0"/>
    <x v="3"/>
  </r>
  <r>
    <x v="0"/>
    <x v="1"/>
    <x v="1"/>
    <x v="0"/>
    <x v="0"/>
    <x v="152"/>
    <x v="542"/>
    <n v="-31004.45"/>
    <x v="0"/>
    <x v="0"/>
    <x v="3"/>
  </r>
  <r>
    <x v="0"/>
    <x v="2"/>
    <x v="2"/>
    <x v="0"/>
    <x v="0"/>
    <x v="152"/>
    <x v="542"/>
    <n v="-890421.54"/>
    <x v="0"/>
    <x v="0"/>
    <x v="3"/>
  </r>
  <r>
    <x v="0"/>
    <x v="3"/>
    <x v="3"/>
    <x v="0"/>
    <x v="0"/>
    <x v="152"/>
    <x v="542"/>
    <n v="0"/>
    <x v="0"/>
    <x v="0"/>
    <x v="3"/>
  </r>
  <r>
    <x v="0"/>
    <x v="4"/>
    <x v="4"/>
    <x v="0"/>
    <x v="0"/>
    <x v="152"/>
    <x v="542"/>
    <n v="-964328.71"/>
    <x v="0"/>
    <x v="0"/>
    <x v="3"/>
  </r>
  <r>
    <x v="0"/>
    <x v="0"/>
    <x v="0"/>
    <x v="0"/>
    <x v="0"/>
    <x v="153"/>
    <x v="543"/>
    <n v="-553820.88"/>
    <x v="0"/>
    <x v="0"/>
    <x v="3"/>
  </r>
  <r>
    <x v="0"/>
    <x v="1"/>
    <x v="1"/>
    <x v="0"/>
    <x v="0"/>
    <x v="153"/>
    <x v="543"/>
    <n v="-581203.31999999995"/>
    <x v="0"/>
    <x v="0"/>
    <x v="3"/>
  </r>
  <r>
    <x v="0"/>
    <x v="2"/>
    <x v="2"/>
    <x v="0"/>
    <x v="0"/>
    <x v="153"/>
    <x v="543"/>
    <n v="-5148062.6399999997"/>
    <x v="0"/>
    <x v="0"/>
    <x v="3"/>
  </r>
  <r>
    <x v="0"/>
    <x v="3"/>
    <x v="3"/>
    <x v="0"/>
    <x v="0"/>
    <x v="153"/>
    <x v="543"/>
    <n v="-130618.34"/>
    <x v="0"/>
    <x v="0"/>
    <x v="3"/>
  </r>
  <r>
    <x v="0"/>
    <x v="4"/>
    <x v="4"/>
    <x v="0"/>
    <x v="0"/>
    <x v="153"/>
    <x v="543"/>
    <n v="-6413705.1799999997"/>
    <x v="0"/>
    <x v="0"/>
    <x v="3"/>
  </r>
  <r>
    <x v="0"/>
    <x v="0"/>
    <x v="0"/>
    <x v="0"/>
    <x v="0"/>
    <x v="154"/>
    <x v="544"/>
    <n v="-2233430.41"/>
    <x v="0"/>
    <x v="0"/>
    <x v="3"/>
  </r>
  <r>
    <x v="0"/>
    <x v="1"/>
    <x v="1"/>
    <x v="0"/>
    <x v="0"/>
    <x v="154"/>
    <x v="544"/>
    <n v="-303819.88"/>
    <x v="0"/>
    <x v="0"/>
    <x v="3"/>
  </r>
  <r>
    <x v="0"/>
    <x v="2"/>
    <x v="2"/>
    <x v="0"/>
    <x v="0"/>
    <x v="154"/>
    <x v="544"/>
    <n v="-4626622.55"/>
    <x v="0"/>
    <x v="0"/>
    <x v="3"/>
  </r>
  <r>
    <x v="0"/>
    <x v="3"/>
    <x v="3"/>
    <x v="0"/>
    <x v="0"/>
    <x v="154"/>
    <x v="544"/>
    <n v="-180532.92"/>
    <x v="0"/>
    <x v="0"/>
    <x v="3"/>
  </r>
  <r>
    <x v="0"/>
    <x v="4"/>
    <x v="4"/>
    <x v="0"/>
    <x v="0"/>
    <x v="154"/>
    <x v="544"/>
    <n v="-7344405.7599999998"/>
    <x v="0"/>
    <x v="0"/>
    <x v="3"/>
  </r>
  <r>
    <x v="0"/>
    <x v="0"/>
    <x v="0"/>
    <x v="0"/>
    <x v="0"/>
    <x v="155"/>
    <x v="545"/>
    <n v="-31745.62"/>
    <x v="0"/>
    <x v="0"/>
    <x v="3"/>
  </r>
  <r>
    <x v="0"/>
    <x v="1"/>
    <x v="1"/>
    <x v="0"/>
    <x v="0"/>
    <x v="155"/>
    <x v="545"/>
    <n v="-200580.01"/>
    <x v="0"/>
    <x v="0"/>
    <x v="3"/>
  </r>
  <r>
    <x v="0"/>
    <x v="2"/>
    <x v="2"/>
    <x v="0"/>
    <x v="0"/>
    <x v="155"/>
    <x v="545"/>
    <n v="-1916073.73"/>
    <x v="0"/>
    <x v="0"/>
    <x v="3"/>
  </r>
  <r>
    <x v="0"/>
    <x v="3"/>
    <x v="3"/>
    <x v="0"/>
    <x v="0"/>
    <x v="155"/>
    <x v="545"/>
    <n v="-253258.71"/>
    <x v="0"/>
    <x v="0"/>
    <x v="3"/>
  </r>
  <r>
    <x v="0"/>
    <x v="4"/>
    <x v="4"/>
    <x v="0"/>
    <x v="0"/>
    <x v="155"/>
    <x v="545"/>
    <n v="-2401658.0699999998"/>
    <x v="0"/>
    <x v="0"/>
    <x v="3"/>
  </r>
  <r>
    <x v="0"/>
    <x v="0"/>
    <x v="0"/>
    <x v="0"/>
    <x v="0"/>
    <x v="156"/>
    <x v="546"/>
    <n v="0"/>
    <x v="0"/>
    <x v="0"/>
    <x v="3"/>
  </r>
  <r>
    <x v="0"/>
    <x v="1"/>
    <x v="1"/>
    <x v="0"/>
    <x v="0"/>
    <x v="156"/>
    <x v="546"/>
    <n v="0"/>
    <x v="0"/>
    <x v="0"/>
    <x v="3"/>
  </r>
  <r>
    <x v="0"/>
    <x v="2"/>
    <x v="2"/>
    <x v="0"/>
    <x v="0"/>
    <x v="156"/>
    <x v="546"/>
    <n v="-5916.5"/>
    <x v="0"/>
    <x v="0"/>
    <x v="3"/>
  </r>
  <r>
    <x v="0"/>
    <x v="3"/>
    <x v="3"/>
    <x v="0"/>
    <x v="0"/>
    <x v="156"/>
    <x v="546"/>
    <n v="0"/>
    <x v="0"/>
    <x v="0"/>
    <x v="3"/>
  </r>
  <r>
    <x v="0"/>
    <x v="4"/>
    <x v="4"/>
    <x v="0"/>
    <x v="0"/>
    <x v="156"/>
    <x v="546"/>
    <n v="-5916.5"/>
    <x v="0"/>
    <x v="0"/>
    <x v="3"/>
  </r>
  <r>
    <x v="0"/>
    <x v="0"/>
    <x v="0"/>
    <x v="0"/>
    <x v="0"/>
    <x v="157"/>
    <x v="547"/>
    <n v="-149145.64000000001"/>
    <x v="0"/>
    <x v="0"/>
    <x v="3"/>
  </r>
  <r>
    <x v="0"/>
    <x v="1"/>
    <x v="1"/>
    <x v="0"/>
    <x v="0"/>
    <x v="157"/>
    <x v="547"/>
    <n v="0"/>
    <x v="0"/>
    <x v="0"/>
    <x v="3"/>
  </r>
  <r>
    <x v="0"/>
    <x v="2"/>
    <x v="2"/>
    <x v="0"/>
    <x v="0"/>
    <x v="157"/>
    <x v="547"/>
    <n v="-233934.32"/>
    <x v="0"/>
    <x v="0"/>
    <x v="3"/>
  </r>
  <r>
    <x v="0"/>
    <x v="3"/>
    <x v="3"/>
    <x v="0"/>
    <x v="0"/>
    <x v="157"/>
    <x v="547"/>
    <n v="0"/>
    <x v="0"/>
    <x v="0"/>
    <x v="3"/>
  </r>
  <r>
    <x v="0"/>
    <x v="4"/>
    <x v="4"/>
    <x v="0"/>
    <x v="0"/>
    <x v="157"/>
    <x v="547"/>
    <n v="-383079.96"/>
    <x v="0"/>
    <x v="0"/>
    <x v="3"/>
  </r>
  <r>
    <x v="0"/>
    <x v="0"/>
    <x v="0"/>
    <x v="0"/>
    <x v="0"/>
    <x v="158"/>
    <x v="548"/>
    <n v="0"/>
    <x v="0"/>
    <x v="0"/>
    <x v="3"/>
  </r>
  <r>
    <x v="0"/>
    <x v="1"/>
    <x v="1"/>
    <x v="0"/>
    <x v="0"/>
    <x v="158"/>
    <x v="548"/>
    <n v="0"/>
    <x v="0"/>
    <x v="0"/>
    <x v="3"/>
  </r>
  <r>
    <x v="0"/>
    <x v="2"/>
    <x v="2"/>
    <x v="0"/>
    <x v="0"/>
    <x v="158"/>
    <x v="548"/>
    <n v="-97698.04"/>
    <x v="0"/>
    <x v="0"/>
    <x v="3"/>
  </r>
  <r>
    <x v="0"/>
    <x v="3"/>
    <x v="3"/>
    <x v="0"/>
    <x v="0"/>
    <x v="158"/>
    <x v="548"/>
    <n v="0"/>
    <x v="0"/>
    <x v="0"/>
    <x v="3"/>
  </r>
  <r>
    <x v="0"/>
    <x v="4"/>
    <x v="4"/>
    <x v="0"/>
    <x v="0"/>
    <x v="158"/>
    <x v="548"/>
    <n v="-97698.04"/>
    <x v="0"/>
    <x v="0"/>
    <x v="3"/>
  </r>
  <r>
    <x v="0"/>
    <x v="0"/>
    <x v="0"/>
    <x v="0"/>
    <x v="0"/>
    <x v="159"/>
    <x v="549"/>
    <n v="0"/>
    <x v="0"/>
    <x v="0"/>
    <x v="3"/>
  </r>
  <r>
    <x v="0"/>
    <x v="1"/>
    <x v="1"/>
    <x v="0"/>
    <x v="0"/>
    <x v="159"/>
    <x v="549"/>
    <n v="0"/>
    <x v="0"/>
    <x v="0"/>
    <x v="3"/>
  </r>
  <r>
    <x v="0"/>
    <x v="2"/>
    <x v="2"/>
    <x v="0"/>
    <x v="0"/>
    <x v="159"/>
    <x v="549"/>
    <n v="-97596.65"/>
    <x v="0"/>
    <x v="0"/>
    <x v="3"/>
  </r>
  <r>
    <x v="0"/>
    <x v="3"/>
    <x v="3"/>
    <x v="0"/>
    <x v="0"/>
    <x v="159"/>
    <x v="549"/>
    <n v="-239805.64"/>
    <x v="0"/>
    <x v="0"/>
    <x v="3"/>
  </r>
  <r>
    <x v="0"/>
    <x v="4"/>
    <x v="4"/>
    <x v="0"/>
    <x v="0"/>
    <x v="159"/>
    <x v="549"/>
    <n v="-337402.29"/>
    <x v="0"/>
    <x v="0"/>
    <x v="3"/>
  </r>
  <r>
    <x v="0"/>
    <x v="0"/>
    <x v="0"/>
    <x v="0"/>
    <x v="0"/>
    <x v="160"/>
    <x v="550"/>
    <n v="0"/>
    <x v="0"/>
    <x v="0"/>
    <x v="3"/>
  </r>
  <r>
    <x v="0"/>
    <x v="1"/>
    <x v="1"/>
    <x v="0"/>
    <x v="0"/>
    <x v="160"/>
    <x v="550"/>
    <n v="0"/>
    <x v="0"/>
    <x v="0"/>
    <x v="3"/>
  </r>
  <r>
    <x v="0"/>
    <x v="2"/>
    <x v="2"/>
    <x v="0"/>
    <x v="0"/>
    <x v="160"/>
    <x v="550"/>
    <n v="-718157.07"/>
    <x v="0"/>
    <x v="0"/>
    <x v="3"/>
  </r>
  <r>
    <x v="0"/>
    <x v="3"/>
    <x v="3"/>
    <x v="0"/>
    <x v="0"/>
    <x v="160"/>
    <x v="550"/>
    <n v="0"/>
    <x v="0"/>
    <x v="0"/>
    <x v="3"/>
  </r>
  <r>
    <x v="0"/>
    <x v="4"/>
    <x v="4"/>
    <x v="0"/>
    <x v="0"/>
    <x v="160"/>
    <x v="550"/>
    <n v="-718157.07"/>
    <x v="0"/>
    <x v="0"/>
    <x v="3"/>
  </r>
  <r>
    <x v="0"/>
    <x v="0"/>
    <x v="0"/>
    <x v="0"/>
    <x v="0"/>
    <x v="161"/>
    <x v="551"/>
    <n v="0"/>
    <x v="0"/>
    <x v="0"/>
    <x v="3"/>
  </r>
  <r>
    <x v="0"/>
    <x v="1"/>
    <x v="1"/>
    <x v="0"/>
    <x v="0"/>
    <x v="161"/>
    <x v="551"/>
    <n v="0"/>
    <x v="0"/>
    <x v="0"/>
    <x v="3"/>
  </r>
  <r>
    <x v="0"/>
    <x v="2"/>
    <x v="2"/>
    <x v="0"/>
    <x v="0"/>
    <x v="161"/>
    <x v="551"/>
    <n v="0"/>
    <x v="0"/>
    <x v="0"/>
    <x v="3"/>
  </r>
  <r>
    <x v="0"/>
    <x v="3"/>
    <x v="3"/>
    <x v="0"/>
    <x v="0"/>
    <x v="161"/>
    <x v="551"/>
    <n v="0"/>
    <x v="0"/>
    <x v="0"/>
    <x v="3"/>
  </r>
  <r>
    <x v="0"/>
    <x v="4"/>
    <x v="4"/>
    <x v="0"/>
    <x v="0"/>
    <x v="161"/>
    <x v="551"/>
    <n v="0"/>
    <x v="0"/>
    <x v="0"/>
    <x v="3"/>
  </r>
  <r>
    <x v="0"/>
    <x v="0"/>
    <x v="0"/>
    <x v="0"/>
    <x v="0"/>
    <x v="162"/>
    <x v="552"/>
    <n v="0"/>
    <x v="0"/>
    <x v="0"/>
    <x v="3"/>
  </r>
  <r>
    <x v="0"/>
    <x v="1"/>
    <x v="1"/>
    <x v="0"/>
    <x v="0"/>
    <x v="162"/>
    <x v="552"/>
    <n v="-273683.87"/>
    <x v="0"/>
    <x v="0"/>
    <x v="3"/>
  </r>
  <r>
    <x v="0"/>
    <x v="2"/>
    <x v="2"/>
    <x v="0"/>
    <x v="0"/>
    <x v="162"/>
    <x v="552"/>
    <n v="0"/>
    <x v="0"/>
    <x v="0"/>
    <x v="3"/>
  </r>
  <r>
    <x v="0"/>
    <x v="3"/>
    <x v="3"/>
    <x v="0"/>
    <x v="0"/>
    <x v="162"/>
    <x v="552"/>
    <n v="-150041.94"/>
    <x v="0"/>
    <x v="0"/>
    <x v="3"/>
  </r>
  <r>
    <x v="0"/>
    <x v="4"/>
    <x v="4"/>
    <x v="0"/>
    <x v="0"/>
    <x v="162"/>
    <x v="552"/>
    <n v="-423725.81"/>
    <x v="0"/>
    <x v="0"/>
    <x v="3"/>
  </r>
  <r>
    <x v="0"/>
    <x v="0"/>
    <x v="0"/>
    <x v="0"/>
    <x v="0"/>
    <x v="163"/>
    <x v="553"/>
    <n v="0"/>
    <x v="0"/>
    <x v="0"/>
    <x v="3"/>
  </r>
  <r>
    <x v="0"/>
    <x v="1"/>
    <x v="1"/>
    <x v="0"/>
    <x v="0"/>
    <x v="163"/>
    <x v="553"/>
    <n v="0"/>
    <x v="0"/>
    <x v="0"/>
    <x v="3"/>
  </r>
  <r>
    <x v="0"/>
    <x v="2"/>
    <x v="2"/>
    <x v="0"/>
    <x v="0"/>
    <x v="163"/>
    <x v="553"/>
    <n v="0"/>
    <x v="0"/>
    <x v="0"/>
    <x v="3"/>
  </r>
  <r>
    <x v="0"/>
    <x v="3"/>
    <x v="3"/>
    <x v="0"/>
    <x v="0"/>
    <x v="163"/>
    <x v="553"/>
    <n v="0"/>
    <x v="0"/>
    <x v="0"/>
    <x v="3"/>
  </r>
  <r>
    <x v="0"/>
    <x v="4"/>
    <x v="4"/>
    <x v="0"/>
    <x v="0"/>
    <x v="163"/>
    <x v="553"/>
    <n v="0"/>
    <x v="0"/>
    <x v="0"/>
    <x v="3"/>
  </r>
  <r>
    <x v="0"/>
    <x v="0"/>
    <x v="0"/>
    <x v="0"/>
    <x v="0"/>
    <x v="164"/>
    <x v="554"/>
    <n v="0"/>
    <x v="0"/>
    <x v="0"/>
    <x v="3"/>
  </r>
  <r>
    <x v="0"/>
    <x v="1"/>
    <x v="1"/>
    <x v="0"/>
    <x v="0"/>
    <x v="164"/>
    <x v="554"/>
    <n v="0"/>
    <x v="0"/>
    <x v="0"/>
    <x v="3"/>
  </r>
  <r>
    <x v="0"/>
    <x v="2"/>
    <x v="2"/>
    <x v="0"/>
    <x v="0"/>
    <x v="164"/>
    <x v="554"/>
    <n v="0"/>
    <x v="0"/>
    <x v="0"/>
    <x v="3"/>
  </r>
  <r>
    <x v="0"/>
    <x v="3"/>
    <x v="3"/>
    <x v="0"/>
    <x v="0"/>
    <x v="164"/>
    <x v="554"/>
    <n v="0"/>
    <x v="0"/>
    <x v="0"/>
    <x v="3"/>
  </r>
  <r>
    <x v="0"/>
    <x v="4"/>
    <x v="4"/>
    <x v="0"/>
    <x v="0"/>
    <x v="164"/>
    <x v="554"/>
    <n v="0"/>
    <x v="0"/>
    <x v="0"/>
    <x v="3"/>
  </r>
  <r>
    <x v="0"/>
    <x v="0"/>
    <x v="0"/>
    <x v="0"/>
    <x v="0"/>
    <x v="165"/>
    <x v="555"/>
    <n v="-70740.92"/>
    <x v="0"/>
    <x v="0"/>
    <x v="3"/>
  </r>
  <r>
    <x v="0"/>
    <x v="1"/>
    <x v="1"/>
    <x v="0"/>
    <x v="0"/>
    <x v="165"/>
    <x v="555"/>
    <n v="0"/>
    <x v="0"/>
    <x v="0"/>
    <x v="3"/>
  </r>
  <r>
    <x v="0"/>
    <x v="2"/>
    <x v="2"/>
    <x v="0"/>
    <x v="0"/>
    <x v="165"/>
    <x v="555"/>
    <n v="0"/>
    <x v="0"/>
    <x v="0"/>
    <x v="3"/>
  </r>
  <r>
    <x v="0"/>
    <x v="3"/>
    <x v="3"/>
    <x v="0"/>
    <x v="0"/>
    <x v="165"/>
    <x v="555"/>
    <n v="0"/>
    <x v="0"/>
    <x v="0"/>
    <x v="3"/>
  </r>
  <r>
    <x v="0"/>
    <x v="4"/>
    <x v="4"/>
    <x v="0"/>
    <x v="0"/>
    <x v="165"/>
    <x v="555"/>
    <n v="-70740.92"/>
    <x v="0"/>
    <x v="0"/>
    <x v="3"/>
  </r>
  <r>
    <x v="0"/>
    <x v="0"/>
    <x v="0"/>
    <x v="0"/>
    <x v="0"/>
    <x v="166"/>
    <x v="556"/>
    <n v="0"/>
    <x v="0"/>
    <x v="0"/>
    <x v="1"/>
  </r>
  <r>
    <x v="0"/>
    <x v="1"/>
    <x v="1"/>
    <x v="0"/>
    <x v="0"/>
    <x v="166"/>
    <x v="556"/>
    <n v="0"/>
    <x v="0"/>
    <x v="0"/>
    <x v="1"/>
  </r>
  <r>
    <x v="0"/>
    <x v="2"/>
    <x v="2"/>
    <x v="0"/>
    <x v="0"/>
    <x v="166"/>
    <x v="556"/>
    <n v="0"/>
    <x v="0"/>
    <x v="0"/>
    <x v="1"/>
  </r>
  <r>
    <x v="0"/>
    <x v="3"/>
    <x v="3"/>
    <x v="0"/>
    <x v="0"/>
    <x v="166"/>
    <x v="556"/>
    <n v="0"/>
    <x v="0"/>
    <x v="0"/>
    <x v="1"/>
  </r>
  <r>
    <x v="0"/>
    <x v="4"/>
    <x v="4"/>
    <x v="0"/>
    <x v="0"/>
    <x v="166"/>
    <x v="556"/>
    <n v="0"/>
    <x v="0"/>
    <x v="0"/>
    <x v="1"/>
  </r>
  <r>
    <x v="0"/>
    <x v="0"/>
    <x v="0"/>
    <x v="0"/>
    <x v="0"/>
    <x v="167"/>
    <x v="557"/>
    <n v="0"/>
    <x v="0"/>
    <x v="0"/>
    <x v="2"/>
  </r>
  <r>
    <x v="0"/>
    <x v="1"/>
    <x v="1"/>
    <x v="0"/>
    <x v="0"/>
    <x v="167"/>
    <x v="557"/>
    <n v="0"/>
    <x v="0"/>
    <x v="0"/>
    <x v="2"/>
  </r>
  <r>
    <x v="0"/>
    <x v="2"/>
    <x v="2"/>
    <x v="0"/>
    <x v="0"/>
    <x v="167"/>
    <x v="557"/>
    <n v="0"/>
    <x v="0"/>
    <x v="0"/>
    <x v="2"/>
  </r>
  <r>
    <x v="0"/>
    <x v="3"/>
    <x v="3"/>
    <x v="0"/>
    <x v="0"/>
    <x v="167"/>
    <x v="557"/>
    <n v="0"/>
    <x v="0"/>
    <x v="0"/>
    <x v="2"/>
  </r>
  <r>
    <x v="0"/>
    <x v="4"/>
    <x v="4"/>
    <x v="0"/>
    <x v="0"/>
    <x v="167"/>
    <x v="557"/>
    <n v="0"/>
    <x v="0"/>
    <x v="0"/>
    <x v="2"/>
  </r>
  <r>
    <x v="0"/>
    <x v="0"/>
    <x v="0"/>
    <x v="0"/>
    <x v="0"/>
    <x v="167"/>
    <x v="558"/>
    <n v="0"/>
    <x v="0"/>
    <x v="0"/>
    <x v="3"/>
  </r>
  <r>
    <x v="0"/>
    <x v="1"/>
    <x v="1"/>
    <x v="0"/>
    <x v="0"/>
    <x v="167"/>
    <x v="558"/>
    <n v="0"/>
    <x v="0"/>
    <x v="0"/>
    <x v="3"/>
  </r>
  <r>
    <x v="0"/>
    <x v="2"/>
    <x v="2"/>
    <x v="0"/>
    <x v="0"/>
    <x v="167"/>
    <x v="558"/>
    <n v="0"/>
    <x v="0"/>
    <x v="0"/>
    <x v="3"/>
  </r>
  <r>
    <x v="0"/>
    <x v="3"/>
    <x v="3"/>
    <x v="0"/>
    <x v="0"/>
    <x v="167"/>
    <x v="558"/>
    <n v="0"/>
    <x v="0"/>
    <x v="0"/>
    <x v="3"/>
  </r>
  <r>
    <x v="0"/>
    <x v="4"/>
    <x v="4"/>
    <x v="0"/>
    <x v="0"/>
    <x v="167"/>
    <x v="558"/>
    <n v="0"/>
    <x v="0"/>
    <x v="0"/>
    <x v="3"/>
  </r>
  <r>
    <x v="0"/>
    <x v="0"/>
    <x v="0"/>
    <x v="0"/>
    <x v="0"/>
    <x v="168"/>
    <x v="559"/>
    <n v="0"/>
    <x v="0"/>
    <x v="0"/>
    <x v="2"/>
  </r>
  <r>
    <x v="0"/>
    <x v="1"/>
    <x v="1"/>
    <x v="0"/>
    <x v="0"/>
    <x v="168"/>
    <x v="559"/>
    <n v="0"/>
    <x v="0"/>
    <x v="0"/>
    <x v="2"/>
  </r>
  <r>
    <x v="0"/>
    <x v="2"/>
    <x v="2"/>
    <x v="0"/>
    <x v="0"/>
    <x v="168"/>
    <x v="559"/>
    <n v="0"/>
    <x v="0"/>
    <x v="0"/>
    <x v="2"/>
  </r>
  <r>
    <x v="0"/>
    <x v="3"/>
    <x v="3"/>
    <x v="0"/>
    <x v="0"/>
    <x v="168"/>
    <x v="559"/>
    <n v="0"/>
    <x v="0"/>
    <x v="0"/>
    <x v="2"/>
  </r>
  <r>
    <x v="0"/>
    <x v="4"/>
    <x v="4"/>
    <x v="0"/>
    <x v="0"/>
    <x v="168"/>
    <x v="559"/>
    <n v="0"/>
    <x v="0"/>
    <x v="0"/>
    <x v="2"/>
  </r>
  <r>
    <x v="0"/>
    <x v="0"/>
    <x v="0"/>
    <x v="0"/>
    <x v="0"/>
    <x v="168"/>
    <x v="560"/>
    <n v="0"/>
    <x v="0"/>
    <x v="0"/>
    <x v="3"/>
  </r>
  <r>
    <x v="0"/>
    <x v="1"/>
    <x v="1"/>
    <x v="0"/>
    <x v="0"/>
    <x v="168"/>
    <x v="560"/>
    <n v="0"/>
    <x v="0"/>
    <x v="0"/>
    <x v="3"/>
  </r>
  <r>
    <x v="0"/>
    <x v="2"/>
    <x v="2"/>
    <x v="0"/>
    <x v="0"/>
    <x v="168"/>
    <x v="560"/>
    <n v="0"/>
    <x v="0"/>
    <x v="0"/>
    <x v="3"/>
  </r>
  <r>
    <x v="0"/>
    <x v="3"/>
    <x v="3"/>
    <x v="0"/>
    <x v="0"/>
    <x v="168"/>
    <x v="560"/>
    <n v="0"/>
    <x v="0"/>
    <x v="0"/>
    <x v="3"/>
  </r>
  <r>
    <x v="0"/>
    <x v="4"/>
    <x v="4"/>
    <x v="0"/>
    <x v="0"/>
    <x v="168"/>
    <x v="560"/>
    <n v="0"/>
    <x v="0"/>
    <x v="0"/>
    <x v="3"/>
  </r>
  <r>
    <x v="0"/>
    <x v="0"/>
    <x v="0"/>
    <x v="0"/>
    <x v="0"/>
    <x v="169"/>
    <x v="561"/>
    <n v="1224004.69"/>
    <x v="0"/>
    <x v="0"/>
    <x v="1"/>
  </r>
  <r>
    <x v="0"/>
    <x v="1"/>
    <x v="1"/>
    <x v="0"/>
    <x v="0"/>
    <x v="169"/>
    <x v="561"/>
    <n v="451921.44"/>
    <x v="0"/>
    <x v="0"/>
    <x v="1"/>
  </r>
  <r>
    <x v="0"/>
    <x v="2"/>
    <x v="2"/>
    <x v="0"/>
    <x v="0"/>
    <x v="169"/>
    <x v="561"/>
    <n v="29326220.239999998"/>
    <x v="0"/>
    <x v="0"/>
    <x v="1"/>
  </r>
  <r>
    <x v="0"/>
    <x v="3"/>
    <x v="3"/>
    <x v="0"/>
    <x v="0"/>
    <x v="169"/>
    <x v="561"/>
    <n v="364204.29"/>
    <x v="0"/>
    <x v="0"/>
    <x v="1"/>
  </r>
  <r>
    <x v="0"/>
    <x v="4"/>
    <x v="4"/>
    <x v="0"/>
    <x v="0"/>
    <x v="169"/>
    <x v="561"/>
    <n v="31366350.66"/>
    <x v="0"/>
    <x v="0"/>
    <x v="1"/>
  </r>
  <r>
    <x v="0"/>
    <x v="0"/>
    <x v="0"/>
    <x v="0"/>
    <x v="0"/>
    <x v="170"/>
    <x v="562"/>
    <n v="0"/>
    <x v="0"/>
    <x v="0"/>
    <x v="2"/>
  </r>
  <r>
    <x v="0"/>
    <x v="1"/>
    <x v="1"/>
    <x v="0"/>
    <x v="0"/>
    <x v="170"/>
    <x v="562"/>
    <n v="0"/>
    <x v="0"/>
    <x v="0"/>
    <x v="2"/>
  </r>
  <r>
    <x v="0"/>
    <x v="2"/>
    <x v="2"/>
    <x v="0"/>
    <x v="0"/>
    <x v="170"/>
    <x v="562"/>
    <n v="0"/>
    <x v="0"/>
    <x v="0"/>
    <x v="2"/>
  </r>
  <r>
    <x v="0"/>
    <x v="3"/>
    <x v="3"/>
    <x v="0"/>
    <x v="0"/>
    <x v="170"/>
    <x v="562"/>
    <n v="0"/>
    <x v="0"/>
    <x v="0"/>
    <x v="2"/>
  </r>
  <r>
    <x v="0"/>
    <x v="4"/>
    <x v="4"/>
    <x v="0"/>
    <x v="0"/>
    <x v="170"/>
    <x v="562"/>
    <n v="0"/>
    <x v="0"/>
    <x v="0"/>
    <x v="2"/>
  </r>
  <r>
    <x v="0"/>
    <x v="0"/>
    <x v="0"/>
    <x v="0"/>
    <x v="0"/>
    <x v="171"/>
    <x v="563"/>
    <n v="0"/>
    <x v="0"/>
    <x v="0"/>
    <x v="3"/>
  </r>
  <r>
    <x v="0"/>
    <x v="1"/>
    <x v="1"/>
    <x v="0"/>
    <x v="0"/>
    <x v="171"/>
    <x v="563"/>
    <n v="0"/>
    <x v="0"/>
    <x v="0"/>
    <x v="3"/>
  </r>
  <r>
    <x v="0"/>
    <x v="2"/>
    <x v="2"/>
    <x v="0"/>
    <x v="0"/>
    <x v="171"/>
    <x v="563"/>
    <n v="0"/>
    <x v="0"/>
    <x v="0"/>
    <x v="3"/>
  </r>
  <r>
    <x v="0"/>
    <x v="3"/>
    <x v="3"/>
    <x v="0"/>
    <x v="0"/>
    <x v="171"/>
    <x v="563"/>
    <n v="0"/>
    <x v="0"/>
    <x v="0"/>
    <x v="3"/>
  </r>
  <r>
    <x v="0"/>
    <x v="4"/>
    <x v="4"/>
    <x v="0"/>
    <x v="0"/>
    <x v="171"/>
    <x v="563"/>
    <n v="0"/>
    <x v="0"/>
    <x v="0"/>
    <x v="3"/>
  </r>
  <r>
    <x v="0"/>
    <x v="0"/>
    <x v="0"/>
    <x v="0"/>
    <x v="0"/>
    <x v="21"/>
    <x v="564"/>
    <n v="0"/>
    <x v="0"/>
    <x v="0"/>
    <x v="3"/>
  </r>
  <r>
    <x v="0"/>
    <x v="1"/>
    <x v="1"/>
    <x v="0"/>
    <x v="0"/>
    <x v="21"/>
    <x v="564"/>
    <n v="0"/>
    <x v="0"/>
    <x v="0"/>
    <x v="3"/>
  </r>
  <r>
    <x v="0"/>
    <x v="2"/>
    <x v="2"/>
    <x v="0"/>
    <x v="0"/>
    <x v="21"/>
    <x v="564"/>
    <n v="0"/>
    <x v="0"/>
    <x v="0"/>
    <x v="3"/>
  </r>
  <r>
    <x v="0"/>
    <x v="3"/>
    <x v="3"/>
    <x v="0"/>
    <x v="0"/>
    <x v="21"/>
    <x v="564"/>
    <n v="0"/>
    <x v="0"/>
    <x v="0"/>
    <x v="3"/>
  </r>
  <r>
    <x v="0"/>
    <x v="4"/>
    <x v="4"/>
    <x v="0"/>
    <x v="0"/>
    <x v="21"/>
    <x v="564"/>
    <n v="0"/>
    <x v="0"/>
    <x v="0"/>
    <x v="3"/>
  </r>
  <r>
    <x v="0"/>
    <x v="0"/>
    <x v="0"/>
    <x v="0"/>
    <x v="0"/>
    <x v="172"/>
    <x v="565"/>
    <n v="135633.81"/>
    <x v="0"/>
    <x v="0"/>
    <x v="2"/>
  </r>
  <r>
    <x v="0"/>
    <x v="1"/>
    <x v="1"/>
    <x v="0"/>
    <x v="0"/>
    <x v="172"/>
    <x v="565"/>
    <n v="22170.75"/>
    <x v="0"/>
    <x v="0"/>
    <x v="2"/>
  </r>
  <r>
    <x v="0"/>
    <x v="2"/>
    <x v="2"/>
    <x v="0"/>
    <x v="0"/>
    <x v="172"/>
    <x v="565"/>
    <n v="12079564.939999999"/>
    <x v="0"/>
    <x v="0"/>
    <x v="2"/>
  </r>
  <r>
    <x v="0"/>
    <x v="3"/>
    <x v="3"/>
    <x v="0"/>
    <x v="0"/>
    <x v="172"/>
    <x v="565"/>
    <n v="55630.11"/>
    <x v="0"/>
    <x v="0"/>
    <x v="2"/>
  </r>
  <r>
    <x v="0"/>
    <x v="4"/>
    <x v="4"/>
    <x v="0"/>
    <x v="0"/>
    <x v="172"/>
    <x v="565"/>
    <n v="12292999.609999999"/>
    <x v="0"/>
    <x v="0"/>
    <x v="2"/>
  </r>
  <r>
    <x v="0"/>
    <x v="0"/>
    <x v="0"/>
    <x v="0"/>
    <x v="0"/>
    <x v="173"/>
    <x v="566"/>
    <n v="0"/>
    <x v="0"/>
    <x v="0"/>
    <x v="3"/>
  </r>
  <r>
    <x v="0"/>
    <x v="1"/>
    <x v="1"/>
    <x v="0"/>
    <x v="0"/>
    <x v="173"/>
    <x v="566"/>
    <n v="0"/>
    <x v="0"/>
    <x v="0"/>
    <x v="3"/>
  </r>
  <r>
    <x v="0"/>
    <x v="2"/>
    <x v="2"/>
    <x v="0"/>
    <x v="0"/>
    <x v="173"/>
    <x v="566"/>
    <n v="0"/>
    <x v="0"/>
    <x v="0"/>
    <x v="3"/>
  </r>
  <r>
    <x v="0"/>
    <x v="3"/>
    <x v="3"/>
    <x v="0"/>
    <x v="0"/>
    <x v="173"/>
    <x v="566"/>
    <n v="0"/>
    <x v="0"/>
    <x v="0"/>
    <x v="3"/>
  </r>
  <r>
    <x v="0"/>
    <x v="4"/>
    <x v="4"/>
    <x v="0"/>
    <x v="0"/>
    <x v="173"/>
    <x v="566"/>
    <n v="0"/>
    <x v="0"/>
    <x v="0"/>
    <x v="3"/>
  </r>
  <r>
    <x v="0"/>
    <x v="0"/>
    <x v="0"/>
    <x v="0"/>
    <x v="0"/>
    <x v="174"/>
    <x v="567"/>
    <n v="129230.39"/>
    <x v="0"/>
    <x v="0"/>
    <x v="3"/>
  </r>
  <r>
    <x v="0"/>
    <x v="1"/>
    <x v="1"/>
    <x v="0"/>
    <x v="0"/>
    <x v="174"/>
    <x v="567"/>
    <n v="21718.7"/>
    <x v="0"/>
    <x v="0"/>
    <x v="3"/>
  </r>
  <r>
    <x v="0"/>
    <x v="2"/>
    <x v="2"/>
    <x v="0"/>
    <x v="0"/>
    <x v="174"/>
    <x v="567"/>
    <n v="11583237.949999999"/>
    <x v="0"/>
    <x v="0"/>
    <x v="3"/>
  </r>
  <r>
    <x v="0"/>
    <x v="3"/>
    <x v="3"/>
    <x v="0"/>
    <x v="0"/>
    <x v="174"/>
    <x v="567"/>
    <n v="54290.11"/>
    <x v="0"/>
    <x v="0"/>
    <x v="3"/>
  </r>
  <r>
    <x v="0"/>
    <x v="4"/>
    <x v="4"/>
    <x v="0"/>
    <x v="0"/>
    <x v="174"/>
    <x v="567"/>
    <n v="11788477.15"/>
    <x v="0"/>
    <x v="0"/>
    <x v="3"/>
  </r>
  <r>
    <x v="0"/>
    <x v="0"/>
    <x v="0"/>
    <x v="0"/>
    <x v="0"/>
    <x v="175"/>
    <x v="568"/>
    <n v="0"/>
    <x v="0"/>
    <x v="0"/>
    <x v="3"/>
  </r>
  <r>
    <x v="0"/>
    <x v="1"/>
    <x v="1"/>
    <x v="0"/>
    <x v="0"/>
    <x v="175"/>
    <x v="568"/>
    <n v="452.05"/>
    <x v="0"/>
    <x v="0"/>
    <x v="3"/>
  </r>
  <r>
    <x v="0"/>
    <x v="2"/>
    <x v="2"/>
    <x v="0"/>
    <x v="0"/>
    <x v="175"/>
    <x v="568"/>
    <n v="493350.98"/>
    <x v="0"/>
    <x v="0"/>
    <x v="3"/>
  </r>
  <r>
    <x v="0"/>
    <x v="3"/>
    <x v="3"/>
    <x v="0"/>
    <x v="0"/>
    <x v="175"/>
    <x v="568"/>
    <n v="1340"/>
    <x v="0"/>
    <x v="0"/>
    <x v="3"/>
  </r>
  <r>
    <x v="0"/>
    <x v="4"/>
    <x v="4"/>
    <x v="0"/>
    <x v="0"/>
    <x v="175"/>
    <x v="568"/>
    <n v="495143.03"/>
    <x v="0"/>
    <x v="0"/>
    <x v="3"/>
  </r>
  <r>
    <x v="0"/>
    <x v="0"/>
    <x v="0"/>
    <x v="0"/>
    <x v="0"/>
    <x v="63"/>
    <x v="569"/>
    <n v="6403.42"/>
    <x v="0"/>
    <x v="0"/>
    <x v="3"/>
  </r>
  <r>
    <x v="0"/>
    <x v="1"/>
    <x v="1"/>
    <x v="0"/>
    <x v="0"/>
    <x v="63"/>
    <x v="569"/>
    <n v="0"/>
    <x v="0"/>
    <x v="0"/>
    <x v="3"/>
  </r>
  <r>
    <x v="0"/>
    <x v="2"/>
    <x v="2"/>
    <x v="0"/>
    <x v="0"/>
    <x v="63"/>
    <x v="569"/>
    <n v="2976.01"/>
    <x v="0"/>
    <x v="0"/>
    <x v="3"/>
  </r>
  <r>
    <x v="0"/>
    <x v="3"/>
    <x v="3"/>
    <x v="0"/>
    <x v="0"/>
    <x v="63"/>
    <x v="569"/>
    <n v="0"/>
    <x v="0"/>
    <x v="0"/>
    <x v="3"/>
  </r>
  <r>
    <x v="0"/>
    <x v="4"/>
    <x v="4"/>
    <x v="0"/>
    <x v="0"/>
    <x v="63"/>
    <x v="569"/>
    <n v="9379.43"/>
    <x v="0"/>
    <x v="0"/>
    <x v="3"/>
  </r>
  <r>
    <x v="0"/>
    <x v="0"/>
    <x v="0"/>
    <x v="0"/>
    <x v="0"/>
    <x v="176"/>
    <x v="570"/>
    <n v="1071977.46"/>
    <x v="0"/>
    <x v="0"/>
    <x v="2"/>
  </r>
  <r>
    <x v="0"/>
    <x v="1"/>
    <x v="1"/>
    <x v="0"/>
    <x v="0"/>
    <x v="176"/>
    <x v="570"/>
    <n v="369193.16"/>
    <x v="0"/>
    <x v="0"/>
    <x v="2"/>
  </r>
  <r>
    <x v="0"/>
    <x v="2"/>
    <x v="2"/>
    <x v="0"/>
    <x v="0"/>
    <x v="176"/>
    <x v="570"/>
    <n v="4597041.17"/>
    <x v="0"/>
    <x v="0"/>
    <x v="2"/>
  </r>
  <r>
    <x v="0"/>
    <x v="3"/>
    <x v="3"/>
    <x v="0"/>
    <x v="0"/>
    <x v="176"/>
    <x v="570"/>
    <n v="163304.93"/>
    <x v="0"/>
    <x v="0"/>
    <x v="2"/>
  </r>
  <r>
    <x v="0"/>
    <x v="4"/>
    <x v="4"/>
    <x v="0"/>
    <x v="0"/>
    <x v="176"/>
    <x v="570"/>
    <n v="6201516.7200000007"/>
    <x v="0"/>
    <x v="0"/>
    <x v="2"/>
  </r>
  <r>
    <x v="0"/>
    <x v="0"/>
    <x v="0"/>
    <x v="0"/>
    <x v="0"/>
    <x v="177"/>
    <x v="571"/>
    <n v="23254.14"/>
    <x v="0"/>
    <x v="0"/>
    <x v="3"/>
  </r>
  <r>
    <x v="0"/>
    <x v="1"/>
    <x v="1"/>
    <x v="0"/>
    <x v="0"/>
    <x v="177"/>
    <x v="571"/>
    <n v="1924.58"/>
    <x v="0"/>
    <x v="0"/>
    <x v="3"/>
  </r>
  <r>
    <x v="0"/>
    <x v="2"/>
    <x v="2"/>
    <x v="0"/>
    <x v="0"/>
    <x v="177"/>
    <x v="571"/>
    <n v="756846.96"/>
    <x v="0"/>
    <x v="0"/>
    <x v="3"/>
  </r>
  <r>
    <x v="0"/>
    <x v="3"/>
    <x v="3"/>
    <x v="0"/>
    <x v="0"/>
    <x v="177"/>
    <x v="571"/>
    <n v="0"/>
    <x v="0"/>
    <x v="0"/>
    <x v="3"/>
  </r>
  <r>
    <x v="0"/>
    <x v="4"/>
    <x v="4"/>
    <x v="0"/>
    <x v="0"/>
    <x v="177"/>
    <x v="571"/>
    <n v="782025.68"/>
    <x v="0"/>
    <x v="0"/>
    <x v="3"/>
  </r>
  <r>
    <x v="0"/>
    <x v="0"/>
    <x v="0"/>
    <x v="0"/>
    <x v="0"/>
    <x v="178"/>
    <x v="572"/>
    <n v="140237.99"/>
    <x v="0"/>
    <x v="0"/>
    <x v="3"/>
  </r>
  <r>
    <x v="0"/>
    <x v="1"/>
    <x v="1"/>
    <x v="0"/>
    <x v="0"/>
    <x v="178"/>
    <x v="572"/>
    <n v="209541.07"/>
    <x v="0"/>
    <x v="0"/>
    <x v="3"/>
  </r>
  <r>
    <x v="0"/>
    <x v="2"/>
    <x v="2"/>
    <x v="0"/>
    <x v="0"/>
    <x v="178"/>
    <x v="572"/>
    <n v="1970769.35"/>
    <x v="0"/>
    <x v="0"/>
    <x v="3"/>
  </r>
  <r>
    <x v="0"/>
    <x v="3"/>
    <x v="3"/>
    <x v="0"/>
    <x v="0"/>
    <x v="178"/>
    <x v="572"/>
    <n v="46519.42"/>
    <x v="0"/>
    <x v="0"/>
    <x v="3"/>
  </r>
  <r>
    <x v="0"/>
    <x v="4"/>
    <x v="4"/>
    <x v="0"/>
    <x v="0"/>
    <x v="178"/>
    <x v="572"/>
    <n v="2367067.83"/>
    <x v="0"/>
    <x v="0"/>
    <x v="3"/>
  </r>
  <r>
    <x v="0"/>
    <x v="0"/>
    <x v="0"/>
    <x v="0"/>
    <x v="0"/>
    <x v="179"/>
    <x v="573"/>
    <n v="795168.02"/>
    <x v="0"/>
    <x v="0"/>
    <x v="3"/>
  </r>
  <r>
    <x v="0"/>
    <x v="1"/>
    <x v="1"/>
    <x v="0"/>
    <x v="0"/>
    <x v="179"/>
    <x v="573"/>
    <n v="111960.95"/>
    <x v="0"/>
    <x v="0"/>
    <x v="3"/>
  </r>
  <r>
    <x v="0"/>
    <x v="2"/>
    <x v="2"/>
    <x v="0"/>
    <x v="0"/>
    <x v="179"/>
    <x v="573"/>
    <n v="1101512.52"/>
    <x v="0"/>
    <x v="0"/>
    <x v="3"/>
  </r>
  <r>
    <x v="0"/>
    <x v="3"/>
    <x v="3"/>
    <x v="0"/>
    <x v="0"/>
    <x v="179"/>
    <x v="573"/>
    <n v="34306.18"/>
    <x v="0"/>
    <x v="0"/>
    <x v="3"/>
  </r>
  <r>
    <x v="0"/>
    <x v="4"/>
    <x v="4"/>
    <x v="0"/>
    <x v="0"/>
    <x v="179"/>
    <x v="573"/>
    <n v="2042947.67"/>
    <x v="0"/>
    <x v="0"/>
    <x v="3"/>
  </r>
  <r>
    <x v="0"/>
    <x v="0"/>
    <x v="0"/>
    <x v="0"/>
    <x v="0"/>
    <x v="180"/>
    <x v="574"/>
    <n v="3577.1"/>
    <x v="0"/>
    <x v="0"/>
    <x v="3"/>
  </r>
  <r>
    <x v="0"/>
    <x v="1"/>
    <x v="1"/>
    <x v="0"/>
    <x v="0"/>
    <x v="180"/>
    <x v="574"/>
    <n v="45123.67"/>
    <x v="0"/>
    <x v="0"/>
    <x v="3"/>
  </r>
  <r>
    <x v="0"/>
    <x v="2"/>
    <x v="2"/>
    <x v="0"/>
    <x v="0"/>
    <x v="180"/>
    <x v="574"/>
    <n v="480144.39"/>
    <x v="0"/>
    <x v="0"/>
    <x v="3"/>
  </r>
  <r>
    <x v="0"/>
    <x v="3"/>
    <x v="3"/>
    <x v="0"/>
    <x v="0"/>
    <x v="180"/>
    <x v="574"/>
    <n v="54266.9"/>
    <x v="0"/>
    <x v="0"/>
    <x v="3"/>
  </r>
  <r>
    <x v="0"/>
    <x v="4"/>
    <x v="4"/>
    <x v="0"/>
    <x v="0"/>
    <x v="180"/>
    <x v="574"/>
    <n v="583112.06000000006"/>
    <x v="0"/>
    <x v="0"/>
    <x v="3"/>
  </r>
  <r>
    <x v="0"/>
    <x v="0"/>
    <x v="0"/>
    <x v="0"/>
    <x v="0"/>
    <x v="181"/>
    <x v="575"/>
    <n v="0"/>
    <x v="0"/>
    <x v="0"/>
    <x v="3"/>
  </r>
  <r>
    <x v="0"/>
    <x v="1"/>
    <x v="1"/>
    <x v="0"/>
    <x v="0"/>
    <x v="181"/>
    <x v="575"/>
    <n v="0"/>
    <x v="0"/>
    <x v="0"/>
    <x v="3"/>
  </r>
  <r>
    <x v="0"/>
    <x v="2"/>
    <x v="2"/>
    <x v="0"/>
    <x v="0"/>
    <x v="181"/>
    <x v="575"/>
    <n v="7693.59"/>
    <x v="0"/>
    <x v="0"/>
    <x v="3"/>
  </r>
  <r>
    <x v="0"/>
    <x v="3"/>
    <x v="3"/>
    <x v="0"/>
    <x v="0"/>
    <x v="181"/>
    <x v="575"/>
    <n v="0"/>
    <x v="0"/>
    <x v="0"/>
    <x v="3"/>
  </r>
  <r>
    <x v="0"/>
    <x v="4"/>
    <x v="4"/>
    <x v="0"/>
    <x v="0"/>
    <x v="181"/>
    <x v="575"/>
    <n v="7693.59"/>
    <x v="0"/>
    <x v="0"/>
    <x v="3"/>
  </r>
  <r>
    <x v="0"/>
    <x v="0"/>
    <x v="0"/>
    <x v="0"/>
    <x v="0"/>
    <x v="182"/>
    <x v="576"/>
    <n v="109740.21"/>
    <x v="0"/>
    <x v="0"/>
    <x v="3"/>
  </r>
  <r>
    <x v="0"/>
    <x v="1"/>
    <x v="1"/>
    <x v="0"/>
    <x v="0"/>
    <x v="182"/>
    <x v="576"/>
    <n v="0"/>
    <x v="0"/>
    <x v="0"/>
    <x v="3"/>
  </r>
  <r>
    <x v="0"/>
    <x v="2"/>
    <x v="2"/>
    <x v="0"/>
    <x v="0"/>
    <x v="182"/>
    <x v="576"/>
    <n v="237665.78"/>
    <x v="0"/>
    <x v="0"/>
    <x v="3"/>
  </r>
  <r>
    <x v="0"/>
    <x v="3"/>
    <x v="3"/>
    <x v="0"/>
    <x v="0"/>
    <x v="182"/>
    <x v="576"/>
    <n v="0"/>
    <x v="0"/>
    <x v="0"/>
    <x v="3"/>
  </r>
  <r>
    <x v="0"/>
    <x v="4"/>
    <x v="4"/>
    <x v="0"/>
    <x v="0"/>
    <x v="182"/>
    <x v="576"/>
    <n v="347405.99"/>
    <x v="0"/>
    <x v="0"/>
    <x v="3"/>
  </r>
  <r>
    <x v="0"/>
    <x v="0"/>
    <x v="0"/>
    <x v="0"/>
    <x v="0"/>
    <x v="183"/>
    <x v="577"/>
    <n v="0"/>
    <x v="0"/>
    <x v="0"/>
    <x v="3"/>
  </r>
  <r>
    <x v="0"/>
    <x v="1"/>
    <x v="1"/>
    <x v="0"/>
    <x v="0"/>
    <x v="183"/>
    <x v="577"/>
    <n v="0"/>
    <x v="0"/>
    <x v="0"/>
    <x v="3"/>
  </r>
  <r>
    <x v="0"/>
    <x v="2"/>
    <x v="2"/>
    <x v="0"/>
    <x v="0"/>
    <x v="183"/>
    <x v="577"/>
    <n v="29980.93"/>
    <x v="0"/>
    <x v="0"/>
    <x v="3"/>
  </r>
  <r>
    <x v="0"/>
    <x v="3"/>
    <x v="3"/>
    <x v="0"/>
    <x v="0"/>
    <x v="183"/>
    <x v="577"/>
    <n v="0"/>
    <x v="0"/>
    <x v="0"/>
    <x v="3"/>
  </r>
  <r>
    <x v="0"/>
    <x v="4"/>
    <x v="4"/>
    <x v="0"/>
    <x v="0"/>
    <x v="183"/>
    <x v="577"/>
    <n v="29980.93"/>
    <x v="0"/>
    <x v="0"/>
    <x v="3"/>
  </r>
  <r>
    <x v="0"/>
    <x v="0"/>
    <x v="0"/>
    <x v="0"/>
    <x v="0"/>
    <x v="184"/>
    <x v="578"/>
    <n v="0"/>
    <x v="0"/>
    <x v="0"/>
    <x v="3"/>
  </r>
  <r>
    <x v="0"/>
    <x v="1"/>
    <x v="1"/>
    <x v="0"/>
    <x v="0"/>
    <x v="184"/>
    <x v="578"/>
    <n v="0"/>
    <x v="0"/>
    <x v="0"/>
    <x v="3"/>
  </r>
  <r>
    <x v="0"/>
    <x v="2"/>
    <x v="2"/>
    <x v="0"/>
    <x v="0"/>
    <x v="184"/>
    <x v="578"/>
    <n v="0"/>
    <x v="0"/>
    <x v="0"/>
    <x v="3"/>
  </r>
  <r>
    <x v="0"/>
    <x v="3"/>
    <x v="3"/>
    <x v="0"/>
    <x v="0"/>
    <x v="184"/>
    <x v="578"/>
    <n v="0"/>
    <x v="0"/>
    <x v="0"/>
    <x v="3"/>
  </r>
  <r>
    <x v="0"/>
    <x v="4"/>
    <x v="4"/>
    <x v="0"/>
    <x v="0"/>
    <x v="184"/>
    <x v="578"/>
    <n v="0"/>
    <x v="0"/>
    <x v="0"/>
    <x v="3"/>
  </r>
  <r>
    <x v="0"/>
    <x v="0"/>
    <x v="0"/>
    <x v="0"/>
    <x v="0"/>
    <x v="185"/>
    <x v="579"/>
    <n v="0"/>
    <x v="0"/>
    <x v="0"/>
    <x v="3"/>
  </r>
  <r>
    <x v="0"/>
    <x v="1"/>
    <x v="1"/>
    <x v="0"/>
    <x v="0"/>
    <x v="185"/>
    <x v="579"/>
    <n v="483.81"/>
    <x v="0"/>
    <x v="0"/>
    <x v="3"/>
  </r>
  <r>
    <x v="0"/>
    <x v="2"/>
    <x v="2"/>
    <x v="0"/>
    <x v="0"/>
    <x v="185"/>
    <x v="579"/>
    <n v="12427.65"/>
    <x v="0"/>
    <x v="0"/>
    <x v="3"/>
  </r>
  <r>
    <x v="0"/>
    <x v="3"/>
    <x v="3"/>
    <x v="0"/>
    <x v="0"/>
    <x v="185"/>
    <x v="579"/>
    <n v="28212.43"/>
    <x v="0"/>
    <x v="0"/>
    <x v="3"/>
  </r>
  <r>
    <x v="0"/>
    <x v="4"/>
    <x v="4"/>
    <x v="0"/>
    <x v="0"/>
    <x v="185"/>
    <x v="579"/>
    <n v="41123.89"/>
    <x v="0"/>
    <x v="0"/>
    <x v="3"/>
  </r>
  <r>
    <x v="0"/>
    <x v="0"/>
    <x v="0"/>
    <x v="0"/>
    <x v="0"/>
    <x v="186"/>
    <x v="580"/>
    <n v="0"/>
    <x v="0"/>
    <x v="0"/>
    <x v="3"/>
  </r>
  <r>
    <x v="0"/>
    <x v="1"/>
    <x v="1"/>
    <x v="0"/>
    <x v="0"/>
    <x v="186"/>
    <x v="580"/>
    <n v="159.08000000000001"/>
    <x v="0"/>
    <x v="0"/>
    <x v="3"/>
  </r>
  <r>
    <x v="0"/>
    <x v="2"/>
    <x v="2"/>
    <x v="0"/>
    <x v="0"/>
    <x v="186"/>
    <x v="580"/>
    <n v="0"/>
    <x v="0"/>
    <x v="0"/>
    <x v="3"/>
  </r>
  <r>
    <x v="0"/>
    <x v="3"/>
    <x v="3"/>
    <x v="0"/>
    <x v="0"/>
    <x v="186"/>
    <x v="580"/>
    <n v="0"/>
    <x v="0"/>
    <x v="0"/>
    <x v="3"/>
  </r>
  <r>
    <x v="0"/>
    <x v="4"/>
    <x v="4"/>
    <x v="0"/>
    <x v="0"/>
    <x v="186"/>
    <x v="580"/>
    <n v="159.08000000000001"/>
    <x v="0"/>
    <x v="0"/>
    <x v="3"/>
  </r>
  <r>
    <x v="0"/>
    <x v="0"/>
    <x v="0"/>
    <x v="0"/>
    <x v="0"/>
    <x v="187"/>
    <x v="581"/>
    <n v="0"/>
    <x v="0"/>
    <x v="0"/>
    <x v="2"/>
  </r>
  <r>
    <x v="0"/>
    <x v="1"/>
    <x v="1"/>
    <x v="0"/>
    <x v="0"/>
    <x v="187"/>
    <x v="581"/>
    <n v="0"/>
    <x v="0"/>
    <x v="0"/>
    <x v="2"/>
  </r>
  <r>
    <x v="0"/>
    <x v="2"/>
    <x v="2"/>
    <x v="0"/>
    <x v="0"/>
    <x v="187"/>
    <x v="581"/>
    <n v="0"/>
    <x v="0"/>
    <x v="0"/>
    <x v="2"/>
  </r>
  <r>
    <x v="0"/>
    <x v="3"/>
    <x v="3"/>
    <x v="0"/>
    <x v="0"/>
    <x v="187"/>
    <x v="581"/>
    <n v="0"/>
    <x v="0"/>
    <x v="0"/>
    <x v="2"/>
  </r>
  <r>
    <x v="0"/>
    <x v="4"/>
    <x v="4"/>
    <x v="0"/>
    <x v="0"/>
    <x v="187"/>
    <x v="581"/>
    <n v="0"/>
    <x v="0"/>
    <x v="0"/>
    <x v="2"/>
  </r>
  <r>
    <x v="0"/>
    <x v="0"/>
    <x v="0"/>
    <x v="0"/>
    <x v="0"/>
    <x v="188"/>
    <x v="582"/>
    <n v="0"/>
    <x v="0"/>
    <x v="0"/>
    <x v="2"/>
  </r>
  <r>
    <x v="0"/>
    <x v="1"/>
    <x v="1"/>
    <x v="0"/>
    <x v="0"/>
    <x v="188"/>
    <x v="582"/>
    <n v="0"/>
    <x v="0"/>
    <x v="0"/>
    <x v="2"/>
  </r>
  <r>
    <x v="0"/>
    <x v="2"/>
    <x v="2"/>
    <x v="0"/>
    <x v="0"/>
    <x v="188"/>
    <x v="582"/>
    <n v="0"/>
    <x v="0"/>
    <x v="0"/>
    <x v="2"/>
  </r>
  <r>
    <x v="0"/>
    <x v="3"/>
    <x v="3"/>
    <x v="0"/>
    <x v="0"/>
    <x v="188"/>
    <x v="582"/>
    <n v="0"/>
    <x v="0"/>
    <x v="0"/>
    <x v="2"/>
  </r>
  <r>
    <x v="0"/>
    <x v="4"/>
    <x v="4"/>
    <x v="0"/>
    <x v="0"/>
    <x v="188"/>
    <x v="582"/>
    <n v="0"/>
    <x v="0"/>
    <x v="0"/>
    <x v="2"/>
  </r>
  <r>
    <x v="0"/>
    <x v="0"/>
    <x v="0"/>
    <x v="0"/>
    <x v="0"/>
    <x v="72"/>
    <x v="583"/>
    <n v="0"/>
    <x v="0"/>
    <x v="0"/>
    <x v="3"/>
  </r>
  <r>
    <x v="0"/>
    <x v="1"/>
    <x v="1"/>
    <x v="0"/>
    <x v="0"/>
    <x v="72"/>
    <x v="583"/>
    <n v="0"/>
    <x v="0"/>
    <x v="0"/>
    <x v="3"/>
  </r>
  <r>
    <x v="0"/>
    <x v="2"/>
    <x v="2"/>
    <x v="0"/>
    <x v="0"/>
    <x v="72"/>
    <x v="583"/>
    <n v="0"/>
    <x v="0"/>
    <x v="0"/>
    <x v="3"/>
  </r>
  <r>
    <x v="0"/>
    <x v="3"/>
    <x v="3"/>
    <x v="0"/>
    <x v="0"/>
    <x v="72"/>
    <x v="583"/>
    <n v="0"/>
    <x v="0"/>
    <x v="0"/>
    <x v="3"/>
  </r>
  <r>
    <x v="0"/>
    <x v="4"/>
    <x v="4"/>
    <x v="0"/>
    <x v="0"/>
    <x v="72"/>
    <x v="583"/>
    <n v="0"/>
    <x v="0"/>
    <x v="0"/>
    <x v="3"/>
  </r>
  <r>
    <x v="0"/>
    <x v="0"/>
    <x v="0"/>
    <x v="0"/>
    <x v="0"/>
    <x v="166"/>
    <x v="584"/>
    <n v="0"/>
    <x v="0"/>
    <x v="0"/>
    <x v="3"/>
  </r>
  <r>
    <x v="0"/>
    <x v="1"/>
    <x v="1"/>
    <x v="0"/>
    <x v="0"/>
    <x v="166"/>
    <x v="584"/>
    <n v="0"/>
    <x v="0"/>
    <x v="0"/>
    <x v="3"/>
  </r>
  <r>
    <x v="0"/>
    <x v="2"/>
    <x v="2"/>
    <x v="0"/>
    <x v="0"/>
    <x v="166"/>
    <x v="584"/>
    <n v="0"/>
    <x v="0"/>
    <x v="0"/>
    <x v="3"/>
  </r>
  <r>
    <x v="0"/>
    <x v="3"/>
    <x v="3"/>
    <x v="0"/>
    <x v="0"/>
    <x v="166"/>
    <x v="584"/>
    <n v="0"/>
    <x v="0"/>
    <x v="0"/>
    <x v="3"/>
  </r>
  <r>
    <x v="0"/>
    <x v="4"/>
    <x v="4"/>
    <x v="0"/>
    <x v="0"/>
    <x v="166"/>
    <x v="584"/>
    <n v="0"/>
    <x v="0"/>
    <x v="0"/>
    <x v="3"/>
  </r>
  <r>
    <x v="0"/>
    <x v="0"/>
    <x v="0"/>
    <x v="0"/>
    <x v="0"/>
    <x v="189"/>
    <x v="585"/>
    <n v="0"/>
    <x v="0"/>
    <x v="0"/>
    <x v="3"/>
  </r>
  <r>
    <x v="0"/>
    <x v="1"/>
    <x v="1"/>
    <x v="0"/>
    <x v="0"/>
    <x v="189"/>
    <x v="585"/>
    <n v="0"/>
    <x v="0"/>
    <x v="0"/>
    <x v="3"/>
  </r>
  <r>
    <x v="0"/>
    <x v="2"/>
    <x v="2"/>
    <x v="0"/>
    <x v="0"/>
    <x v="189"/>
    <x v="585"/>
    <n v="0"/>
    <x v="0"/>
    <x v="0"/>
    <x v="3"/>
  </r>
  <r>
    <x v="0"/>
    <x v="3"/>
    <x v="3"/>
    <x v="0"/>
    <x v="0"/>
    <x v="189"/>
    <x v="585"/>
    <n v="0"/>
    <x v="0"/>
    <x v="0"/>
    <x v="3"/>
  </r>
  <r>
    <x v="0"/>
    <x v="4"/>
    <x v="4"/>
    <x v="0"/>
    <x v="0"/>
    <x v="189"/>
    <x v="585"/>
    <n v="0"/>
    <x v="0"/>
    <x v="0"/>
    <x v="3"/>
  </r>
  <r>
    <x v="0"/>
    <x v="0"/>
    <x v="0"/>
    <x v="0"/>
    <x v="0"/>
    <x v="190"/>
    <x v="586"/>
    <n v="0"/>
    <x v="0"/>
    <x v="0"/>
    <x v="3"/>
  </r>
  <r>
    <x v="0"/>
    <x v="1"/>
    <x v="1"/>
    <x v="0"/>
    <x v="0"/>
    <x v="190"/>
    <x v="586"/>
    <n v="0"/>
    <x v="0"/>
    <x v="0"/>
    <x v="3"/>
  </r>
  <r>
    <x v="0"/>
    <x v="2"/>
    <x v="2"/>
    <x v="0"/>
    <x v="0"/>
    <x v="190"/>
    <x v="586"/>
    <n v="0"/>
    <x v="0"/>
    <x v="0"/>
    <x v="3"/>
  </r>
  <r>
    <x v="0"/>
    <x v="3"/>
    <x v="3"/>
    <x v="0"/>
    <x v="0"/>
    <x v="190"/>
    <x v="586"/>
    <n v="0"/>
    <x v="0"/>
    <x v="0"/>
    <x v="3"/>
  </r>
  <r>
    <x v="0"/>
    <x v="4"/>
    <x v="4"/>
    <x v="0"/>
    <x v="0"/>
    <x v="190"/>
    <x v="586"/>
    <n v="0"/>
    <x v="0"/>
    <x v="0"/>
    <x v="3"/>
  </r>
  <r>
    <x v="0"/>
    <x v="0"/>
    <x v="0"/>
    <x v="0"/>
    <x v="0"/>
    <x v="191"/>
    <x v="587"/>
    <n v="280.97000000000003"/>
    <x v="0"/>
    <x v="0"/>
    <x v="2"/>
  </r>
  <r>
    <x v="0"/>
    <x v="1"/>
    <x v="1"/>
    <x v="0"/>
    <x v="0"/>
    <x v="191"/>
    <x v="587"/>
    <n v="0"/>
    <x v="0"/>
    <x v="0"/>
    <x v="2"/>
  </r>
  <r>
    <x v="0"/>
    <x v="2"/>
    <x v="2"/>
    <x v="0"/>
    <x v="0"/>
    <x v="191"/>
    <x v="587"/>
    <n v="212004.2"/>
    <x v="0"/>
    <x v="0"/>
    <x v="2"/>
  </r>
  <r>
    <x v="0"/>
    <x v="3"/>
    <x v="3"/>
    <x v="0"/>
    <x v="0"/>
    <x v="191"/>
    <x v="587"/>
    <n v="21203.38"/>
    <x v="0"/>
    <x v="0"/>
    <x v="2"/>
  </r>
  <r>
    <x v="0"/>
    <x v="4"/>
    <x v="4"/>
    <x v="0"/>
    <x v="0"/>
    <x v="191"/>
    <x v="587"/>
    <n v="233488.55"/>
    <x v="0"/>
    <x v="0"/>
    <x v="2"/>
  </r>
  <r>
    <x v="0"/>
    <x v="0"/>
    <x v="0"/>
    <x v="0"/>
    <x v="0"/>
    <x v="192"/>
    <x v="588"/>
    <n v="0"/>
    <x v="0"/>
    <x v="0"/>
    <x v="2"/>
  </r>
  <r>
    <x v="0"/>
    <x v="1"/>
    <x v="1"/>
    <x v="0"/>
    <x v="0"/>
    <x v="192"/>
    <x v="588"/>
    <n v="0"/>
    <x v="0"/>
    <x v="0"/>
    <x v="2"/>
  </r>
  <r>
    <x v="0"/>
    <x v="2"/>
    <x v="2"/>
    <x v="0"/>
    <x v="0"/>
    <x v="192"/>
    <x v="588"/>
    <n v="0"/>
    <x v="0"/>
    <x v="0"/>
    <x v="2"/>
  </r>
  <r>
    <x v="0"/>
    <x v="3"/>
    <x v="3"/>
    <x v="0"/>
    <x v="0"/>
    <x v="192"/>
    <x v="588"/>
    <n v="0"/>
    <x v="0"/>
    <x v="0"/>
    <x v="2"/>
  </r>
  <r>
    <x v="0"/>
    <x v="4"/>
    <x v="4"/>
    <x v="0"/>
    <x v="0"/>
    <x v="192"/>
    <x v="588"/>
    <n v="0"/>
    <x v="0"/>
    <x v="0"/>
    <x v="2"/>
  </r>
  <r>
    <x v="0"/>
    <x v="0"/>
    <x v="0"/>
    <x v="0"/>
    <x v="0"/>
    <x v="193"/>
    <x v="589"/>
    <n v="0"/>
    <x v="0"/>
    <x v="0"/>
    <x v="2"/>
  </r>
  <r>
    <x v="0"/>
    <x v="1"/>
    <x v="1"/>
    <x v="0"/>
    <x v="0"/>
    <x v="193"/>
    <x v="589"/>
    <n v="0"/>
    <x v="0"/>
    <x v="0"/>
    <x v="2"/>
  </r>
  <r>
    <x v="0"/>
    <x v="2"/>
    <x v="2"/>
    <x v="0"/>
    <x v="0"/>
    <x v="193"/>
    <x v="589"/>
    <n v="0"/>
    <x v="0"/>
    <x v="0"/>
    <x v="2"/>
  </r>
  <r>
    <x v="0"/>
    <x v="3"/>
    <x v="3"/>
    <x v="0"/>
    <x v="0"/>
    <x v="193"/>
    <x v="589"/>
    <n v="0"/>
    <x v="0"/>
    <x v="0"/>
    <x v="2"/>
  </r>
  <r>
    <x v="0"/>
    <x v="4"/>
    <x v="4"/>
    <x v="0"/>
    <x v="0"/>
    <x v="193"/>
    <x v="589"/>
    <n v="0"/>
    <x v="0"/>
    <x v="0"/>
    <x v="2"/>
  </r>
  <r>
    <x v="0"/>
    <x v="0"/>
    <x v="0"/>
    <x v="0"/>
    <x v="0"/>
    <x v="194"/>
    <x v="590"/>
    <n v="62662.81"/>
    <x v="0"/>
    <x v="0"/>
    <x v="2"/>
  </r>
  <r>
    <x v="0"/>
    <x v="1"/>
    <x v="1"/>
    <x v="0"/>
    <x v="0"/>
    <x v="194"/>
    <x v="590"/>
    <n v="65511.01"/>
    <x v="0"/>
    <x v="0"/>
    <x v="2"/>
  </r>
  <r>
    <x v="0"/>
    <x v="2"/>
    <x v="2"/>
    <x v="0"/>
    <x v="0"/>
    <x v="194"/>
    <x v="590"/>
    <n v="2191087.7999999998"/>
    <x v="0"/>
    <x v="0"/>
    <x v="2"/>
  </r>
  <r>
    <x v="0"/>
    <x v="3"/>
    <x v="3"/>
    <x v="0"/>
    <x v="0"/>
    <x v="194"/>
    <x v="590"/>
    <n v="15661.01"/>
    <x v="0"/>
    <x v="0"/>
    <x v="2"/>
  </r>
  <r>
    <x v="0"/>
    <x v="4"/>
    <x v="4"/>
    <x v="0"/>
    <x v="0"/>
    <x v="194"/>
    <x v="590"/>
    <n v="2334922.63"/>
    <x v="0"/>
    <x v="0"/>
    <x v="2"/>
  </r>
  <r>
    <x v="0"/>
    <x v="0"/>
    <x v="0"/>
    <x v="0"/>
    <x v="0"/>
    <x v="195"/>
    <x v="591"/>
    <n v="0"/>
    <x v="0"/>
    <x v="0"/>
    <x v="3"/>
  </r>
  <r>
    <x v="0"/>
    <x v="1"/>
    <x v="1"/>
    <x v="0"/>
    <x v="0"/>
    <x v="195"/>
    <x v="591"/>
    <n v="0"/>
    <x v="0"/>
    <x v="0"/>
    <x v="3"/>
  </r>
  <r>
    <x v="0"/>
    <x v="2"/>
    <x v="2"/>
    <x v="0"/>
    <x v="0"/>
    <x v="195"/>
    <x v="591"/>
    <n v="0"/>
    <x v="0"/>
    <x v="0"/>
    <x v="3"/>
  </r>
  <r>
    <x v="0"/>
    <x v="3"/>
    <x v="3"/>
    <x v="0"/>
    <x v="0"/>
    <x v="195"/>
    <x v="591"/>
    <n v="0"/>
    <x v="0"/>
    <x v="0"/>
    <x v="3"/>
  </r>
  <r>
    <x v="0"/>
    <x v="4"/>
    <x v="4"/>
    <x v="0"/>
    <x v="0"/>
    <x v="195"/>
    <x v="591"/>
    <n v="0"/>
    <x v="0"/>
    <x v="0"/>
    <x v="3"/>
  </r>
  <r>
    <x v="0"/>
    <x v="0"/>
    <x v="0"/>
    <x v="0"/>
    <x v="0"/>
    <x v="196"/>
    <x v="592"/>
    <n v="0"/>
    <x v="0"/>
    <x v="0"/>
    <x v="3"/>
  </r>
  <r>
    <x v="0"/>
    <x v="1"/>
    <x v="1"/>
    <x v="0"/>
    <x v="0"/>
    <x v="196"/>
    <x v="592"/>
    <n v="0"/>
    <x v="0"/>
    <x v="0"/>
    <x v="3"/>
  </r>
  <r>
    <x v="0"/>
    <x v="2"/>
    <x v="2"/>
    <x v="0"/>
    <x v="0"/>
    <x v="196"/>
    <x v="592"/>
    <n v="0"/>
    <x v="0"/>
    <x v="0"/>
    <x v="3"/>
  </r>
  <r>
    <x v="0"/>
    <x v="3"/>
    <x v="3"/>
    <x v="0"/>
    <x v="0"/>
    <x v="196"/>
    <x v="592"/>
    <n v="0"/>
    <x v="0"/>
    <x v="0"/>
    <x v="3"/>
  </r>
  <r>
    <x v="0"/>
    <x v="4"/>
    <x v="4"/>
    <x v="0"/>
    <x v="0"/>
    <x v="196"/>
    <x v="592"/>
    <n v="0"/>
    <x v="0"/>
    <x v="0"/>
    <x v="3"/>
  </r>
  <r>
    <x v="0"/>
    <x v="0"/>
    <x v="0"/>
    <x v="0"/>
    <x v="0"/>
    <x v="197"/>
    <x v="593"/>
    <n v="0"/>
    <x v="0"/>
    <x v="0"/>
    <x v="3"/>
  </r>
  <r>
    <x v="0"/>
    <x v="1"/>
    <x v="1"/>
    <x v="0"/>
    <x v="0"/>
    <x v="197"/>
    <x v="593"/>
    <n v="0"/>
    <x v="0"/>
    <x v="0"/>
    <x v="3"/>
  </r>
  <r>
    <x v="0"/>
    <x v="2"/>
    <x v="2"/>
    <x v="0"/>
    <x v="0"/>
    <x v="197"/>
    <x v="593"/>
    <n v="0"/>
    <x v="0"/>
    <x v="0"/>
    <x v="3"/>
  </r>
  <r>
    <x v="0"/>
    <x v="3"/>
    <x v="3"/>
    <x v="0"/>
    <x v="0"/>
    <x v="197"/>
    <x v="593"/>
    <n v="0"/>
    <x v="0"/>
    <x v="0"/>
    <x v="3"/>
  </r>
  <r>
    <x v="0"/>
    <x v="4"/>
    <x v="4"/>
    <x v="0"/>
    <x v="0"/>
    <x v="197"/>
    <x v="593"/>
    <n v="0"/>
    <x v="0"/>
    <x v="0"/>
    <x v="3"/>
  </r>
  <r>
    <x v="0"/>
    <x v="0"/>
    <x v="0"/>
    <x v="0"/>
    <x v="0"/>
    <x v="198"/>
    <x v="594"/>
    <n v="0"/>
    <x v="0"/>
    <x v="0"/>
    <x v="3"/>
  </r>
  <r>
    <x v="0"/>
    <x v="1"/>
    <x v="1"/>
    <x v="0"/>
    <x v="0"/>
    <x v="198"/>
    <x v="594"/>
    <n v="23807.43"/>
    <x v="0"/>
    <x v="0"/>
    <x v="3"/>
  </r>
  <r>
    <x v="0"/>
    <x v="2"/>
    <x v="2"/>
    <x v="0"/>
    <x v="0"/>
    <x v="198"/>
    <x v="594"/>
    <n v="1073194.57"/>
    <x v="0"/>
    <x v="0"/>
    <x v="3"/>
  </r>
  <r>
    <x v="0"/>
    <x v="3"/>
    <x v="3"/>
    <x v="0"/>
    <x v="0"/>
    <x v="198"/>
    <x v="594"/>
    <n v="0"/>
    <x v="0"/>
    <x v="0"/>
    <x v="3"/>
  </r>
  <r>
    <x v="0"/>
    <x v="4"/>
    <x v="4"/>
    <x v="0"/>
    <x v="0"/>
    <x v="198"/>
    <x v="594"/>
    <n v="1097002"/>
    <x v="0"/>
    <x v="0"/>
    <x v="3"/>
  </r>
  <r>
    <x v="0"/>
    <x v="0"/>
    <x v="0"/>
    <x v="0"/>
    <x v="0"/>
    <x v="199"/>
    <x v="595"/>
    <n v="0"/>
    <x v="0"/>
    <x v="0"/>
    <x v="3"/>
  </r>
  <r>
    <x v="0"/>
    <x v="1"/>
    <x v="1"/>
    <x v="0"/>
    <x v="0"/>
    <x v="199"/>
    <x v="595"/>
    <n v="24"/>
    <x v="0"/>
    <x v="0"/>
    <x v="3"/>
  </r>
  <r>
    <x v="0"/>
    <x v="2"/>
    <x v="2"/>
    <x v="0"/>
    <x v="0"/>
    <x v="199"/>
    <x v="595"/>
    <n v="0"/>
    <x v="0"/>
    <x v="0"/>
    <x v="3"/>
  </r>
  <r>
    <x v="0"/>
    <x v="3"/>
    <x v="3"/>
    <x v="0"/>
    <x v="0"/>
    <x v="199"/>
    <x v="595"/>
    <n v="0"/>
    <x v="0"/>
    <x v="0"/>
    <x v="3"/>
  </r>
  <r>
    <x v="0"/>
    <x v="4"/>
    <x v="4"/>
    <x v="0"/>
    <x v="0"/>
    <x v="199"/>
    <x v="595"/>
    <n v="24"/>
    <x v="0"/>
    <x v="0"/>
    <x v="3"/>
  </r>
  <r>
    <x v="0"/>
    <x v="0"/>
    <x v="0"/>
    <x v="0"/>
    <x v="0"/>
    <x v="200"/>
    <x v="596"/>
    <n v="44591.23"/>
    <x v="0"/>
    <x v="0"/>
    <x v="3"/>
  </r>
  <r>
    <x v="0"/>
    <x v="1"/>
    <x v="1"/>
    <x v="0"/>
    <x v="0"/>
    <x v="200"/>
    <x v="596"/>
    <n v="41527.199999999997"/>
    <x v="0"/>
    <x v="0"/>
    <x v="3"/>
  </r>
  <r>
    <x v="0"/>
    <x v="2"/>
    <x v="2"/>
    <x v="0"/>
    <x v="0"/>
    <x v="200"/>
    <x v="596"/>
    <n v="828213.87"/>
    <x v="0"/>
    <x v="0"/>
    <x v="3"/>
  </r>
  <r>
    <x v="0"/>
    <x v="3"/>
    <x v="3"/>
    <x v="0"/>
    <x v="0"/>
    <x v="200"/>
    <x v="596"/>
    <n v="15661.01"/>
    <x v="0"/>
    <x v="0"/>
    <x v="3"/>
  </r>
  <r>
    <x v="0"/>
    <x v="4"/>
    <x v="4"/>
    <x v="0"/>
    <x v="0"/>
    <x v="200"/>
    <x v="596"/>
    <n v="929993.31"/>
    <x v="0"/>
    <x v="0"/>
    <x v="3"/>
  </r>
  <r>
    <x v="0"/>
    <x v="0"/>
    <x v="0"/>
    <x v="0"/>
    <x v="0"/>
    <x v="68"/>
    <x v="597"/>
    <n v="18071.580000000002"/>
    <x v="0"/>
    <x v="0"/>
    <x v="3"/>
  </r>
  <r>
    <x v="0"/>
    <x v="1"/>
    <x v="1"/>
    <x v="0"/>
    <x v="0"/>
    <x v="68"/>
    <x v="597"/>
    <n v="152.38"/>
    <x v="0"/>
    <x v="0"/>
    <x v="3"/>
  </r>
  <r>
    <x v="0"/>
    <x v="2"/>
    <x v="2"/>
    <x v="0"/>
    <x v="0"/>
    <x v="68"/>
    <x v="597"/>
    <n v="289679.35999999999"/>
    <x v="0"/>
    <x v="0"/>
    <x v="3"/>
  </r>
  <r>
    <x v="0"/>
    <x v="3"/>
    <x v="3"/>
    <x v="0"/>
    <x v="0"/>
    <x v="68"/>
    <x v="597"/>
    <n v="0"/>
    <x v="0"/>
    <x v="0"/>
    <x v="3"/>
  </r>
  <r>
    <x v="0"/>
    <x v="4"/>
    <x v="4"/>
    <x v="0"/>
    <x v="0"/>
    <x v="68"/>
    <x v="597"/>
    <n v="307903.32"/>
    <x v="0"/>
    <x v="0"/>
    <x v="3"/>
  </r>
  <r>
    <x v="0"/>
    <x v="0"/>
    <x v="0"/>
    <x v="0"/>
    <x v="0"/>
    <x v="201"/>
    <x v="598"/>
    <n v="0"/>
    <x v="0"/>
    <x v="0"/>
    <x v="2"/>
  </r>
  <r>
    <x v="0"/>
    <x v="1"/>
    <x v="1"/>
    <x v="0"/>
    <x v="0"/>
    <x v="201"/>
    <x v="598"/>
    <n v="0"/>
    <x v="0"/>
    <x v="0"/>
    <x v="2"/>
  </r>
  <r>
    <x v="0"/>
    <x v="2"/>
    <x v="2"/>
    <x v="0"/>
    <x v="0"/>
    <x v="201"/>
    <x v="598"/>
    <n v="0"/>
    <x v="0"/>
    <x v="0"/>
    <x v="2"/>
  </r>
  <r>
    <x v="0"/>
    <x v="3"/>
    <x v="3"/>
    <x v="0"/>
    <x v="0"/>
    <x v="201"/>
    <x v="598"/>
    <n v="0"/>
    <x v="0"/>
    <x v="0"/>
    <x v="2"/>
  </r>
  <r>
    <x v="0"/>
    <x v="4"/>
    <x v="4"/>
    <x v="0"/>
    <x v="0"/>
    <x v="201"/>
    <x v="598"/>
    <n v="0"/>
    <x v="0"/>
    <x v="0"/>
    <x v="2"/>
  </r>
  <r>
    <x v="0"/>
    <x v="0"/>
    <x v="0"/>
    <x v="0"/>
    <x v="0"/>
    <x v="202"/>
    <x v="599"/>
    <n v="0"/>
    <x v="0"/>
    <x v="0"/>
    <x v="3"/>
  </r>
  <r>
    <x v="0"/>
    <x v="1"/>
    <x v="1"/>
    <x v="0"/>
    <x v="0"/>
    <x v="202"/>
    <x v="599"/>
    <n v="0"/>
    <x v="0"/>
    <x v="0"/>
    <x v="3"/>
  </r>
  <r>
    <x v="0"/>
    <x v="2"/>
    <x v="2"/>
    <x v="0"/>
    <x v="0"/>
    <x v="202"/>
    <x v="599"/>
    <n v="0"/>
    <x v="0"/>
    <x v="0"/>
    <x v="3"/>
  </r>
  <r>
    <x v="0"/>
    <x v="3"/>
    <x v="3"/>
    <x v="0"/>
    <x v="0"/>
    <x v="202"/>
    <x v="599"/>
    <n v="0"/>
    <x v="0"/>
    <x v="0"/>
    <x v="3"/>
  </r>
  <r>
    <x v="0"/>
    <x v="4"/>
    <x v="4"/>
    <x v="0"/>
    <x v="0"/>
    <x v="202"/>
    <x v="599"/>
    <n v="0"/>
    <x v="0"/>
    <x v="0"/>
    <x v="3"/>
  </r>
  <r>
    <x v="0"/>
    <x v="0"/>
    <x v="0"/>
    <x v="0"/>
    <x v="0"/>
    <x v="203"/>
    <x v="600"/>
    <n v="0"/>
    <x v="0"/>
    <x v="0"/>
    <x v="3"/>
  </r>
  <r>
    <x v="0"/>
    <x v="1"/>
    <x v="1"/>
    <x v="0"/>
    <x v="0"/>
    <x v="203"/>
    <x v="600"/>
    <n v="0"/>
    <x v="0"/>
    <x v="0"/>
    <x v="3"/>
  </r>
  <r>
    <x v="0"/>
    <x v="2"/>
    <x v="2"/>
    <x v="0"/>
    <x v="0"/>
    <x v="203"/>
    <x v="600"/>
    <n v="0"/>
    <x v="0"/>
    <x v="0"/>
    <x v="3"/>
  </r>
  <r>
    <x v="0"/>
    <x v="3"/>
    <x v="3"/>
    <x v="0"/>
    <x v="0"/>
    <x v="203"/>
    <x v="600"/>
    <n v="0"/>
    <x v="0"/>
    <x v="0"/>
    <x v="3"/>
  </r>
  <r>
    <x v="0"/>
    <x v="4"/>
    <x v="4"/>
    <x v="0"/>
    <x v="0"/>
    <x v="203"/>
    <x v="600"/>
    <n v="0"/>
    <x v="0"/>
    <x v="0"/>
    <x v="3"/>
  </r>
  <r>
    <x v="0"/>
    <x v="0"/>
    <x v="0"/>
    <x v="0"/>
    <x v="0"/>
    <x v="204"/>
    <x v="601"/>
    <n v="0"/>
    <x v="0"/>
    <x v="0"/>
    <x v="3"/>
  </r>
  <r>
    <x v="0"/>
    <x v="1"/>
    <x v="1"/>
    <x v="0"/>
    <x v="0"/>
    <x v="204"/>
    <x v="601"/>
    <n v="0"/>
    <x v="0"/>
    <x v="0"/>
    <x v="3"/>
  </r>
  <r>
    <x v="0"/>
    <x v="2"/>
    <x v="2"/>
    <x v="0"/>
    <x v="0"/>
    <x v="204"/>
    <x v="601"/>
    <n v="0"/>
    <x v="0"/>
    <x v="0"/>
    <x v="3"/>
  </r>
  <r>
    <x v="0"/>
    <x v="3"/>
    <x v="3"/>
    <x v="0"/>
    <x v="0"/>
    <x v="204"/>
    <x v="601"/>
    <n v="0"/>
    <x v="0"/>
    <x v="0"/>
    <x v="3"/>
  </r>
  <r>
    <x v="0"/>
    <x v="4"/>
    <x v="4"/>
    <x v="0"/>
    <x v="0"/>
    <x v="204"/>
    <x v="601"/>
    <n v="0"/>
    <x v="0"/>
    <x v="0"/>
    <x v="3"/>
  </r>
  <r>
    <x v="0"/>
    <x v="0"/>
    <x v="0"/>
    <x v="0"/>
    <x v="0"/>
    <x v="205"/>
    <x v="602"/>
    <n v="0"/>
    <x v="0"/>
    <x v="0"/>
    <x v="3"/>
  </r>
  <r>
    <x v="0"/>
    <x v="1"/>
    <x v="1"/>
    <x v="0"/>
    <x v="0"/>
    <x v="205"/>
    <x v="602"/>
    <n v="0"/>
    <x v="0"/>
    <x v="0"/>
    <x v="3"/>
  </r>
  <r>
    <x v="0"/>
    <x v="2"/>
    <x v="2"/>
    <x v="0"/>
    <x v="0"/>
    <x v="205"/>
    <x v="602"/>
    <n v="0"/>
    <x v="0"/>
    <x v="0"/>
    <x v="3"/>
  </r>
  <r>
    <x v="0"/>
    <x v="3"/>
    <x v="3"/>
    <x v="0"/>
    <x v="0"/>
    <x v="205"/>
    <x v="602"/>
    <n v="0"/>
    <x v="0"/>
    <x v="0"/>
    <x v="3"/>
  </r>
  <r>
    <x v="0"/>
    <x v="4"/>
    <x v="4"/>
    <x v="0"/>
    <x v="0"/>
    <x v="205"/>
    <x v="602"/>
    <n v="0"/>
    <x v="0"/>
    <x v="0"/>
    <x v="3"/>
  </r>
  <r>
    <x v="0"/>
    <x v="0"/>
    <x v="0"/>
    <x v="0"/>
    <x v="0"/>
    <x v="206"/>
    <x v="603"/>
    <n v="0"/>
    <x v="0"/>
    <x v="0"/>
    <x v="3"/>
  </r>
  <r>
    <x v="0"/>
    <x v="1"/>
    <x v="1"/>
    <x v="0"/>
    <x v="0"/>
    <x v="206"/>
    <x v="603"/>
    <n v="0"/>
    <x v="0"/>
    <x v="0"/>
    <x v="3"/>
  </r>
  <r>
    <x v="0"/>
    <x v="2"/>
    <x v="2"/>
    <x v="0"/>
    <x v="0"/>
    <x v="206"/>
    <x v="603"/>
    <n v="0"/>
    <x v="0"/>
    <x v="0"/>
    <x v="3"/>
  </r>
  <r>
    <x v="0"/>
    <x v="3"/>
    <x v="3"/>
    <x v="0"/>
    <x v="0"/>
    <x v="206"/>
    <x v="603"/>
    <n v="0"/>
    <x v="0"/>
    <x v="0"/>
    <x v="3"/>
  </r>
  <r>
    <x v="0"/>
    <x v="4"/>
    <x v="4"/>
    <x v="0"/>
    <x v="0"/>
    <x v="206"/>
    <x v="603"/>
    <n v="0"/>
    <x v="0"/>
    <x v="0"/>
    <x v="3"/>
  </r>
  <r>
    <x v="0"/>
    <x v="0"/>
    <x v="0"/>
    <x v="0"/>
    <x v="0"/>
    <x v="207"/>
    <x v="604"/>
    <n v="0"/>
    <x v="0"/>
    <x v="0"/>
    <x v="3"/>
  </r>
  <r>
    <x v="0"/>
    <x v="1"/>
    <x v="1"/>
    <x v="0"/>
    <x v="0"/>
    <x v="207"/>
    <x v="604"/>
    <n v="0"/>
    <x v="0"/>
    <x v="0"/>
    <x v="3"/>
  </r>
  <r>
    <x v="0"/>
    <x v="2"/>
    <x v="2"/>
    <x v="0"/>
    <x v="0"/>
    <x v="207"/>
    <x v="604"/>
    <n v="0"/>
    <x v="0"/>
    <x v="0"/>
    <x v="3"/>
  </r>
  <r>
    <x v="0"/>
    <x v="3"/>
    <x v="3"/>
    <x v="0"/>
    <x v="0"/>
    <x v="207"/>
    <x v="604"/>
    <n v="0"/>
    <x v="0"/>
    <x v="0"/>
    <x v="3"/>
  </r>
  <r>
    <x v="0"/>
    <x v="4"/>
    <x v="4"/>
    <x v="0"/>
    <x v="0"/>
    <x v="207"/>
    <x v="604"/>
    <n v="0"/>
    <x v="0"/>
    <x v="0"/>
    <x v="3"/>
  </r>
  <r>
    <x v="0"/>
    <x v="0"/>
    <x v="0"/>
    <x v="0"/>
    <x v="0"/>
    <x v="208"/>
    <x v="605"/>
    <n v="0"/>
    <x v="0"/>
    <x v="0"/>
    <x v="3"/>
  </r>
  <r>
    <x v="0"/>
    <x v="1"/>
    <x v="1"/>
    <x v="0"/>
    <x v="0"/>
    <x v="208"/>
    <x v="605"/>
    <n v="0"/>
    <x v="0"/>
    <x v="0"/>
    <x v="3"/>
  </r>
  <r>
    <x v="0"/>
    <x v="2"/>
    <x v="2"/>
    <x v="0"/>
    <x v="0"/>
    <x v="208"/>
    <x v="605"/>
    <n v="0"/>
    <x v="0"/>
    <x v="0"/>
    <x v="3"/>
  </r>
  <r>
    <x v="0"/>
    <x v="3"/>
    <x v="3"/>
    <x v="0"/>
    <x v="0"/>
    <x v="208"/>
    <x v="605"/>
    <n v="0"/>
    <x v="0"/>
    <x v="0"/>
    <x v="3"/>
  </r>
  <r>
    <x v="0"/>
    <x v="4"/>
    <x v="4"/>
    <x v="0"/>
    <x v="0"/>
    <x v="208"/>
    <x v="605"/>
    <n v="0"/>
    <x v="0"/>
    <x v="0"/>
    <x v="3"/>
  </r>
  <r>
    <x v="0"/>
    <x v="0"/>
    <x v="0"/>
    <x v="0"/>
    <x v="0"/>
    <x v="209"/>
    <x v="606"/>
    <n v="0"/>
    <x v="0"/>
    <x v="0"/>
    <x v="3"/>
  </r>
  <r>
    <x v="0"/>
    <x v="1"/>
    <x v="1"/>
    <x v="0"/>
    <x v="0"/>
    <x v="209"/>
    <x v="606"/>
    <n v="0"/>
    <x v="0"/>
    <x v="0"/>
    <x v="3"/>
  </r>
  <r>
    <x v="0"/>
    <x v="2"/>
    <x v="2"/>
    <x v="0"/>
    <x v="0"/>
    <x v="209"/>
    <x v="606"/>
    <n v="0"/>
    <x v="0"/>
    <x v="0"/>
    <x v="3"/>
  </r>
  <r>
    <x v="0"/>
    <x v="3"/>
    <x v="3"/>
    <x v="0"/>
    <x v="0"/>
    <x v="209"/>
    <x v="606"/>
    <n v="0"/>
    <x v="0"/>
    <x v="0"/>
    <x v="3"/>
  </r>
  <r>
    <x v="0"/>
    <x v="4"/>
    <x v="4"/>
    <x v="0"/>
    <x v="0"/>
    <x v="209"/>
    <x v="606"/>
    <n v="0"/>
    <x v="0"/>
    <x v="0"/>
    <x v="3"/>
  </r>
  <r>
    <x v="0"/>
    <x v="0"/>
    <x v="0"/>
    <x v="0"/>
    <x v="0"/>
    <x v="210"/>
    <x v="607"/>
    <n v="0"/>
    <x v="0"/>
    <x v="0"/>
    <x v="2"/>
  </r>
  <r>
    <x v="0"/>
    <x v="1"/>
    <x v="1"/>
    <x v="0"/>
    <x v="0"/>
    <x v="210"/>
    <x v="607"/>
    <n v="0"/>
    <x v="0"/>
    <x v="0"/>
    <x v="2"/>
  </r>
  <r>
    <x v="0"/>
    <x v="2"/>
    <x v="2"/>
    <x v="0"/>
    <x v="0"/>
    <x v="210"/>
    <x v="607"/>
    <n v="8323722.4299999997"/>
    <x v="0"/>
    <x v="0"/>
    <x v="2"/>
  </r>
  <r>
    <x v="0"/>
    <x v="3"/>
    <x v="3"/>
    <x v="0"/>
    <x v="0"/>
    <x v="210"/>
    <x v="607"/>
    <n v="0"/>
    <x v="0"/>
    <x v="0"/>
    <x v="2"/>
  </r>
  <r>
    <x v="0"/>
    <x v="4"/>
    <x v="4"/>
    <x v="0"/>
    <x v="0"/>
    <x v="210"/>
    <x v="607"/>
    <n v="8323722.4299999997"/>
    <x v="0"/>
    <x v="0"/>
    <x v="2"/>
  </r>
  <r>
    <x v="0"/>
    <x v="0"/>
    <x v="0"/>
    <x v="0"/>
    <x v="0"/>
    <x v="211"/>
    <x v="608"/>
    <n v="7661.48"/>
    <x v="0"/>
    <x v="0"/>
    <x v="2"/>
  </r>
  <r>
    <x v="0"/>
    <x v="1"/>
    <x v="1"/>
    <x v="0"/>
    <x v="0"/>
    <x v="211"/>
    <x v="608"/>
    <n v="42855.48"/>
    <x v="0"/>
    <x v="0"/>
    <x v="2"/>
  </r>
  <r>
    <x v="0"/>
    <x v="2"/>
    <x v="2"/>
    <x v="0"/>
    <x v="0"/>
    <x v="211"/>
    <x v="608"/>
    <n v="12034095.890000001"/>
    <x v="0"/>
    <x v="0"/>
    <x v="2"/>
  </r>
  <r>
    <x v="0"/>
    <x v="3"/>
    <x v="3"/>
    <x v="0"/>
    <x v="0"/>
    <x v="211"/>
    <x v="608"/>
    <n v="128430.01"/>
    <x v="0"/>
    <x v="0"/>
    <x v="2"/>
  </r>
  <r>
    <x v="0"/>
    <x v="4"/>
    <x v="4"/>
    <x v="0"/>
    <x v="0"/>
    <x v="211"/>
    <x v="608"/>
    <n v="12213042.859999999"/>
    <x v="0"/>
    <x v="0"/>
    <x v="2"/>
  </r>
  <r>
    <x v="0"/>
    <x v="0"/>
    <x v="0"/>
    <x v="0"/>
    <x v="0"/>
    <x v="212"/>
    <x v="609"/>
    <n v="0"/>
    <x v="0"/>
    <x v="0"/>
    <x v="3"/>
  </r>
  <r>
    <x v="0"/>
    <x v="1"/>
    <x v="1"/>
    <x v="0"/>
    <x v="0"/>
    <x v="212"/>
    <x v="609"/>
    <n v="782.5"/>
    <x v="0"/>
    <x v="0"/>
    <x v="3"/>
  </r>
  <r>
    <x v="0"/>
    <x v="2"/>
    <x v="2"/>
    <x v="0"/>
    <x v="0"/>
    <x v="212"/>
    <x v="609"/>
    <n v="17252.05"/>
    <x v="0"/>
    <x v="0"/>
    <x v="3"/>
  </r>
  <r>
    <x v="0"/>
    <x v="3"/>
    <x v="3"/>
    <x v="0"/>
    <x v="0"/>
    <x v="212"/>
    <x v="609"/>
    <n v="8088.68"/>
    <x v="0"/>
    <x v="0"/>
    <x v="3"/>
  </r>
  <r>
    <x v="0"/>
    <x v="4"/>
    <x v="4"/>
    <x v="0"/>
    <x v="0"/>
    <x v="212"/>
    <x v="609"/>
    <n v="26123.23"/>
    <x v="0"/>
    <x v="0"/>
    <x v="3"/>
  </r>
  <r>
    <x v="0"/>
    <x v="0"/>
    <x v="0"/>
    <x v="0"/>
    <x v="0"/>
    <x v="213"/>
    <x v="610"/>
    <n v="0"/>
    <x v="0"/>
    <x v="0"/>
    <x v="3"/>
  </r>
  <r>
    <x v="0"/>
    <x v="1"/>
    <x v="1"/>
    <x v="0"/>
    <x v="0"/>
    <x v="213"/>
    <x v="610"/>
    <n v="0"/>
    <x v="0"/>
    <x v="0"/>
    <x v="3"/>
  </r>
  <r>
    <x v="0"/>
    <x v="2"/>
    <x v="2"/>
    <x v="0"/>
    <x v="0"/>
    <x v="213"/>
    <x v="610"/>
    <n v="0"/>
    <x v="0"/>
    <x v="0"/>
    <x v="3"/>
  </r>
  <r>
    <x v="0"/>
    <x v="3"/>
    <x v="3"/>
    <x v="0"/>
    <x v="0"/>
    <x v="213"/>
    <x v="610"/>
    <n v="0"/>
    <x v="0"/>
    <x v="0"/>
    <x v="3"/>
  </r>
  <r>
    <x v="0"/>
    <x v="4"/>
    <x v="4"/>
    <x v="0"/>
    <x v="0"/>
    <x v="213"/>
    <x v="610"/>
    <n v="0"/>
    <x v="0"/>
    <x v="0"/>
    <x v="3"/>
  </r>
  <r>
    <x v="0"/>
    <x v="0"/>
    <x v="0"/>
    <x v="0"/>
    <x v="0"/>
    <x v="214"/>
    <x v="611"/>
    <n v="1"/>
    <x v="0"/>
    <x v="0"/>
    <x v="3"/>
  </r>
  <r>
    <x v="0"/>
    <x v="1"/>
    <x v="1"/>
    <x v="0"/>
    <x v="0"/>
    <x v="214"/>
    <x v="611"/>
    <n v="0"/>
    <x v="0"/>
    <x v="0"/>
    <x v="3"/>
  </r>
  <r>
    <x v="0"/>
    <x v="2"/>
    <x v="2"/>
    <x v="0"/>
    <x v="0"/>
    <x v="214"/>
    <x v="611"/>
    <n v="0"/>
    <x v="0"/>
    <x v="0"/>
    <x v="3"/>
  </r>
  <r>
    <x v="0"/>
    <x v="3"/>
    <x v="3"/>
    <x v="0"/>
    <x v="0"/>
    <x v="214"/>
    <x v="611"/>
    <n v="0"/>
    <x v="0"/>
    <x v="0"/>
    <x v="3"/>
  </r>
  <r>
    <x v="0"/>
    <x v="4"/>
    <x v="4"/>
    <x v="0"/>
    <x v="0"/>
    <x v="214"/>
    <x v="611"/>
    <n v="1"/>
    <x v="0"/>
    <x v="0"/>
    <x v="3"/>
  </r>
  <r>
    <x v="0"/>
    <x v="0"/>
    <x v="0"/>
    <x v="0"/>
    <x v="0"/>
    <x v="215"/>
    <x v="612"/>
    <n v="0"/>
    <x v="0"/>
    <x v="0"/>
    <x v="3"/>
  </r>
  <r>
    <x v="0"/>
    <x v="1"/>
    <x v="1"/>
    <x v="0"/>
    <x v="0"/>
    <x v="215"/>
    <x v="612"/>
    <n v="639.92999999999995"/>
    <x v="0"/>
    <x v="0"/>
    <x v="3"/>
  </r>
  <r>
    <x v="0"/>
    <x v="2"/>
    <x v="2"/>
    <x v="0"/>
    <x v="0"/>
    <x v="215"/>
    <x v="612"/>
    <n v="0"/>
    <x v="0"/>
    <x v="0"/>
    <x v="3"/>
  </r>
  <r>
    <x v="0"/>
    <x v="3"/>
    <x v="3"/>
    <x v="0"/>
    <x v="0"/>
    <x v="215"/>
    <x v="612"/>
    <n v="0"/>
    <x v="0"/>
    <x v="0"/>
    <x v="3"/>
  </r>
  <r>
    <x v="0"/>
    <x v="4"/>
    <x v="4"/>
    <x v="0"/>
    <x v="0"/>
    <x v="215"/>
    <x v="612"/>
    <n v="639.92999999999995"/>
    <x v="0"/>
    <x v="0"/>
    <x v="3"/>
  </r>
  <r>
    <x v="0"/>
    <x v="0"/>
    <x v="0"/>
    <x v="0"/>
    <x v="0"/>
    <x v="216"/>
    <x v="613"/>
    <n v="0"/>
    <x v="0"/>
    <x v="0"/>
    <x v="3"/>
  </r>
  <r>
    <x v="0"/>
    <x v="1"/>
    <x v="1"/>
    <x v="0"/>
    <x v="0"/>
    <x v="216"/>
    <x v="613"/>
    <n v="0"/>
    <x v="0"/>
    <x v="0"/>
    <x v="3"/>
  </r>
  <r>
    <x v="0"/>
    <x v="2"/>
    <x v="2"/>
    <x v="0"/>
    <x v="0"/>
    <x v="216"/>
    <x v="613"/>
    <n v="0"/>
    <x v="0"/>
    <x v="0"/>
    <x v="3"/>
  </r>
  <r>
    <x v="0"/>
    <x v="3"/>
    <x v="3"/>
    <x v="0"/>
    <x v="0"/>
    <x v="216"/>
    <x v="613"/>
    <n v="0"/>
    <x v="0"/>
    <x v="0"/>
    <x v="3"/>
  </r>
  <r>
    <x v="0"/>
    <x v="4"/>
    <x v="4"/>
    <x v="0"/>
    <x v="0"/>
    <x v="216"/>
    <x v="613"/>
    <n v="0"/>
    <x v="0"/>
    <x v="0"/>
    <x v="3"/>
  </r>
  <r>
    <x v="0"/>
    <x v="0"/>
    <x v="0"/>
    <x v="0"/>
    <x v="0"/>
    <x v="217"/>
    <x v="614"/>
    <n v="0"/>
    <x v="0"/>
    <x v="0"/>
    <x v="3"/>
  </r>
  <r>
    <x v="0"/>
    <x v="1"/>
    <x v="1"/>
    <x v="0"/>
    <x v="0"/>
    <x v="217"/>
    <x v="614"/>
    <n v="0"/>
    <x v="0"/>
    <x v="0"/>
    <x v="3"/>
  </r>
  <r>
    <x v="0"/>
    <x v="2"/>
    <x v="2"/>
    <x v="0"/>
    <x v="0"/>
    <x v="217"/>
    <x v="614"/>
    <n v="51999.89"/>
    <x v="0"/>
    <x v="0"/>
    <x v="3"/>
  </r>
  <r>
    <x v="0"/>
    <x v="3"/>
    <x v="3"/>
    <x v="0"/>
    <x v="0"/>
    <x v="217"/>
    <x v="614"/>
    <n v="17472.43"/>
    <x v="0"/>
    <x v="0"/>
    <x v="3"/>
  </r>
  <r>
    <x v="0"/>
    <x v="4"/>
    <x v="4"/>
    <x v="0"/>
    <x v="0"/>
    <x v="217"/>
    <x v="614"/>
    <n v="69472.320000000007"/>
    <x v="0"/>
    <x v="0"/>
    <x v="3"/>
  </r>
  <r>
    <x v="0"/>
    <x v="0"/>
    <x v="0"/>
    <x v="0"/>
    <x v="0"/>
    <x v="218"/>
    <x v="615"/>
    <n v="0"/>
    <x v="0"/>
    <x v="0"/>
    <x v="3"/>
  </r>
  <r>
    <x v="0"/>
    <x v="1"/>
    <x v="1"/>
    <x v="0"/>
    <x v="0"/>
    <x v="218"/>
    <x v="615"/>
    <n v="0"/>
    <x v="0"/>
    <x v="0"/>
    <x v="3"/>
  </r>
  <r>
    <x v="0"/>
    <x v="2"/>
    <x v="2"/>
    <x v="0"/>
    <x v="0"/>
    <x v="218"/>
    <x v="615"/>
    <n v="0"/>
    <x v="0"/>
    <x v="0"/>
    <x v="3"/>
  </r>
  <r>
    <x v="0"/>
    <x v="3"/>
    <x v="3"/>
    <x v="0"/>
    <x v="0"/>
    <x v="218"/>
    <x v="615"/>
    <n v="0"/>
    <x v="0"/>
    <x v="0"/>
    <x v="3"/>
  </r>
  <r>
    <x v="0"/>
    <x v="4"/>
    <x v="4"/>
    <x v="0"/>
    <x v="0"/>
    <x v="218"/>
    <x v="615"/>
    <n v="0"/>
    <x v="0"/>
    <x v="0"/>
    <x v="3"/>
  </r>
  <r>
    <x v="0"/>
    <x v="0"/>
    <x v="0"/>
    <x v="0"/>
    <x v="0"/>
    <x v="219"/>
    <x v="616"/>
    <n v="0"/>
    <x v="0"/>
    <x v="0"/>
    <x v="3"/>
  </r>
  <r>
    <x v="0"/>
    <x v="1"/>
    <x v="1"/>
    <x v="0"/>
    <x v="0"/>
    <x v="219"/>
    <x v="616"/>
    <n v="0"/>
    <x v="0"/>
    <x v="0"/>
    <x v="3"/>
  </r>
  <r>
    <x v="0"/>
    <x v="2"/>
    <x v="2"/>
    <x v="0"/>
    <x v="0"/>
    <x v="219"/>
    <x v="616"/>
    <n v="0"/>
    <x v="0"/>
    <x v="0"/>
    <x v="3"/>
  </r>
  <r>
    <x v="0"/>
    <x v="3"/>
    <x v="3"/>
    <x v="0"/>
    <x v="0"/>
    <x v="219"/>
    <x v="616"/>
    <n v="0"/>
    <x v="0"/>
    <x v="0"/>
    <x v="3"/>
  </r>
  <r>
    <x v="0"/>
    <x v="4"/>
    <x v="4"/>
    <x v="0"/>
    <x v="0"/>
    <x v="219"/>
    <x v="616"/>
    <n v="0"/>
    <x v="0"/>
    <x v="0"/>
    <x v="3"/>
  </r>
  <r>
    <x v="0"/>
    <x v="0"/>
    <x v="0"/>
    <x v="0"/>
    <x v="0"/>
    <x v="190"/>
    <x v="617"/>
    <n v="7660.48"/>
    <x v="0"/>
    <x v="0"/>
    <x v="3"/>
  </r>
  <r>
    <x v="0"/>
    <x v="1"/>
    <x v="1"/>
    <x v="0"/>
    <x v="0"/>
    <x v="190"/>
    <x v="617"/>
    <n v="41433.050000000003"/>
    <x v="0"/>
    <x v="0"/>
    <x v="3"/>
  </r>
  <r>
    <x v="0"/>
    <x v="2"/>
    <x v="2"/>
    <x v="0"/>
    <x v="0"/>
    <x v="190"/>
    <x v="617"/>
    <n v="11964843.949999999"/>
    <x v="0"/>
    <x v="0"/>
    <x v="3"/>
  </r>
  <r>
    <x v="0"/>
    <x v="3"/>
    <x v="3"/>
    <x v="0"/>
    <x v="0"/>
    <x v="190"/>
    <x v="617"/>
    <n v="102868.9"/>
    <x v="0"/>
    <x v="0"/>
    <x v="3"/>
  </r>
  <r>
    <x v="0"/>
    <x v="4"/>
    <x v="4"/>
    <x v="0"/>
    <x v="0"/>
    <x v="190"/>
    <x v="617"/>
    <n v="12116806.380000001"/>
    <x v="0"/>
    <x v="0"/>
    <x v="3"/>
  </r>
  <r>
    <x v="0"/>
    <x v="0"/>
    <x v="0"/>
    <x v="0"/>
    <x v="0"/>
    <x v="220"/>
    <x v="618"/>
    <n v="-54211.839999999997"/>
    <x v="0"/>
    <x v="0"/>
    <x v="2"/>
  </r>
  <r>
    <x v="0"/>
    <x v="1"/>
    <x v="1"/>
    <x v="0"/>
    <x v="0"/>
    <x v="220"/>
    <x v="618"/>
    <n v="-47808.959999999999"/>
    <x v="0"/>
    <x v="0"/>
    <x v="2"/>
  </r>
  <r>
    <x v="0"/>
    <x v="2"/>
    <x v="2"/>
    <x v="0"/>
    <x v="0"/>
    <x v="220"/>
    <x v="618"/>
    <n v="-10111296.189999999"/>
    <x v="0"/>
    <x v="0"/>
    <x v="2"/>
  </r>
  <r>
    <x v="0"/>
    <x v="3"/>
    <x v="3"/>
    <x v="0"/>
    <x v="0"/>
    <x v="220"/>
    <x v="618"/>
    <n v="-20025.150000000001"/>
    <x v="0"/>
    <x v="0"/>
    <x v="2"/>
  </r>
  <r>
    <x v="0"/>
    <x v="4"/>
    <x v="4"/>
    <x v="0"/>
    <x v="0"/>
    <x v="220"/>
    <x v="618"/>
    <n v="-10233342.140000001"/>
    <x v="0"/>
    <x v="0"/>
    <x v="2"/>
  </r>
  <r>
    <x v="0"/>
    <x v="0"/>
    <x v="0"/>
    <x v="0"/>
    <x v="0"/>
    <x v="221"/>
    <x v="619"/>
    <n v="-678.17"/>
    <x v="0"/>
    <x v="0"/>
    <x v="3"/>
  </r>
  <r>
    <x v="0"/>
    <x v="1"/>
    <x v="1"/>
    <x v="0"/>
    <x v="0"/>
    <x v="221"/>
    <x v="619"/>
    <n v="0"/>
    <x v="0"/>
    <x v="0"/>
    <x v="3"/>
  </r>
  <r>
    <x v="0"/>
    <x v="2"/>
    <x v="2"/>
    <x v="0"/>
    <x v="0"/>
    <x v="221"/>
    <x v="619"/>
    <n v="-513.5"/>
    <x v="0"/>
    <x v="0"/>
    <x v="3"/>
  </r>
  <r>
    <x v="0"/>
    <x v="3"/>
    <x v="3"/>
    <x v="0"/>
    <x v="0"/>
    <x v="221"/>
    <x v="619"/>
    <n v="0"/>
    <x v="0"/>
    <x v="0"/>
    <x v="3"/>
  </r>
  <r>
    <x v="0"/>
    <x v="4"/>
    <x v="4"/>
    <x v="0"/>
    <x v="0"/>
    <x v="221"/>
    <x v="619"/>
    <n v="-1191.67"/>
    <x v="0"/>
    <x v="0"/>
    <x v="3"/>
  </r>
  <r>
    <x v="0"/>
    <x v="0"/>
    <x v="0"/>
    <x v="0"/>
    <x v="0"/>
    <x v="222"/>
    <x v="620"/>
    <n v="-53533.67"/>
    <x v="0"/>
    <x v="0"/>
    <x v="3"/>
  </r>
  <r>
    <x v="0"/>
    <x v="1"/>
    <x v="1"/>
    <x v="0"/>
    <x v="0"/>
    <x v="222"/>
    <x v="620"/>
    <n v="-47808.959999999999"/>
    <x v="0"/>
    <x v="0"/>
    <x v="3"/>
  </r>
  <r>
    <x v="0"/>
    <x v="2"/>
    <x v="2"/>
    <x v="0"/>
    <x v="0"/>
    <x v="222"/>
    <x v="620"/>
    <n v="-10110782.689999999"/>
    <x v="0"/>
    <x v="0"/>
    <x v="3"/>
  </r>
  <r>
    <x v="0"/>
    <x v="3"/>
    <x v="3"/>
    <x v="0"/>
    <x v="0"/>
    <x v="222"/>
    <x v="620"/>
    <n v="-20025.150000000001"/>
    <x v="0"/>
    <x v="0"/>
    <x v="3"/>
  </r>
  <r>
    <x v="0"/>
    <x v="4"/>
    <x v="4"/>
    <x v="0"/>
    <x v="0"/>
    <x v="222"/>
    <x v="620"/>
    <n v="-10232150.470000001"/>
    <x v="0"/>
    <x v="0"/>
    <x v="3"/>
  </r>
  <r>
    <x v="0"/>
    <x v="0"/>
    <x v="0"/>
    <x v="0"/>
    <x v="0"/>
    <x v="223"/>
    <x v="621"/>
    <n v="2320152.6800000002"/>
    <x v="0"/>
    <x v="0"/>
    <x v="1"/>
  </r>
  <r>
    <x v="0"/>
    <x v="1"/>
    <x v="1"/>
    <x v="0"/>
    <x v="0"/>
    <x v="223"/>
    <x v="621"/>
    <n v="896196.21"/>
    <x v="0"/>
    <x v="0"/>
    <x v="1"/>
  </r>
  <r>
    <x v="0"/>
    <x v="2"/>
    <x v="2"/>
    <x v="0"/>
    <x v="0"/>
    <x v="223"/>
    <x v="621"/>
    <n v="25304142.5"/>
    <x v="0"/>
    <x v="0"/>
    <x v="1"/>
  </r>
  <r>
    <x v="0"/>
    <x v="3"/>
    <x v="3"/>
    <x v="0"/>
    <x v="0"/>
    <x v="223"/>
    <x v="621"/>
    <n v="3043593.51"/>
    <x v="0"/>
    <x v="0"/>
    <x v="1"/>
  </r>
  <r>
    <x v="0"/>
    <x v="4"/>
    <x v="4"/>
    <x v="0"/>
    <x v="0"/>
    <x v="223"/>
    <x v="621"/>
    <n v="31564084.899999999"/>
    <x v="0"/>
    <x v="0"/>
    <x v="1"/>
  </r>
  <r>
    <x v="0"/>
    <x v="0"/>
    <x v="0"/>
    <x v="0"/>
    <x v="0"/>
    <x v="224"/>
    <x v="622"/>
    <n v="1961437.34"/>
    <x v="0"/>
    <x v="0"/>
    <x v="2"/>
  </r>
  <r>
    <x v="0"/>
    <x v="1"/>
    <x v="1"/>
    <x v="0"/>
    <x v="0"/>
    <x v="224"/>
    <x v="622"/>
    <n v="862162.31"/>
    <x v="0"/>
    <x v="0"/>
    <x v="2"/>
  </r>
  <r>
    <x v="0"/>
    <x v="2"/>
    <x v="2"/>
    <x v="0"/>
    <x v="0"/>
    <x v="224"/>
    <x v="622"/>
    <n v="13738130.619999999"/>
    <x v="0"/>
    <x v="0"/>
    <x v="2"/>
  </r>
  <r>
    <x v="0"/>
    <x v="3"/>
    <x v="3"/>
    <x v="0"/>
    <x v="0"/>
    <x v="224"/>
    <x v="622"/>
    <n v="3043593.51"/>
    <x v="0"/>
    <x v="0"/>
    <x v="2"/>
  </r>
  <r>
    <x v="0"/>
    <x v="4"/>
    <x v="4"/>
    <x v="0"/>
    <x v="0"/>
    <x v="224"/>
    <x v="622"/>
    <n v="19605323.780000001"/>
    <x v="0"/>
    <x v="0"/>
    <x v="2"/>
  </r>
  <r>
    <x v="0"/>
    <x v="0"/>
    <x v="0"/>
    <x v="0"/>
    <x v="0"/>
    <x v="225"/>
    <x v="623"/>
    <n v="1820248.78"/>
    <x v="0"/>
    <x v="0"/>
    <x v="3"/>
  </r>
  <r>
    <x v="0"/>
    <x v="1"/>
    <x v="1"/>
    <x v="0"/>
    <x v="0"/>
    <x v="225"/>
    <x v="623"/>
    <n v="855185.76"/>
    <x v="0"/>
    <x v="0"/>
    <x v="3"/>
  </r>
  <r>
    <x v="0"/>
    <x v="2"/>
    <x v="2"/>
    <x v="0"/>
    <x v="0"/>
    <x v="225"/>
    <x v="623"/>
    <n v="9306786.9800000004"/>
    <x v="0"/>
    <x v="0"/>
    <x v="3"/>
  </r>
  <r>
    <x v="0"/>
    <x v="3"/>
    <x v="3"/>
    <x v="0"/>
    <x v="0"/>
    <x v="225"/>
    <x v="623"/>
    <n v="292641.48"/>
    <x v="0"/>
    <x v="0"/>
    <x v="3"/>
  </r>
  <r>
    <x v="0"/>
    <x v="4"/>
    <x v="4"/>
    <x v="0"/>
    <x v="0"/>
    <x v="225"/>
    <x v="623"/>
    <n v="12274863"/>
    <x v="0"/>
    <x v="0"/>
    <x v="3"/>
  </r>
  <r>
    <x v="0"/>
    <x v="0"/>
    <x v="0"/>
    <x v="0"/>
    <x v="0"/>
    <x v="226"/>
    <x v="624"/>
    <n v="140044.93"/>
    <x v="0"/>
    <x v="0"/>
    <x v="3"/>
  </r>
  <r>
    <x v="0"/>
    <x v="1"/>
    <x v="1"/>
    <x v="0"/>
    <x v="0"/>
    <x v="226"/>
    <x v="624"/>
    <n v="0"/>
    <x v="0"/>
    <x v="0"/>
    <x v="3"/>
  </r>
  <r>
    <x v="0"/>
    <x v="2"/>
    <x v="2"/>
    <x v="0"/>
    <x v="0"/>
    <x v="226"/>
    <x v="624"/>
    <n v="0"/>
    <x v="0"/>
    <x v="0"/>
    <x v="3"/>
  </r>
  <r>
    <x v="0"/>
    <x v="3"/>
    <x v="3"/>
    <x v="0"/>
    <x v="0"/>
    <x v="226"/>
    <x v="624"/>
    <n v="0"/>
    <x v="0"/>
    <x v="0"/>
    <x v="3"/>
  </r>
  <r>
    <x v="0"/>
    <x v="4"/>
    <x v="4"/>
    <x v="0"/>
    <x v="0"/>
    <x v="226"/>
    <x v="624"/>
    <n v="140044.93"/>
    <x v="0"/>
    <x v="0"/>
    <x v="3"/>
  </r>
  <r>
    <x v="0"/>
    <x v="0"/>
    <x v="0"/>
    <x v="0"/>
    <x v="0"/>
    <x v="227"/>
    <x v="625"/>
    <n v="1143.6300000000001"/>
    <x v="0"/>
    <x v="0"/>
    <x v="3"/>
  </r>
  <r>
    <x v="0"/>
    <x v="1"/>
    <x v="1"/>
    <x v="0"/>
    <x v="0"/>
    <x v="227"/>
    <x v="625"/>
    <n v="0"/>
    <x v="0"/>
    <x v="0"/>
    <x v="3"/>
  </r>
  <r>
    <x v="0"/>
    <x v="2"/>
    <x v="2"/>
    <x v="0"/>
    <x v="0"/>
    <x v="227"/>
    <x v="625"/>
    <n v="1207532.71"/>
    <x v="0"/>
    <x v="0"/>
    <x v="3"/>
  </r>
  <r>
    <x v="0"/>
    <x v="3"/>
    <x v="3"/>
    <x v="0"/>
    <x v="0"/>
    <x v="227"/>
    <x v="625"/>
    <n v="0"/>
    <x v="0"/>
    <x v="0"/>
    <x v="3"/>
  </r>
  <r>
    <x v="0"/>
    <x v="4"/>
    <x v="4"/>
    <x v="0"/>
    <x v="0"/>
    <x v="227"/>
    <x v="625"/>
    <n v="1208676.3400000001"/>
    <x v="0"/>
    <x v="0"/>
    <x v="3"/>
  </r>
  <r>
    <x v="0"/>
    <x v="0"/>
    <x v="0"/>
    <x v="0"/>
    <x v="0"/>
    <x v="228"/>
    <x v="626"/>
    <n v="0"/>
    <x v="0"/>
    <x v="0"/>
    <x v="3"/>
  </r>
  <r>
    <x v="0"/>
    <x v="1"/>
    <x v="1"/>
    <x v="0"/>
    <x v="0"/>
    <x v="228"/>
    <x v="626"/>
    <n v="6976.55"/>
    <x v="0"/>
    <x v="0"/>
    <x v="3"/>
  </r>
  <r>
    <x v="0"/>
    <x v="2"/>
    <x v="2"/>
    <x v="0"/>
    <x v="0"/>
    <x v="228"/>
    <x v="626"/>
    <n v="3223810.93"/>
    <x v="0"/>
    <x v="0"/>
    <x v="3"/>
  </r>
  <r>
    <x v="0"/>
    <x v="3"/>
    <x v="3"/>
    <x v="0"/>
    <x v="0"/>
    <x v="228"/>
    <x v="626"/>
    <n v="2750952.03"/>
    <x v="0"/>
    <x v="0"/>
    <x v="3"/>
  </r>
  <r>
    <x v="0"/>
    <x v="4"/>
    <x v="4"/>
    <x v="0"/>
    <x v="0"/>
    <x v="228"/>
    <x v="626"/>
    <n v="5981739.5099999998"/>
    <x v="0"/>
    <x v="0"/>
    <x v="3"/>
  </r>
  <r>
    <x v="0"/>
    <x v="0"/>
    <x v="0"/>
    <x v="0"/>
    <x v="0"/>
    <x v="229"/>
    <x v="627"/>
    <n v="431663.6"/>
    <x v="0"/>
    <x v="0"/>
    <x v="2"/>
  </r>
  <r>
    <x v="0"/>
    <x v="1"/>
    <x v="1"/>
    <x v="0"/>
    <x v="0"/>
    <x v="229"/>
    <x v="627"/>
    <n v="6"/>
    <x v="0"/>
    <x v="0"/>
    <x v="2"/>
  </r>
  <r>
    <x v="0"/>
    <x v="2"/>
    <x v="2"/>
    <x v="0"/>
    <x v="0"/>
    <x v="229"/>
    <x v="627"/>
    <n v="5258368.4800000004"/>
    <x v="0"/>
    <x v="0"/>
    <x v="2"/>
  </r>
  <r>
    <x v="0"/>
    <x v="3"/>
    <x v="3"/>
    <x v="0"/>
    <x v="0"/>
    <x v="229"/>
    <x v="627"/>
    <n v="2961.9"/>
    <x v="0"/>
    <x v="0"/>
    <x v="2"/>
  </r>
  <r>
    <x v="0"/>
    <x v="4"/>
    <x v="4"/>
    <x v="0"/>
    <x v="0"/>
    <x v="229"/>
    <x v="627"/>
    <n v="5692999.9799999995"/>
    <x v="0"/>
    <x v="0"/>
    <x v="2"/>
  </r>
  <r>
    <x v="0"/>
    <x v="0"/>
    <x v="0"/>
    <x v="0"/>
    <x v="0"/>
    <x v="225"/>
    <x v="628"/>
    <n v="300167.03999999998"/>
    <x v="0"/>
    <x v="0"/>
    <x v="3"/>
  </r>
  <r>
    <x v="0"/>
    <x v="1"/>
    <x v="1"/>
    <x v="0"/>
    <x v="0"/>
    <x v="225"/>
    <x v="628"/>
    <n v="0"/>
    <x v="0"/>
    <x v="0"/>
    <x v="3"/>
  </r>
  <r>
    <x v="0"/>
    <x v="2"/>
    <x v="2"/>
    <x v="0"/>
    <x v="0"/>
    <x v="225"/>
    <x v="628"/>
    <n v="1782610.09"/>
    <x v="0"/>
    <x v="0"/>
    <x v="3"/>
  </r>
  <r>
    <x v="0"/>
    <x v="3"/>
    <x v="3"/>
    <x v="0"/>
    <x v="0"/>
    <x v="225"/>
    <x v="628"/>
    <n v="2961.9"/>
    <x v="0"/>
    <x v="0"/>
    <x v="3"/>
  </r>
  <r>
    <x v="0"/>
    <x v="4"/>
    <x v="4"/>
    <x v="0"/>
    <x v="0"/>
    <x v="225"/>
    <x v="628"/>
    <n v="2085739.03"/>
    <x v="0"/>
    <x v="0"/>
    <x v="3"/>
  </r>
  <r>
    <x v="0"/>
    <x v="0"/>
    <x v="0"/>
    <x v="0"/>
    <x v="0"/>
    <x v="230"/>
    <x v="629"/>
    <n v="131496.56"/>
    <x v="0"/>
    <x v="0"/>
    <x v="3"/>
  </r>
  <r>
    <x v="0"/>
    <x v="1"/>
    <x v="1"/>
    <x v="0"/>
    <x v="0"/>
    <x v="230"/>
    <x v="629"/>
    <n v="0"/>
    <x v="0"/>
    <x v="0"/>
    <x v="3"/>
  </r>
  <r>
    <x v="0"/>
    <x v="2"/>
    <x v="2"/>
    <x v="0"/>
    <x v="0"/>
    <x v="230"/>
    <x v="629"/>
    <n v="773259.18"/>
    <x v="0"/>
    <x v="0"/>
    <x v="3"/>
  </r>
  <r>
    <x v="0"/>
    <x v="3"/>
    <x v="3"/>
    <x v="0"/>
    <x v="0"/>
    <x v="230"/>
    <x v="629"/>
    <n v="0"/>
    <x v="0"/>
    <x v="0"/>
    <x v="3"/>
  </r>
  <r>
    <x v="0"/>
    <x v="4"/>
    <x v="4"/>
    <x v="0"/>
    <x v="0"/>
    <x v="230"/>
    <x v="629"/>
    <n v="904755.74"/>
    <x v="0"/>
    <x v="0"/>
    <x v="3"/>
  </r>
  <r>
    <x v="0"/>
    <x v="0"/>
    <x v="0"/>
    <x v="0"/>
    <x v="0"/>
    <x v="231"/>
    <x v="630"/>
    <n v="0"/>
    <x v="0"/>
    <x v="0"/>
    <x v="3"/>
  </r>
  <r>
    <x v="0"/>
    <x v="1"/>
    <x v="1"/>
    <x v="0"/>
    <x v="0"/>
    <x v="231"/>
    <x v="630"/>
    <n v="0"/>
    <x v="0"/>
    <x v="0"/>
    <x v="3"/>
  </r>
  <r>
    <x v="0"/>
    <x v="2"/>
    <x v="2"/>
    <x v="0"/>
    <x v="0"/>
    <x v="231"/>
    <x v="630"/>
    <n v="2702499.21"/>
    <x v="0"/>
    <x v="0"/>
    <x v="3"/>
  </r>
  <r>
    <x v="0"/>
    <x v="3"/>
    <x v="3"/>
    <x v="0"/>
    <x v="0"/>
    <x v="231"/>
    <x v="630"/>
    <n v="0"/>
    <x v="0"/>
    <x v="0"/>
    <x v="3"/>
  </r>
  <r>
    <x v="0"/>
    <x v="4"/>
    <x v="4"/>
    <x v="0"/>
    <x v="0"/>
    <x v="231"/>
    <x v="630"/>
    <n v="2702499.21"/>
    <x v="0"/>
    <x v="0"/>
    <x v="3"/>
  </r>
  <r>
    <x v="0"/>
    <x v="0"/>
    <x v="0"/>
    <x v="0"/>
    <x v="0"/>
    <x v="232"/>
    <x v="631"/>
    <n v="0"/>
    <x v="0"/>
    <x v="0"/>
    <x v="3"/>
  </r>
  <r>
    <x v="0"/>
    <x v="1"/>
    <x v="1"/>
    <x v="0"/>
    <x v="0"/>
    <x v="232"/>
    <x v="631"/>
    <n v="0"/>
    <x v="0"/>
    <x v="0"/>
    <x v="3"/>
  </r>
  <r>
    <x v="0"/>
    <x v="2"/>
    <x v="2"/>
    <x v="0"/>
    <x v="0"/>
    <x v="232"/>
    <x v="631"/>
    <n v="0"/>
    <x v="0"/>
    <x v="0"/>
    <x v="3"/>
  </r>
  <r>
    <x v="0"/>
    <x v="3"/>
    <x v="3"/>
    <x v="0"/>
    <x v="0"/>
    <x v="232"/>
    <x v="631"/>
    <n v="0"/>
    <x v="0"/>
    <x v="0"/>
    <x v="3"/>
  </r>
  <r>
    <x v="0"/>
    <x v="4"/>
    <x v="4"/>
    <x v="0"/>
    <x v="0"/>
    <x v="232"/>
    <x v="631"/>
    <n v="0"/>
    <x v="0"/>
    <x v="0"/>
    <x v="3"/>
  </r>
  <r>
    <x v="0"/>
    <x v="0"/>
    <x v="0"/>
    <x v="0"/>
    <x v="0"/>
    <x v="233"/>
    <x v="632"/>
    <n v="0"/>
    <x v="0"/>
    <x v="0"/>
    <x v="3"/>
  </r>
  <r>
    <x v="0"/>
    <x v="1"/>
    <x v="1"/>
    <x v="0"/>
    <x v="0"/>
    <x v="233"/>
    <x v="632"/>
    <n v="0"/>
    <x v="0"/>
    <x v="0"/>
    <x v="3"/>
  </r>
  <r>
    <x v="0"/>
    <x v="2"/>
    <x v="2"/>
    <x v="0"/>
    <x v="0"/>
    <x v="233"/>
    <x v="632"/>
    <n v="0"/>
    <x v="0"/>
    <x v="0"/>
    <x v="3"/>
  </r>
  <r>
    <x v="0"/>
    <x v="3"/>
    <x v="3"/>
    <x v="0"/>
    <x v="0"/>
    <x v="233"/>
    <x v="632"/>
    <n v="0"/>
    <x v="0"/>
    <x v="0"/>
    <x v="3"/>
  </r>
  <r>
    <x v="0"/>
    <x v="4"/>
    <x v="4"/>
    <x v="0"/>
    <x v="0"/>
    <x v="233"/>
    <x v="632"/>
    <n v="0"/>
    <x v="0"/>
    <x v="0"/>
    <x v="3"/>
  </r>
  <r>
    <x v="0"/>
    <x v="0"/>
    <x v="0"/>
    <x v="0"/>
    <x v="0"/>
    <x v="68"/>
    <x v="633"/>
    <n v="0"/>
    <x v="0"/>
    <x v="0"/>
    <x v="3"/>
  </r>
  <r>
    <x v="0"/>
    <x v="1"/>
    <x v="1"/>
    <x v="0"/>
    <x v="0"/>
    <x v="68"/>
    <x v="633"/>
    <n v="6"/>
    <x v="0"/>
    <x v="0"/>
    <x v="3"/>
  </r>
  <r>
    <x v="0"/>
    <x v="2"/>
    <x v="2"/>
    <x v="0"/>
    <x v="0"/>
    <x v="68"/>
    <x v="633"/>
    <n v="0"/>
    <x v="0"/>
    <x v="0"/>
    <x v="3"/>
  </r>
  <r>
    <x v="0"/>
    <x v="3"/>
    <x v="3"/>
    <x v="0"/>
    <x v="0"/>
    <x v="68"/>
    <x v="633"/>
    <n v="0"/>
    <x v="0"/>
    <x v="0"/>
    <x v="3"/>
  </r>
  <r>
    <x v="0"/>
    <x v="4"/>
    <x v="4"/>
    <x v="0"/>
    <x v="0"/>
    <x v="68"/>
    <x v="633"/>
    <n v="6"/>
    <x v="0"/>
    <x v="0"/>
    <x v="3"/>
  </r>
  <r>
    <x v="0"/>
    <x v="0"/>
    <x v="0"/>
    <x v="0"/>
    <x v="0"/>
    <x v="234"/>
    <x v="634"/>
    <n v="0"/>
    <x v="0"/>
    <x v="0"/>
    <x v="2"/>
  </r>
  <r>
    <x v="0"/>
    <x v="1"/>
    <x v="1"/>
    <x v="0"/>
    <x v="0"/>
    <x v="234"/>
    <x v="634"/>
    <n v="0"/>
    <x v="0"/>
    <x v="0"/>
    <x v="2"/>
  </r>
  <r>
    <x v="0"/>
    <x v="2"/>
    <x v="2"/>
    <x v="0"/>
    <x v="0"/>
    <x v="234"/>
    <x v="634"/>
    <n v="39770.400000000001"/>
    <x v="0"/>
    <x v="0"/>
    <x v="2"/>
  </r>
  <r>
    <x v="0"/>
    <x v="3"/>
    <x v="3"/>
    <x v="0"/>
    <x v="0"/>
    <x v="234"/>
    <x v="634"/>
    <n v="0"/>
    <x v="0"/>
    <x v="0"/>
    <x v="2"/>
  </r>
  <r>
    <x v="0"/>
    <x v="4"/>
    <x v="4"/>
    <x v="0"/>
    <x v="0"/>
    <x v="234"/>
    <x v="634"/>
    <n v="39770.400000000001"/>
    <x v="0"/>
    <x v="0"/>
    <x v="2"/>
  </r>
  <r>
    <x v="0"/>
    <x v="0"/>
    <x v="0"/>
    <x v="0"/>
    <x v="0"/>
    <x v="235"/>
    <x v="635"/>
    <n v="0"/>
    <x v="0"/>
    <x v="0"/>
    <x v="3"/>
  </r>
  <r>
    <x v="0"/>
    <x v="1"/>
    <x v="1"/>
    <x v="0"/>
    <x v="0"/>
    <x v="235"/>
    <x v="635"/>
    <n v="0"/>
    <x v="0"/>
    <x v="0"/>
    <x v="3"/>
  </r>
  <r>
    <x v="0"/>
    <x v="2"/>
    <x v="2"/>
    <x v="0"/>
    <x v="0"/>
    <x v="235"/>
    <x v="635"/>
    <n v="39770.400000000001"/>
    <x v="0"/>
    <x v="0"/>
    <x v="3"/>
  </r>
  <r>
    <x v="0"/>
    <x v="3"/>
    <x v="3"/>
    <x v="0"/>
    <x v="0"/>
    <x v="235"/>
    <x v="635"/>
    <n v="0"/>
    <x v="0"/>
    <x v="0"/>
    <x v="3"/>
  </r>
  <r>
    <x v="0"/>
    <x v="4"/>
    <x v="4"/>
    <x v="0"/>
    <x v="0"/>
    <x v="235"/>
    <x v="635"/>
    <n v="39770.400000000001"/>
    <x v="0"/>
    <x v="0"/>
    <x v="3"/>
  </r>
  <r>
    <x v="0"/>
    <x v="0"/>
    <x v="0"/>
    <x v="0"/>
    <x v="0"/>
    <x v="236"/>
    <x v="636"/>
    <n v="0"/>
    <x v="0"/>
    <x v="0"/>
    <x v="3"/>
  </r>
  <r>
    <x v="0"/>
    <x v="1"/>
    <x v="1"/>
    <x v="0"/>
    <x v="0"/>
    <x v="236"/>
    <x v="636"/>
    <n v="0"/>
    <x v="0"/>
    <x v="0"/>
    <x v="3"/>
  </r>
  <r>
    <x v="0"/>
    <x v="2"/>
    <x v="2"/>
    <x v="0"/>
    <x v="0"/>
    <x v="236"/>
    <x v="636"/>
    <n v="0"/>
    <x v="0"/>
    <x v="0"/>
    <x v="3"/>
  </r>
  <r>
    <x v="0"/>
    <x v="3"/>
    <x v="3"/>
    <x v="0"/>
    <x v="0"/>
    <x v="236"/>
    <x v="636"/>
    <n v="0"/>
    <x v="0"/>
    <x v="0"/>
    <x v="3"/>
  </r>
  <r>
    <x v="0"/>
    <x v="4"/>
    <x v="4"/>
    <x v="0"/>
    <x v="0"/>
    <x v="236"/>
    <x v="636"/>
    <n v="0"/>
    <x v="0"/>
    <x v="0"/>
    <x v="3"/>
  </r>
  <r>
    <x v="0"/>
    <x v="0"/>
    <x v="0"/>
    <x v="0"/>
    <x v="0"/>
    <x v="237"/>
    <x v="637"/>
    <n v="0"/>
    <x v="0"/>
    <x v="0"/>
    <x v="2"/>
  </r>
  <r>
    <x v="0"/>
    <x v="1"/>
    <x v="1"/>
    <x v="0"/>
    <x v="0"/>
    <x v="237"/>
    <x v="637"/>
    <n v="0"/>
    <x v="0"/>
    <x v="0"/>
    <x v="2"/>
  </r>
  <r>
    <x v="0"/>
    <x v="2"/>
    <x v="2"/>
    <x v="0"/>
    <x v="0"/>
    <x v="237"/>
    <x v="637"/>
    <n v="12406.69"/>
    <x v="0"/>
    <x v="0"/>
    <x v="2"/>
  </r>
  <r>
    <x v="0"/>
    <x v="3"/>
    <x v="3"/>
    <x v="0"/>
    <x v="0"/>
    <x v="237"/>
    <x v="637"/>
    <n v="0"/>
    <x v="0"/>
    <x v="0"/>
    <x v="2"/>
  </r>
  <r>
    <x v="0"/>
    <x v="4"/>
    <x v="4"/>
    <x v="0"/>
    <x v="0"/>
    <x v="237"/>
    <x v="637"/>
    <n v="12406.69"/>
    <x v="0"/>
    <x v="0"/>
    <x v="2"/>
  </r>
  <r>
    <x v="0"/>
    <x v="0"/>
    <x v="0"/>
    <x v="0"/>
    <x v="0"/>
    <x v="238"/>
    <x v="638"/>
    <n v="0"/>
    <x v="0"/>
    <x v="0"/>
    <x v="3"/>
  </r>
  <r>
    <x v="0"/>
    <x v="1"/>
    <x v="1"/>
    <x v="0"/>
    <x v="0"/>
    <x v="238"/>
    <x v="638"/>
    <n v="0"/>
    <x v="0"/>
    <x v="0"/>
    <x v="3"/>
  </r>
  <r>
    <x v="0"/>
    <x v="2"/>
    <x v="2"/>
    <x v="0"/>
    <x v="0"/>
    <x v="238"/>
    <x v="638"/>
    <n v="12406.69"/>
    <x v="0"/>
    <x v="0"/>
    <x v="3"/>
  </r>
  <r>
    <x v="0"/>
    <x v="3"/>
    <x v="3"/>
    <x v="0"/>
    <x v="0"/>
    <x v="238"/>
    <x v="638"/>
    <n v="0"/>
    <x v="0"/>
    <x v="0"/>
    <x v="3"/>
  </r>
  <r>
    <x v="0"/>
    <x v="4"/>
    <x v="4"/>
    <x v="0"/>
    <x v="0"/>
    <x v="238"/>
    <x v="638"/>
    <n v="12406.69"/>
    <x v="0"/>
    <x v="0"/>
    <x v="3"/>
  </r>
  <r>
    <x v="0"/>
    <x v="0"/>
    <x v="0"/>
    <x v="0"/>
    <x v="0"/>
    <x v="239"/>
    <x v="639"/>
    <n v="0"/>
    <x v="0"/>
    <x v="0"/>
    <x v="3"/>
  </r>
  <r>
    <x v="0"/>
    <x v="1"/>
    <x v="1"/>
    <x v="0"/>
    <x v="0"/>
    <x v="239"/>
    <x v="639"/>
    <n v="0"/>
    <x v="0"/>
    <x v="0"/>
    <x v="3"/>
  </r>
  <r>
    <x v="0"/>
    <x v="2"/>
    <x v="2"/>
    <x v="0"/>
    <x v="0"/>
    <x v="239"/>
    <x v="639"/>
    <n v="0"/>
    <x v="0"/>
    <x v="0"/>
    <x v="3"/>
  </r>
  <r>
    <x v="0"/>
    <x v="3"/>
    <x v="3"/>
    <x v="0"/>
    <x v="0"/>
    <x v="239"/>
    <x v="639"/>
    <n v="0"/>
    <x v="0"/>
    <x v="0"/>
    <x v="3"/>
  </r>
  <r>
    <x v="0"/>
    <x v="4"/>
    <x v="4"/>
    <x v="0"/>
    <x v="0"/>
    <x v="239"/>
    <x v="639"/>
    <n v="0"/>
    <x v="0"/>
    <x v="0"/>
    <x v="3"/>
  </r>
  <r>
    <x v="0"/>
    <x v="0"/>
    <x v="0"/>
    <x v="0"/>
    <x v="0"/>
    <x v="240"/>
    <x v="640"/>
    <n v="0"/>
    <x v="0"/>
    <x v="0"/>
    <x v="3"/>
  </r>
  <r>
    <x v="0"/>
    <x v="1"/>
    <x v="1"/>
    <x v="0"/>
    <x v="0"/>
    <x v="240"/>
    <x v="640"/>
    <n v="0"/>
    <x v="0"/>
    <x v="0"/>
    <x v="3"/>
  </r>
  <r>
    <x v="0"/>
    <x v="2"/>
    <x v="2"/>
    <x v="0"/>
    <x v="0"/>
    <x v="240"/>
    <x v="640"/>
    <n v="0"/>
    <x v="0"/>
    <x v="0"/>
    <x v="3"/>
  </r>
  <r>
    <x v="0"/>
    <x v="3"/>
    <x v="3"/>
    <x v="0"/>
    <x v="0"/>
    <x v="240"/>
    <x v="640"/>
    <n v="0"/>
    <x v="0"/>
    <x v="0"/>
    <x v="3"/>
  </r>
  <r>
    <x v="0"/>
    <x v="4"/>
    <x v="4"/>
    <x v="0"/>
    <x v="0"/>
    <x v="240"/>
    <x v="640"/>
    <n v="0"/>
    <x v="0"/>
    <x v="0"/>
    <x v="3"/>
  </r>
  <r>
    <x v="0"/>
    <x v="0"/>
    <x v="0"/>
    <x v="0"/>
    <x v="0"/>
    <x v="232"/>
    <x v="641"/>
    <n v="0"/>
    <x v="0"/>
    <x v="0"/>
    <x v="3"/>
  </r>
  <r>
    <x v="0"/>
    <x v="1"/>
    <x v="1"/>
    <x v="0"/>
    <x v="0"/>
    <x v="232"/>
    <x v="641"/>
    <n v="0"/>
    <x v="0"/>
    <x v="0"/>
    <x v="3"/>
  </r>
  <r>
    <x v="0"/>
    <x v="2"/>
    <x v="2"/>
    <x v="0"/>
    <x v="0"/>
    <x v="232"/>
    <x v="641"/>
    <n v="0"/>
    <x v="0"/>
    <x v="0"/>
    <x v="3"/>
  </r>
  <r>
    <x v="0"/>
    <x v="3"/>
    <x v="3"/>
    <x v="0"/>
    <x v="0"/>
    <x v="232"/>
    <x v="641"/>
    <n v="0"/>
    <x v="0"/>
    <x v="0"/>
    <x v="3"/>
  </r>
  <r>
    <x v="0"/>
    <x v="4"/>
    <x v="4"/>
    <x v="0"/>
    <x v="0"/>
    <x v="232"/>
    <x v="641"/>
    <n v="0"/>
    <x v="0"/>
    <x v="0"/>
    <x v="3"/>
  </r>
  <r>
    <x v="0"/>
    <x v="0"/>
    <x v="0"/>
    <x v="0"/>
    <x v="0"/>
    <x v="241"/>
    <x v="642"/>
    <n v="0"/>
    <x v="0"/>
    <x v="0"/>
    <x v="3"/>
  </r>
  <r>
    <x v="0"/>
    <x v="1"/>
    <x v="1"/>
    <x v="0"/>
    <x v="0"/>
    <x v="241"/>
    <x v="642"/>
    <n v="0"/>
    <x v="0"/>
    <x v="0"/>
    <x v="3"/>
  </r>
  <r>
    <x v="0"/>
    <x v="2"/>
    <x v="2"/>
    <x v="0"/>
    <x v="0"/>
    <x v="241"/>
    <x v="642"/>
    <n v="0"/>
    <x v="0"/>
    <x v="0"/>
    <x v="3"/>
  </r>
  <r>
    <x v="0"/>
    <x v="3"/>
    <x v="3"/>
    <x v="0"/>
    <x v="0"/>
    <x v="241"/>
    <x v="642"/>
    <n v="0"/>
    <x v="0"/>
    <x v="0"/>
    <x v="3"/>
  </r>
  <r>
    <x v="0"/>
    <x v="4"/>
    <x v="4"/>
    <x v="0"/>
    <x v="0"/>
    <x v="241"/>
    <x v="642"/>
    <n v="0"/>
    <x v="0"/>
    <x v="0"/>
    <x v="3"/>
  </r>
  <r>
    <x v="0"/>
    <x v="0"/>
    <x v="0"/>
    <x v="0"/>
    <x v="0"/>
    <x v="68"/>
    <x v="643"/>
    <n v="0"/>
    <x v="0"/>
    <x v="0"/>
    <x v="3"/>
  </r>
  <r>
    <x v="0"/>
    <x v="1"/>
    <x v="1"/>
    <x v="0"/>
    <x v="0"/>
    <x v="68"/>
    <x v="643"/>
    <n v="0"/>
    <x v="0"/>
    <x v="0"/>
    <x v="3"/>
  </r>
  <r>
    <x v="0"/>
    <x v="2"/>
    <x v="2"/>
    <x v="0"/>
    <x v="0"/>
    <x v="68"/>
    <x v="643"/>
    <n v="0"/>
    <x v="0"/>
    <x v="0"/>
    <x v="3"/>
  </r>
  <r>
    <x v="0"/>
    <x v="3"/>
    <x v="3"/>
    <x v="0"/>
    <x v="0"/>
    <x v="68"/>
    <x v="643"/>
    <n v="0"/>
    <x v="0"/>
    <x v="0"/>
    <x v="3"/>
  </r>
  <r>
    <x v="0"/>
    <x v="4"/>
    <x v="4"/>
    <x v="0"/>
    <x v="0"/>
    <x v="68"/>
    <x v="643"/>
    <n v="0"/>
    <x v="0"/>
    <x v="0"/>
    <x v="3"/>
  </r>
  <r>
    <x v="0"/>
    <x v="0"/>
    <x v="0"/>
    <x v="0"/>
    <x v="0"/>
    <x v="242"/>
    <x v="644"/>
    <n v="0"/>
    <x v="0"/>
    <x v="0"/>
    <x v="2"/>
  </r>
  <r>
    <x v="0"/>
    <x v="1"/>
    <x v="1"/>
    <x v="0"/>
    <x v="0"/>
    <x v="242"/>
    <x v="644"/>
    <n v="0"/>
    <x v="0"/>
    <x v="0"/>
    <x v="2"/>
  </r>
  <r>
    <x v="0"/>
    <x v="2"/>
    <x v="2"/>
    <x v="0"/>
    <x v="0"/>
    <x v="242"/>
    <x v="644"/>
    <n v="4176242.36"/>
    <x v="0"/>
    <x v="0"/>
    <x v="2"/>
  </r>
  <r>
    <x v="0"/>
    <x v="3"/>
    <x v="3"/>
    <x v="0"/>
    <x v="0"/>
    <x v="242"/>
    <x v="644"/>
    <n v="0"/>
    <x v="0"/>
    <x v="0"/>
    <x v="2"/>
  </r>
  <r>
    <x v="0"/>
    <x v="4"/>
    <x v="4"/>
    <x v="0"/>
    <x v="0"/>
    <x v="242"/>
    <x v="644"/>
    <n v="4176242.3600000003"/>
    <x v="0"/>
    <x v="0"/>
    <x v="2"/>
  </r>
  <r>
    <x v="0"/>
    <x v="0"/>
    <x v="0"/>
    <x v="0"/>
    <x v="0"/>
    <x v="238"/>
    <x v="645"/>
    <n v="0"/>
    <x v="0"/>
    <x v="0"/>
    <x v="3"/>
  </r>
  <r>
    <x v="0"/>
    <x v="1"/>
    <x v="1"/>
    <x v="0"/>
    <x v="0"/>
    <x v="238"/>
    <x v="645"/>
    <n v="0"/>
    <x v="0"/>
    <x v="0"/>
    <x v="3"/>
  </r>
  <r>
    <x v="0"/>
    <x v="2"/>
    <x v="2"/>
    <x v="0"/>
    <x v="0"/>
    <x v="238"/>
    <x v="645"/>
    <n v="4418373.8099999996"/>
    <x v="0"/>
    <x v="0"/>
    <x v="3"/>
  </r>
  <r>
    <x v="0"/>
    <x v="3"/>
    <x v="3"/>
    <x v="0"/>
    <x v="0"/>
    <x v="238"/>
    <x v="645"/>
    <n v="0"/>
    <x v="0"/>
    <x v="0"/>
    <x v="3"/>
  </r>
  <r>
    <x v="0"/>
    <x v="4"/>
    <x v="4"/>
    <x v="0"/>
    <x v="0"/>
    <x v="238"/>
    <x v="645"/>
    <n v="4418373.8100000005"/>
    <x v="0"/>
    <x v="0"/>
    <x v="3"/>
  </r>
  <r>
    <x v="0"/>
    <x v="0"/>
    <x v="0"/>
    <x v="0"/>
    <x v="0"/>
    <x v="239"/>
    <x v="646"/>
    <n v="0"/>
    <x v="0"/>
    <x v="0"/>
    <x v="3"/>
  </r>
  <r>
    <x v="0"/>
    <x v="1"/>
    <x v="1"/>
    <x v="0"/>
    <x v="0"/>
    <x v="239"/>
    <x v="646"/>
    <n v="0"/>
    <x v="0"/>
    <x v="0"/>
    <x v="3"/>
  </r>
  <r>
    <x v="0"/>
    <x v="2"/>
    <x v="2"/>
    <x v="0"/>
    <x v="0"/>
    <x v="239"/>
    <x v="646"/>
    <n v="0"/>
    <x v="0"/>
    <x v="0"/>
    <x v="3"/>
  </r>
  <r>
    <x v="0"/>
    <x v="3"/>
    <x v="3"/>
    <x v="0"/>
    <x v="0"/>
    <x v="239"/>
    <x v="646"/>
    <n v="0"/>
    <x v="0"/>
    <x v="0"/>
    <x v="3"/>
  </r>
  <r>
    <x v="0"/>
    <x v="4"/>
    <x v="4"/>
    <x v="0"/>
    <x v="0"/>
    <x v="239"/>
    <x v="646"/>
    <n v="0"/>
    <x v="0"/>
    <x v="0"/>
    <x v="3"/>
  </r>
  <r>
    <x v="0"/>
    <x v="0"/>
    <x v="0"/>
    <x v="0"/>
    <x v="0"/>
    <x v="240"/>
    <x v="647"/>
    <n v="0"/>
    <x v="0"/>
    <x v="0"/>
    <x v="3"/>
  </r>
  <r>
    <x v="0"/>
    <x v="1"/>
    <x v="1"/>
    <x v="0"/>
    <x v="0"/>
    <x v="240"/>
    <x v="647"/>
    <n v="0"/>
    <x v="0"/>
    <x v="0"/>
    <x v="3"/>
  </r>
  <r>
    <x v="0"/>
    <x v="2"/>
    <x v="2"/>
    <x v="0"/>
    <x v="0"/>
    <x v="240"/>
    <x v="647"/>
    <n v="0"/>
    <x v="0"/>
    <x v="0"/>
    <x v="3"/>
  </r>
  <r>
    <x v="0"/>
    <x v="3"/>
    <x v="3"/>
    <x v="0"/>
    <x v="0"/>
    <x v="240"/>
    <x v="647"/>
    <n v="0"/>
    <x v="0"/>
    <x v="0"/>
    <x v="3"/>
  </r>
  <r>
    <x v="0"/>
    <x v="4"/>
    <x v="4"/>
    <x v="0"/>
    <x v="0"/>
    <x v="240"/>
    <x v="647"/>
    <n v="0"/>
    <x v="0"/>
    <x v="0"/>
    <x v="3"/>
  </r>
  <r>
    <x v="0"/>
    <x v="0"/>
    <x v="0"/>
    <x v="0"/>
    <x v="0"/>
    <x v="232"/>
    <x v="648"/>
    <n v="0"/>
    <x v="0"/>
    <x v="0"/>
    <x v="3"/>
  </r>
  <r>
    <x v="0"/>
    <x v="1"/>
    <x v="1"/>
    <x v="0"/>
    <x v="0"/>
    <x v="232"/>
    <x v="648"/>
    <n v="0"/>
    <x v="0"/>
    <x v="0"/>
    <x v="3"/>
  </r>
  <r>
    <x v="0"/>
    <x v="2"/>
    <x v="2"/>
    <x v="0"/>
    <x v="0"/>
    <x v="232"/>
    <x v="648"/>
    <n v="0"/>
    <x v="0"/>
    <x v="0"/>
    <x v="3"/>
  </r>
  <r>
    <x v="0"/>
    <x v="3"/>
    <x v="3"/>
    <x v="0"/>
    <x v="0"/>
    <x v="232"/>
    <x v="648"/>
    <n v="0"/>
    <x v="0"/>
    <x v="0"/>
    <x v="3"/>
  </r>
  <r>
    <x v="0"/>
    <x v="4"/>
    <x v="4"/>
    <x v="0"/>
    <x v="0"/>
    <x v="232"/>
    <x v="648"/>
    <n v="0"/>
    <x v="0"/>
    <x v="0"/>
    <x v="3"/>
  </r>
  <r>
    <x v="0"/>
    <x v="0"/>
    <x v="0"/>
    <x v="0"/>
    <x v="0"/>
    <x v="241"/>
    <x v="649"/>
    <n v="0"/>
    <x v="0"/>
    <x v="0"/>
    <x v="3"/>
  </r>
  <r>
    <x v="0"/>
    <x v="1"/>
    <x v="1"/>
    <x v="0"/>
    <x v="0"/>
    <x v="241"/>
    <x v="649"/>
    <n v="0"/>
    <x v="0"/>
    <x v="0"/>
    <x v="3"/>
  </r>
  <r>
    <x v="0"/>
    <x v="2"/>
    <x v="2"/>
    <x v="0"/>
    <x v="0"/>
    <x v="241"/>
    <x v="649"/>
    <n v="0"/>
    <x v="0"/>
    <x v="0"/>
    <x v="3"/>
  </r>
  <r>
    <x v="0"/>
    <x v="3"/>
    <x v="3"/>
    <x v="0"/>
    <x v="0"/>
    <x v="241"/>
    <x v="649"/>
    <n v="0"/>
    <x v="0"/>
    <x v="0"/>
    <x v="3"/>
  </r>
  <r>
    <x v="0"/>
    <x v="4"/>
    <x v="4"/>
    <x v="0"/>
    <x v="0"/>
    <x v="241"/>
    <x v="649"/>
    <n v="0"/>
    <x v="0"/>
    <x v="0"/>
    <x v="3"/>
  </r>
  <r>
    <x v="0"/>
    <x v="0"/>
    <x v="0"/>
    <x v="0"/>
    <x v="0"/>
    <x v="68"/>
    <x v="650"/>
    <n v="0"/>
    <x v="0"/>
    <x v="0"/>
    <x v="3"/>
  </r>
  <r>
    <x v="0"/>
    <x v="1"/>
    <x v="1"/>
    <x v="0"/>
    <x v="0"/>
    <x v="68"/>
    <x v="650"/>
    <n v="0"/>
    <x v="0"/>
    <x v="0"/>
    <x v="3"/>
  </r>
  <r>
    <x v="0"/>
    <x v="2"/>
    <x v="2"/>
    <x v="0"/>
    <x v="0"/>
    <x v="68"/>
    <x v="650"/>
    <n v="0"/>
    <x v="0"/>
    <x v="0"/>
    <x v="3"/>
  </r>
  <r>
    <x v="0"/>
    <x v="3"/>
    <x v="3"/>
    <x v="0"/>
    <x v="0"/>
    <x v="68"/>
    <x v="650"/>
    <n v="0"/>
    <x v="0"/>
    <x v="0"/>
    <x v="3"/>
  </r>
  <r>
    <x v="0"/>
    <x v="4"/>
    <x v="4"/>
    <x v="0"/>
    <x v="0"/>
    <x v="68"/>
    <x v="650"/>
    <n v="0"/>
    <x v="0"/>
    <x v="0"/>
    <x v="3"/>
  </r>
  <r>
    <x v="0"/>
    <x v="0"/>
    <x v="0"/>
    <x v="0"/>
    <x v="0"/>
    <x v="243"/>
    <x v="651"/>
    <n v="0"/>
    <x v="0"/>
    <x v="0"/>
    <x v="3"/>
  </r>
  <r>
    <x v="0"/>
    <x v="1"/>
    <x v="1"/>
    <x v="0"/>
    <x v="0"/>
    <x v="243"/>
    <x v="651"/>
    <n v="0"/>
    <x v="0"/>
    <x v="0"/>
    <x v="3"/>
  </r>
  <r>
    <x v="0"/>
    <x v="2"/>
    <x v="2"/>
    <x v="0"/>
    <x v="0"/>
    <x v="243"/>
    <x v="651"/>
    <n v="-242131.45"/>
    <x v="0"/>
    <x v="0"/>
    <x v="3"/>
  </r>
  <r>
    <x v="0"/>
    <x v="3"/>
    <x v="3"/>
    <x v="0"/>
    <x v="0"/>
    <x v="243"/>
    <x v="651"/>
    <n v="0"/>
    <x v="0"/>
    <x v="0"/>
    <x v="3"/>
  </r>
  <r>
    <x v="0"/>
    <x v="4"/>
    <x v="4"/>
    <x v="0"/>
    <x v="0"/>
    <x v="243"/>
    <x v="651"/>
    <n v="-242131.45"/>
    <x v="0"/>
    <x v="0"/>
    <x v="3"/>
  </r>
  <r>
    <x v="0"/>
    <x v="0"/>
    <x v="0"/>
    <x v="0"/>
    <x v="0"/>
    <x v="244"/>
    <x v="652"/>
    <n v="0"/>
    <x v="0"/>
    <x v="0"/>
    <x v="2"/>
  </r>
  <r>
    <x v="0"/>
    <x v="1"/>
    <x v="1"/>
    <x v="0"/>
    <x v="0"/>
    <x v="244"/>
    <x v="652"/>
    <n v="35449.96"/>
    <x v="0"/>
    <x v="0"/>
    <x v="2"/>
  </r>
  <r>
    <x v="0"/>
    <x v="2"/>
    <x v="2"/>
    <x v="0"/>
    <x v="0"/>
    <x v="244"/>
    <x v="652"/>
    <n v="3850247.21"/>
    <x v="0"/>
    <x v="0"/>
    <x v="2"/>
  </r>
  <r>
    <x v="0"/>
    <x v="3"/>
    <x v="3"/>
    <x v="0"/>
    <x v="0"/>
    <x v="244"/>
    <x v="652"/>
    <n v="0"/>
    <x v="0"/>
    <x v="0"/>
    <x v="2"/>
  </r>
  <r>
    <x v="0"/>
    <x v="4"/>
    <x v="4"/>
    <x v="0"/>
    <x v="0"/>
    <x v="244"/>
    <x v="652"/>
    <n v="3885697.1700000004"/>
    <x v="0"/>
    <x v="0"/>
    <x v="2"/>
  </r>
  <r>
    <x v="0"/>
    <x v="0"/>
    <x v="0"/>
    <x v="0"/>
    <x v="0"/>
    <x v="225"/>
    <x v="653"/>
    <n v="0"/>
    <x v="0"/>
    <x v="0"/>
    <x v="3"/>
  </r>
  <r>
    <x v="0"/>
    <x v="1"/>
    <x v="1"/>
    <x v="0"/>
    <x v="0"/>
    <x v="225"/>
    <x v="653"/>
    <n v="11748"/>
    <x v="0"/>
    <x v="0"/>
    <x v="3"/>
  </r>
  <r>
    <x v="0"/>
    <x v="2"/>
    <x v="2"/>
    <x v="0"/>
    <x v="0"/>
    <x v="225"/>
    <x v="653"/>
    <n v="3096646.15"/>
    <x v="0"/>
    <x v="0"/>
    <x v="3"/>
  </r>
  <r>
    <x v="0"/>
    <x v="3"/>
    <x v="3"/>
    <x v="0"/>
    <x v="0"/>
    <x v="225"/>
    <x v="653"/>
    <n v="0"/>
    <x v="0"/>
    <x v="0"/>
    <x v="3"/>
  </r>
  <r>
    <x v="0"/>
    <x v="4"/>
    <x v="4"/>
    <x v="0"/>
    <x v="0"/>
    <x v="225"/>
    <x v="653"/>
    <n v="3108394.15"/>
    <x v="0"/>
    <x v="0"/>
    <x v="3"/>
  </r>
  <r>
    <x v="0"/>
    <x v="0"/>
    <x v="0"/>
    <x v="0"/>
    <x v="0"/>
    <x v="245"/>
    <x v="654"/>
    <n v="0"/>
    <x v="0"/>
    <x v="0"/>
    <x v="3"/>
  </r>
  <r>
    <x v="0"/>
    <x v="1"/>
    <x v="1"/>
    <x v="0"/>
    <x v="0"/>
    <x v="245"/>
    <x v="654"/>
    <n v="23701.96"/>
    <x v="0"/>
    <x v="0"/>
    <x v="3"/>
  </r>
  <r>
    <x v="0"/>
    <x v="2"/>
    <x v="2"/>
    <x v="0"/>
    <x v="0"/>
    <x v="245"/>
    <x v="654"/>
    <n v="883130.3"/>
    <x v="0"/>
    <x v="0"/>
    <x v="3"/>
  </r>
  <r>
    <x v="0"/>
    <x v="3"/>
    <x v="3"/>
    <x v="0"/>
    <x v="0"/>
    <x v="245"/>
    <x v="654"/>
    <n v="0"/>
    <x v="0"/>
    <x v="0"/>
    <x v="3"/>
  </r>
  <r>
    <x v="0"/>
    <x v="4"/>
    <x v="4"/>
    <x v="0"/>
    <x v="0"/>
    <x v="245"/>
    <x v="654"/>
    <n v="906832.26"/>
    <x v="0"/>
    <x v="0"/>
    <x v="3"/>
  </r>
  <r>
    <x v="0"/>
    <x v="0"/>
    <x v="0"/>
    <x v="0"/>
    <x v="0"/>
    <x v="246"/>
    <x v="655"/>
    <n v="0"/>
    <x v="0"/>
    <x v="0"/>
    <x v="3"/>
  </r>
  <r>
    <x v="0"/>
    <x v="1"/>
    <x v="1"/>
    <x v="0"/>
    <x v="0"/>
    <x v="246"/>
    <x v="655"/>
    <n v="0"/>
    <x v="0"/>
    <x v="0"/>
    <x v="3"/>
  </r>
  <r>
    <x v="0"/>
    <x v="2"/>
    <x v="2"/>
    <x v="0"/>
    <x v="0"/>
    <x v="246"/>
    <x v="655"/>
    <n v="0"/>
    <x v="0"/>
    <x v="0"/>
    <x v="3"/>
  </r>
  <r>
    <x v="0"/>
    <x v="3"/>
    <x v="3"/>
    <x v="0"/>
    <x v="0"/>
    <x v="246"/>
    <x v="655"/>
    <n v="0"/>
    <x v="0"/>
    <x v="0"/>
    <x v="3"/>
  </r>
  <r>
    <x v="0"/>
    <x v="4"/>
    <x v="4"/>
    <x v="0"/>
    <x v="0"/>
    <x v="246"/>
    <x v="655"/>
    <n v="0"/>
    <x v="0"/>
    <x v="0"/>
    <x v="3"/>
  </r>
  <r>
    <x v="0"/>
    <x v="0"/>
    <x v="0"/>
    <x v="0"/>
    <x v="0"/>
    <x v="247"/>
    <x v="656"/>
    <n v="0"/>
    <x v="0"/>
    <x v="0"/>
    <x v="3"/>
  </r>
  <r>
    <x v="0"/>
    <x v="1"/>
    <x v="1"/>
    <x v="0"/>
    <x v="0"/>
    <x v="247"/>
    <x v="656"/>
    <n v="0"/>
    <x v="0"/>
    <x v="0"/>
    <x v="3"/>
  </r>
  <r>
    <x v="0"/>
    <x v="2"/>
    <x v="2"/>
    <x v="0"/>
    <x v="0"/>
    <x v="247"/>
    <x v="656"/>
    <n v="0"/>
    <x v="0"/>
    <x v="0"/>
    <x v="3"/>
  </r>
  <r>
    <x v="0"/>
    <x v="3"/>
    <x v="3"/>
    <x v="0"/>
    <x v="0"/>
    <x v="247"/>
    <x v="656"/>
    <n v="0"/>
    <x v="0"/>
    <x v="0"/>
    <x v="3"/>
  </r>
  <r>
    <x v="0"/>
    <x v="4"/>
    <x v="4"/>
    <x v="0"/>
    <x v="0"/>
    <x v="247"/>
    <x v="656"/>
    <n v="0"/>
    <x v="0"/>
    <x v="0"/>
    <x v="3"/>
  </r>
  <r>
    <x v="0"/>
    <x v="0"/>
    <x v="0"/>
    <x v="0"/>
    <x v="0"/>
    <x v="68"/>
    <x v="657"/>
    <n v="0"/>
    <x v="0"/>
    <x v="0"/>
    <x v="3"/>
  </r>
  <r>
    <x v="0"/>
    <x v="1"/>
    <x v="1"/>
    <x v="0"/>
    <x v="0"/>
    <x v="68"/>
    <x v="657"/>
    <n v="0"/>
    <x v="0"/>
    <x v="0"/>
    <x v="3"/>
  </r>
  <r>
    <x v="0"/>
    <x v="2"/>
    <x v="2"/>
    <x v="0"/>
    <x v="0"/>
    <x v="68"/>
    <x v="657"/>
    <n v="0"/>
    <x v="0"/>
    <x v="0"/>
    <x v="3"/>
  </r>
  <r>
    <x v="0"/>
    <x v="3"/>
    <x v="3"/>
    <x v="0"/>
    <x v="0"/>
    <x v="68"/>
    <x v="657"/>
    <n v="0"/>
    <x v="0"/>
    <x v="0"/>
    <x v="3"/>
  </r>
  <r>
    <x v="0"/>
    <x v="4"/>
    <x v="4"/>
    <x v="0"/>
    <x v="0"/>
    <x v="68"/>
    <x v="657"/>
    <n v="0"/>
    <x v="0"/>
    <x v="0"/>
    <x v="3"/>
  </r>
  <r>
    <x v="0"/>
    <x v="0"/>
    <x v="0"/>
    <x v="0"/>
    <x v="0"/>
    <x v="248"/>
    <x v="658"/>
    <n v="0"/>
    <x v="0"/>
    <x v="0"/>
    <x v="3"/>
  </r>
  <r>
    <x v="0"/>
    <x v="1"/>
    <x v="1"/>
    <x v="0"/>
    <x v="0"/>
    <x v="248"/>
    <x v="658"/>
    <n v="0"/>
    <x v="0"/>
    <x v="0"/>
    <x v="3"/>
  </r>
  <r>
    <x v="0"/>
    <x v="2"/>
    <x v="2"/>
    <x v="0"/>
    <x v="0"/>
    <x v="248"/>
    <x v="658"/>
    <n v="-129529.24"/>
    <x v="0"/>
    <x v="0"/>
    <x v="3"/>
  </r>
  <r>
    <x v="0"/>
    <x v="3"/>
    <x v="3"/>
    <x v="0"/>
    <x v="0"/>
    <x v="248"/>
    <x v="658"/>
    <n v="0"/>
    <x v="0"/>
    <x v="0"/>
    <x v="3"/>
  </r>
  <r>
    <x v="0"/>
    <x v="4"/>
    <x v="4"/>
    <x v="0"/>
    <x v="0"/>
    <x v="248"/>
    <x v="658"/>
    <n v="-129529.24"/>
    <x v="0"/>
    <x v="0"/>
    <x v="3"/>
  </r>
  <r>
    <x v="0"/>
    <x v="0"/>
    <x v="0"/>
    <x v="0"/>
    <x v="0"/>
    <x v="249"/>
    <x v="659"/>
    <n v="-72948.259999999995"/>
    <x v="0"/>
    <x v="0"/>
    <x v="2"/>
  </r>
  <r>
    <x v="0"/>
    <x v="1"/>
    <x v="1"/>
    <x v="0"/>
    <x v="0"/>
    <x v="249"/>
    <x v="659"/>
    <n v="-1422.06"/>
    <x v="0"/>
    <x v="0"/>
    <x v="2"/>
  </r>
  <r>
    <x v="0"/>
    <x v="2"/>
    <x v="2"/>
    <x v="0"/>
    <x v="0"/>
    <x v="249"/>
    <x v="659"/>
    <n v="-1771023.26"/>
    <x v="0"/>
    <x v="0"/>
    <x v="2"/>
  </r>
  <r>
    <x v="0"/>
    <x v="3"/>
    <x v="3"/>
    <x v="0"/>
    <x v="0"/>
    <x v="249"/>
    <x v="659"/>
    <n v="-2961.9"/>
    <x v="0"/>
    <x v="0"/>
    <x v="2"/>
  </r>
  <r>
    <x v="0"/>
    <x v="4"/>
    <x v="4"/>
    <x v="0"/>
    <x v="0"/>
    <x v="249"/>
    <x v="659"/>
    <n v="-1848355.48"/>
    <x v="0"/>
    <x v="0"/>
    <x v="2"/>
  </r>
  <r>
    <x v="0"/>
    <x v="0"/>
    <x v="0"/>
    <x v="0"/>
    <x v="0"/>
    <x v="250"/>
    <x v="660"/>
    <n v="0"/>
    <x v="0"/>
    <x v="0"/>
    <x v="3"/>
  </r>
  <r>
    <x v="0"/>
    <x v="1"/>
    <x v="1"/>
    <x v="0"/>
    <x v="0"/>
    <x v="250"/>
    <x v="660"/>
    <n v="0"/>
    <x v="0"/>
    <x v="0"/>
    <x v="3"/>
  </r>
  <r>
    <x v="0"/>
    <x v="2"/>
    <x v="2"/>
    <x v="0"/>
    <x v="0"/>
    <x v="250"/>
    <x v="660"/>
    <n v="-68467.72"/>
    <x v="0"/>
    <x v="0"/>
    <x v="3"/>
  </r>
  <r>
    <x v="0"/>
    <x v="3"/>
    <x v="3"/>
    <x v="0"/>
    <x v="0"/>
    <x v="250"/>
    <x v="660"/>
    <n v="0"/>
    <x v="0"/>
    <x v="0"/>
    <x v="3"/>
  </r>
  <r>
    <x v="0"/>
    <x v="4"/>
    <x v="4"/>
    <x v="0"/>
    <x v="0"/>
    <x v="250"/>
    <x v="660"/>
    <n v="-68467.72"/>
    <x v="0"/>
    <x v="0"/>
    <x v="3"/>
  </r>
  <r>
    <x v="0"/>
    <x v="0"/>
    <x v="0"/>
    <x v="0"/>
    <x v="0"/>
    <x v="251"/>
    <x v="661"/>
    <n v="-72948.259999999995"/>
    <x v="0"/>
    <x v="0"/>
    <x v="3"/>
  </r>
  <r>
    <x v="0"/>
    <x v="1"/>
    <x v="1"/>
    <x v="0"/>
    <x v="0"/>
    <x v="251"/>
    <x v="661"/>
    <n v="0"/>
    <x v="0"/>
    <x v="0"/>
    <x v="3"/>
  </r>
  <r>
    <x v="0"/>
    <x v="2"/>
    <x v="2"/>
    <x v="0"/>
    <x v="0"/>
    <x v="251"/>
    <x v="661"/>
    <n v="-1702493.51"/>
    <x v="0"/>
    <x v="0"/>
    <x v="3"/>
  </r>
  <r>
    <x v="0"/>
    <x v="3"/>
    <x v="3"/>
    <x v="0"/>
    <x v="0"/>
    <x v="251"/>
    <x v="661"/>
    <n v="-2961.9"/>
    <x v="0"/>
    <x v="0"/>
    <x v="3"/>
  </r>
  <r>
    <x v="0"/>
    <x v="4"/>
    <x v="4"/>
    <x v="0"/>
    <x v="0"/>
    <x v="251"/>
    <x v="661"/>
    <n v="-1778403.67"/>
    <x v="0"/>
    <x v="0"/>
    <x v="3"/>
  </r>
  <r>
    <x v="0"/>
    <x v="0"/>
    <x v="0"/>
    <x v="0"/>
    <x v="0"/>
    <x v="252"/>
    <x v="662"/>
    <n v="0"/>
    <x v="0"/>
    <x v="0"/>
    <x v="3"/>
  </r>
  <r>
    <x v="0"/>
    <x v="1"/>
    <x v="1"/>
    <x v="0"/>
    <x v="0"/>
    <x v="252"/>
    <x v="662"/>
    <n v="-1422.06"/>
    <x v="0"/>
    <x v="0"/>
    <x v="3"/>
  </r>
  <r>
    <x v="0"/>
    <x v="2"/>
    <x v="2"/>
    <x v="0"/>
    <x v="0"/>
    <x v="252"/>
    <x v="662"/>
    <n v="-62.03"/>
    <x v="0"/>
    <x v="0"/>
    <x v="3"/>
  </r>
  <r>
    <x v="0"/>
    <x v="3"/>
    <x v="3"/>
    <x v="0"/>
    <x v="0"/>
    <x v="252"/>
    <x v="662"/>
    <n v="0"/>
    <x v="0"/>
    <x v="0"/>
    <x v="3"/>
  </r>
  <r>
    <x v="0"/>
    <x v="4"/>
    <x v="4"/>
    <x v="0"/>
    <x v="0"/>
    <x v="252"/>
    <x v="662"/>
    <n v="-1484.09"/>
    <x v="0"/>
    <x v="0"/>
    <x v="3"/>
  </r>
  <r>
    <x v="0"/>
    <x v="0"/>
    <x v="0"/>
    <x v="0"/>
    <x v="0"/>
    <x v="253"/>
    <x v="663"/>
    <n v="0"/>
    <x v="0"/>
    <x v="0"/>
    <x v="3"/>
  </r>
  <r>
    <x v="0"/>
    <x v="1"/>
    <x v="1"/>
    <x v="0"/>
    <x v="0"/>
    <x v="253"/>
    <x v="663"/>
    <n v="0"/>
    <x v="0"/>
    <x v="0"/>
    <x v="3"/>
  </r>
  <r>
    <x v="0"/>
    <x v="2"/>
    <x v="2"/>
    <x v="0"/>
    <x v="0"/>
    <x v="253"/>
    <x v="663"/>
    <n v="0"/>
    <x v="0"/>
    <x v="0"/>
    <x v="3"/>
  </r>
  <r>
    <x v="0"/>
    <x v="3"/>
    <x v="3"/>
    <x v="0"/>
    <x v="0"/>
    <x v="253"/>
    <x v="663"/>
    <n v="0"/>
    <x v="0"/>
    <x v="0"/>
    <x v="3"/>
  </r>
  <r>
    <x v="0"/>
    <x v="4"/>
    <x v="4"/>
    <x v="0"/>
    <x v="0"/>
    <x v="253"/>
    <x v="663"/>
    <n v="0"/>
    <x v="0"/>
    <x v="0"/>
    <x v="3"/>
  </r>
  <r>
    <x v="0"/>
    <x v="0"/>
    <x v="0"/>
    <x v="0"/>
    <x v="0"/>
    <x v="254"/>
    <x v="664"/>
    <n v="1190512.53"/>
    <x v="0"/>
    <x v="0"/>
    <x v="1"/>
  </r>
  <r>
    <x v="0"/>
    <x v="1"/>
    <x v="1"/>
    <x v="0"/>
    <x v="0"/>
    <x v="254"/>
    <x v="664"/>
    <n v="1718382.57"/>
    <x v="0"/>
    <x v="0"/>
    <x v="1"/>
  </r>
  <r>
    <x v="0"/>
    <x v="2"/>
    <x v="2"/>
    <x v="0"/>
    <x v="0"/>
    <x v="254"/>
    <x v="664"/>
    <n v="13662110.390000001"/>
    <x v="0"/>
    <x v="0"/>
    <x v="1"/>
  </r>
  <r>
    <x v="0"/>
    <x v="3"/>
    <x v="3"/>
    <x v="0"/>
    <x v="0"/>
    <x v="254"/>
    <x v="664"/>
    <n v="427399.32"/>
    <x v="0"/>
    <x v="0"/>
    <x v="1"/>
  </r>
  <r>
    <x v="0"/>
    <x v="4"/>
    <x v="4"/>
    <x v="0"/>
    <x v="0"/>
    <x v="254"/>
    <x v="664"/>
    <n v="16998404.809999999"/>
    <x v="0"/>
    <x v="0"/>
    <x v="1"/>
  </r>
  <r>
    <x v="0"/>
    <x v="0"/>
    <x v="0"/>
    <x v="0"/>
    <x v="0"/>
    <x v="225"/>
    <x v="665"/>
    <n v="551301.32999999996"/>
    <x v="0"/>
    <x v="0"/>
    <x v="2"/>
  </r>
  <r>
    <x v="0"/>
    <x v="1"/>
    <x v="1"/>
    <x v="0"/>
    <x v="0"/>
    <x v="225"/>
    <x v="665"/>
    <n v="596248.29"/>
    <x v="0"/>
    <x v="0"/>
    <x v="2"/>
  </r>
  <r>
    <x v="0"/>
    <x v="2"/>
    <x v="2"/>
    <x v="0"/>
    <x v="0"/>
    <x v="225"/>
    <x v="665"/>
    <n v="2930212.61"/>
    <x v="0"/>
    <x v="0"/>
    <x v="2"/>
  </r>
  <r>
    <x v="0"/>
    <x v="3"/>
    <x v="3"/>
    <x v="0"/>
    <x v="0"/>
    <x v="225"/>
    <x v="665"/>
    <n v="239836.24"/>
    <x v="0"/>
    <x v="0"/>
    <x v="2"/>
  </r>
  <r>
    <x v="0"/>
    <x v="4"/>
    <x v="4"/>
    <x v="0"/>
    <x v="0"/>
    <x v="225"/>
    <x v="665"/>
    <n v="4317598.4700000007"/>
    <x v="0"/>
    <x v="0"/>
    <x v="2"/>
  </r>
  <r>
    <x v="0"/>
    <x v="0"/>
    <x v="0"/>
    <x v="0"/>
    <x v="0"/>
    <x v="245"/>
    <x v="666"/>
    <n v="2056738.56"/>
    <x v="0"/>
    <x v="0"/>
    <x v="2"/>
  </r>
  <r>
    <x v="0"/>
    <x v="1"/>
    <x v="1"/>
    <x v="0"/>
    <x v="0"/>
    <x v="245"/>
    <x v="666"/>
    <n v="1016977.99"/>
    <x v="0"/>
    <x v="0"/>
    <x v="2"/>
  </r>
  <r>
    <x v="0"/>
    <x v="2"/>
    <x v="2"/>
    <x v="0"/>
    <x v="0"/>
    <x v="245"/>
    <x v="666"/>
    <n v="12569180.4"/>
    <x v="0"/>
    <x v="0"/>
    <x v="2"/>
  </r>
  <r>
    <x v="0"/>
    <x v="3"/>
    <x v="3"/>
    <x v="0"/>
    <x v="0"/>
    <x v="245"/>
    <x v="666"/>
    <n v="910063.61"/>
    <x v="0"/>
    <x v="0"/>
    <x v="2"/>
  </r>
  <r>
    <x v="0"/>
    <x v="4"/>
    <x v="4"/>
    <x v="0"/>
    <x v="0"/>
    <x v="245"/>
    <x v="666"/>
    <n v="16552960.560000001"/>
    <x v="0"/>
    <x v="0"/>
    <x v="2"/>
  </r>
  <r>
    <x v="0"/>
    <x v="0"/>
    <x v="0"/>
    <x v="0"/>
    <x v="0"/>
    <x v="255"/>
    <x v="667"/>
    <n v="0"/>
    <x v="0"/>
    <x v="0"/>
    <x v="2"/>
  </r>
  <r>
    <x v="0"/>
    <x v="1"/>
    <x v="1"/>
    <x v="0"/>
    <x v="0"/>
    <x v="255"/>
    <x v="667"/>
    <n v="0"/>
    <x v="0"/>
    <x v="0"/>
    <x v="2"/>
  </r>
  <r>
    <x v="0"/>
    <x v="2"/>
    <x v="2"/>
    <x v="0"/>
    <x v="0"/>
    <x v="255"/>
    <x v="667"/>
    <n v="0"/>
    <x v="0"/>
    <x v="0"/>
    <x v="2"/>
  </r>
  <r>
    <x v="0"/>
    <x v="3"/>
    <x v="3"/>
    <x v="0"/>
    <x v="0"/>
    <x v="255"/>
    <x v="667"/>
    <n v="0"/>
    <x v="0"/>
    <x v="0"/>
    <x v="2"/>
  </r>
  <r>
    <x v="0"/>
    <x v="4"/>
    <x v="4"/>
    <x v="0"/>
    <x v="0"/>
    <x v="255"/>
    <x v="667"/>
    <n v="0"/>
    <x v="0"/>
    <x v="0"/>
    <x v="2"/>
  </r>
  <r>
    <x v="0"/>
    <x v="0"/>
    <x v="0"/>
    <x v="0"/>
    <x v="0"/>
    <x v="246"/>
    <x v="668"/>
    <n v="0"/>
    <x v="0"/>
    <x v="0"/>
    <x v="2"/>
  </r>
  <r>
    <x v="0"/>
    <x v="1"/>
    <x v="1"/>
    <x v="0"/>
    <x v="0"/>
    <x v="246"/>
    <x v="668"/>
    <n v="0"/>
    <x v="0"/>
    <x v="0"/>
    <x v="2"/>
  </r>
  <r>
    <x v="0"/>
    <x v="2"/>
    <x v="2"/>
    <x v="0"/>
    <x v="0"/>
    <x v="246"/>
    <x v="668"/>
    <n v="0"/>
    <x v="0"/>
    <x v="0"/>
    <x v="2"/>
  </r>
  <r>
    <x v="0"/>
    <x v="3"/>
    <x v="3"/>
    <x v="0"/>
    <x v="0"/>
    <x v="246"/>
    <x v="668"/>
    <n v="0"/>
    <x v="0"/>
    <x v="0"/>
    <x v="2"/>
  </r>
  <r>
    <x v="0"/>
    <x v="4"/>
    <x v="4"/>
    <x v="0"/>
    <x v="0"/>
    <x v="246"/>
    <x v="668"/>
    <n v="0"/>
    <x v="0"/>
    <x v="0"/>
    <x v="2"/>
  </r>
  <r>
    <x v="0"/>
    <x v="0"/>
    <x v="0"/>
    <x v="0"/>
    <x v="0"/>
    <x v="239"/>
    <x v="669"/>
    <n v="513690.53"/>
    <x v="0"/>
    <x v="0"/>
    <x v="2"/>
  </r>
  <r>
    <x v="0"/>
    <x v="1"/>
    <x v="1"/>
    <x v="0"/>
    <x v="0"/>
    <x v="239"/>
    <x v="669"/>
    <n v="145471.96"/>
    <x v="0"/>
    <x v="0"/>
    <x v="2"/>
  </r>
  <r>
    <x v="0"/>
    <x v="2"/>
    <x v="2"/>
    <x v="0"/>
    <x v="0"/>
    <x v="239"/>
    <x v="669"/>
    <n v="1507743.68"/>
    <x v="0"/>
    <x v="0"/>
    <x v="2"/>
  </r>
  <r>
    <x v="0"/>
    <x v="3"/>
    <x v="3"/>
    <x v="0"/>
    <x v="0"/>
    <x v="239"/>
    <x v="669"/>
    <n v="60233.87"/>
    <x v="0"/>
    <x v="0"/>
    <x v="2"/>
  </r>
  <r>
    <x v="0"/>
    <x v="4"/>
    <x v="4"/>
    <x v="0"/>
    <x v="0"/>
    <x v="239"/>
    <x v="669"/>
    <n v="2227140.04"/>
    <x v="0"/>
    <x v="0"/>
    <x v="2"/>
  </r>
  <r>
    <x v="0"/>
    <x v="0"/>
    <x v="0"/>
    <x v="0"/>
    <x v="0"/>
    <x v="240"/>
    <x v="670"/>
    <n v="323521.25"/>
    <x v="0"/>
    <x v="0"/>
    <x v="2"/>
  </r>
  <r>
    <x v="0"/>
    <x v="1"/>
    <x v="1"/>
    <x v="0"/>
    <x v="0"/>
    <x v="240"/>
    <x v="670"/>
    <n v="141205.56"/>
    <x v="0"/>
    <x v="0"/>
    <x v="2"/>
  </r>
  <r>
    <x v="0"/>
    <x v="2"/>
    <x v="2"/>
    <x v="0"/>
    <x v="0"/>
    <x v="240"/>
    <x v="670"/>
    <n v="3267275.55"/>
    <x v="0"/>
    <x v="0"/>
    <x v="2"/>
  </r>
  <r>
    <x v="0"/>
    <x v="3"/>
    <x v="3"/>
    <x v="0"/>
    <x v="0"/>
    <x v="240"/>
    <x v="670"/>
    <n v="59742.58"/>
    <x v="0"/>
    <x v="0"/>
    <x v="2"/>
  </r>
  <r>
    <x v="0"/>
    <x v="4"/>
    <x v="4"/>
    <x v="0"/>
    <x v="0"/>
    <x v="240"/>
    <x v="670"/>
    <n v="3791744.94"/>
    <x v="0"/>
    <x v="0"/>
    <x v="2"/>
  </r>
  <r>
    <x v="0"/>
    <x v="0"/>
    <x v="0"/>
    <x v="0"/>
    <x v="0"/>
    <x v="232"/>
    <x v="671"/>
    <n v="140308.46"/>
    <x v="0"/>
    <x v="0"/>
    <x v="2"/>
  </r>
  <r>
    <x v="0"/>
    <x v="1"/>
    <x v="1"/>
    <x v="0"/>
    <x v="0"/>
    <x v="232"/>
    <x v="671"/>
    <n v="39491.25"/>
    <x v="0"/>
    <x v="0"/>
    <x v="2"/>
  </r>
  <r>
    <x v="0"/>
    <x v="2"/>
    <x v="2"/>
    <x v="0"/>
    <x v="0"/>
    <x v="232"/>
    <x v="671"/>
    <n v="404256.69"/>
    <x v="0"/>
    <x v="0"/>
    <x v="2"/>
  </r>
  <r>
    <x v="0"/>
    <x v="3"/>
    <x v="3"/>
    <x v="0"/>
    <x v="0"/>
    <x v="232"/>
    <x v="671"/>
    <n v="25450.5"/>
    <x v="0"/>
    <x v="0"/>
    <x v="2"/>
  </r>
  <r>
    <x v="0"/>
    <x v="4"/>
    <x v="4"/>
    <x v="0"/>
    <x v="0"/>
    <x v="232"/>
    <x v="671"/>
    <n v="609506.9"/>
    <x v="0"/>
    <x v="0"/>
    <x v="2"/>
  </r>
  <r>
    <x v="0"/>
    <x v="0"/>
    <x v="0"/>
    <x v="0"/>
    <x v="0"/>
    <x v="241"/>
    <x v="672"/>
    <n v="3"/>
    <x v="0"/>
    <x v="0"/>
    <x v="2"/>
  </r>
  <r>
    <x v="0"/>
    <x v="1"/>
    <x v="1"/>
    <x v="0"/>
    <x v="0"/>
    <x v="241"/>
    <x v="672"/>
    <n v="0"/>
    <x v="0"/>
    <x v="0"/>
    <x v="2"/>
  </r>
  <r>
    <x v="0"/>
    <x v="2"/>
    <x v="2"/>
    <x v="0"/>
    <x v="0"/>
    <x v="241"/>
    <x v="672"/>
    <n v="998428.7"/>
    <x v="0"/>
    <x v="0"/>
    <x v="2"/>
  </r>
  <r>
    <x v="0"/>
    <x v="3"/>
    <x v="3"/>
    <x v="0"/>
    <x v="0"/>
    <x v="241"/>
    <x v="672"/>
    <n v="0"/>
    <x v="0"/>
    <x v="0"/>
    <x v="2"/>
  </r>
  <r>
    <x v="0"/>
    <x v="4"/>
    <x v="4"/>
    <x v="0"/>
    <x v="0"/>
    <x v="241"/>
    <x v="672"/>
    <n v="998431.7"/>
    <x v="0"/>
    <x v="0"/>
    <x v="2"/>
  </r>
  <r>
    <x v="0"/>
    <x v="0"/>
    <x v="0"/>
    <x v="0"/>
    <x v="0"/>
    <x v="68"/>
    <x v="673"/>
    <n v="69716.69"/>
    <x v="0"/>
    <x v="0"/>
    <x v="2"/>
  </r>
  <r>
    <x v="0"/>
    <x v="1"/>
    <x v="1"/>
    <x v="0"/>
    <x v="0"/>
    <x v="68"/>
    <x v="673"/>
    <n v="4924.33"/>
    <x v="0"/>
    <x v="0"/>
    <x v="2"/>
  </r>
  <r>
    <x v="0"/>
    <x v="2"/>
    <x v="2"/>
    <x v="0"/>
    <x v="0"/>
    <x v="68"/>
    <x v="673"/>
    <n v="1754415.4"/>
    <x v="0"/>
    <x v="0"/>
    <x v="2"/>
  </r>
  <r>
    <x v="0"/>
    <x v="3"/>
    <x v="3"/>
    <x v="0"/>
    <x v="0"/>
    <x v="68"/>
    <x v="673"/>
    <n v="112135.29"/>
    <x v="0"/>
    <x v="0"/>
    <x v="2"/>
  </r>
  <r>
    <x v="0"/>
    <x v="4"/>
    <x v="4"/>
    <x v="0"/>
    <x v="0"/>
    <x v="68"/>
    <x v="673"/>
    <n v="1941191.7100000002"/>
    <x v="0"/>
    <x v="0"/>
    <x v="2"/>
  </r>
  <r>
    <x v="0"/>
    <x v="0"/>
    <x v="0"/>
    <x v="0"/>
    <x v="0"/>
    <x v="256"/>
    <x v="674"/>
    <n v="-2464767.29"/>
    <x v="0"/>
    <x v="0"/>
    <x v="2"/>
  </r>
  <r>
    <x v="0"/>
    <x v="1"/>
    <x v="1"/>
    <x v="0"/>
    <x v="0"/>
    <x v="256"/>
    <x v="674"/>
    <n v="-225936.81"/>
    <x v="0"/>
    <x v="0"/>
    <x v="2"/>
  </r>
  <r>
    <x v="0"/>
    <x v="2"/>
    <x v="2"/>
    <x v="0"/>
    <x v="0"/>
    <x v="256"/>
    <x v="674"/>
    <n v="-9769402.6400000006"/>
    <x v="0"/>
    <x v="0"/>
    <x v="2"/>
  </r>
  <r>
    <x v="0"/>
    <x v="3"/>
    <x v="3"/>
    <x v="0"/>
    <x v="0"/>
    <x v="256"/>
    <x v="674"/>
    <n v="-980062.77"/>
    <x v="0"/>
    <x v="0"/>
    <x v="2"/>
  </r>
  <r>
    <x v="0"/>
    <x v="4"/>
    <x v="4"/>
    <x v="0"/>
    <x v="0"/>
    <x v="256"/>
    <x v="674"/>
    <n v="-13440169.51"/>
    <x v="0"/>
    <x v="0"/>
    <x v="2"/>
  </r>
  <r>
    <x v="0"/>
    <x v="0"/>
    <x v="0"/>
    <x v="0"/>
    <x v="0"/>
    <x v="257"/>
    <x v="675"/>
    <n v="-1995336.95"/>
    <x v="0"/>
    <x v="0"/>
    <x v="3"/>
  </r>
  <r>
    <x v="0"/>
    <x v="1"/>
    <x v="1"/>
    <x v="0"/>
    <x v="0"/>
    <x v="257"/>
    <x v="675"/>
    <n v="-3813.67"/>
    <x v="0"/>
    <x v="0"/>
    <x v="3"/>
  </r>
  <r>
    <x v="0"/>
    <x v="2"/>
    <x v="2"/>
    <x v="0"/>
    <x v="0"/>
    <x v="257"/>
    <x v="675"/>
    <n v="-3568641.41"/>
    <x v="0"/>
    <x v="0"/>
    <x v="3"/>
  </r>
  <r>
    <x v="0"/>
    <x v="3"/>
    <x v="3"/>
    <x v="0"/>
    <x v="0"/>
    <x v="257"/>
    <x v="675"/>
    <n v="-819113.27"/>
    <x v="0"/>
    <x v="0"/>
    <x v="3"/>
  </r>
  <r>
    <x v="0"/>
    <x v="4"/>
    <x v="4"/>
    <x v="0"/>
    <x v="0"/>
    <x v="257"/>
    <x v="675"/>
    <n v="-6386905.2999999998"/>
    <x v="0"/>
    <x v="0"/>
    <x v="3"/>
  </r>
  <r>
    <x v="0"/>
    <x v="0"/>
    <x v="0"/>
    <x v="0"/>
    <x v="0"/>
    <x v="258"/>
    <x v="676"/>
    <n v="0"/>
    <x v="0"/>
    <x v="0"/>
    <x v="3"/>
  </r>
  <r>
    <x v="0"/>
    <x v="1"/>
    <x v="1"/>
    <x v="0"/>
    <x v="0"/>
    <x v="258"/>
    <x v="676"/>
    <n v="0"/>
    <x v="0"/>
    <x v="0"/>
    <x v="3"/>
  </r>
  <r>
    <x v="0"/>
    <x v="2"/>
    <x v="2"/>
    <x v="0"/>
    <x v="0"/>
    <x v="258"/>
    <x v="676"/>
    <n v="0"/>
    <x v="0"/>
    <x v="0"/>
    <x v="3"/>
  </r>
  <r>
    <x v="0"/>
    <x v="3"/>
    <x v="3"/>
    <x v="0"/>
    <x v="0"/>
    <x v="258"/>
    <x v="676"/>
    <n v="0"/>
    <x v="0"/>
    <x v="0"/>
    <x v="3"/>
  </r>
  <r>
    <x v="0"/>
    <x v="4"/>
    <x v="4"/>
    <x v="0"/>
    <x v="0"/>
    <x v="258"/>
    <x v="676"/>
    <n v="0"/>
    <x v="0"/>
    <x v="0"/>
    <x v="3"/>
  </r>
  <r>
    <x v="0"/>
    <x v="0"/>
    <x v="0"/>
    <x v="0"/>
    <x v="0"/>
    <x v="259"/>
    <x v="677"/>
    <n v="-236427.16"/>
    <x v="0"/>
    <x v="0"/>
    <x v="3"/>
  </r>
  <r>
    <x v="0"/>
    <x v="1"/>
    <x v="1"/>
    <x v="0"/>
    <x v="0"/>
    <x v="259"/>
    <x v="677"/>
    <n v="-89501.68"/>
    <x v="0"/>
    <x v="0"/>
    <x v="3"/>
  </r>
  <r>
    <x v="0"/>
    <x v="2"/>
    <x v="2"/>
    <x v="0"/>
    <x v="0"/>
    <x v="259"/>
    <x v="677"/>
    <n v="-1047555.03"/>
    <x v="0"/>
    <x v="0"/>
    <x v="3"/>
  </r>
  <r>
    <x v="0"/>
    <x v="3"/>
    <x v="3"/>
    <x v="0"/>
    <x v="0"/>
    <x v="259"/>
    <x v="677"/>
    <n v="-18813.25"/>
    <x v="0"/>
    <x v="0"/>
    <x v="3"/>
  </r>
  <r>
    <x v="0"/>
    <x v="4"/>
    <x v="4"/>
    <x v="0"/>
    <x v="0"/>
    <x v="259"/>
    <x v="677"/>
    <n v="-1392297.1199999999"/>
    <x v="0"/>
    <x v="0"/>
    <x v="3"/>
  </r>
  <r>
    <x v="0"/>
    <x v="0"/>
    <x v="0"/>
    <x v="0"/>
    <x v="0"/>
    <x v="260"/>
    <x v="678"/>
    <n v="-168886.39999999999"/>
    <x v="0"/>
    <x v="0"/>
    <x v="3"/>
  </r>
  <r>
    <x v="0"/>
    <x v="1"/>
    <x v="1"/>
    <x v="0"/>
    <x v="0"/>
    <x v="260"/>
    <x v="678"/>
    <n v="-117180.7"/>
    <x v="0"/>
    <x v="0"/>
    <x v="3"/>
  </r>
  <r>
    <x v="0"/>
    <x v="2"/>
    <x v="2"/>
    <x v="0"/>
    <x v="0"/>
    <x v="260"/>
    <x v="678"/>
    <n v="-3212193.54"/>
    <x v="0"/>
    <x v="0"/>
    <x v="3"/>
  </r>
  <r>
    <x v="0"/>
    <x v="3"/>
    <x v="3"/>
    <x v="0"/>
    <x v="0"/>
    <x v="260"/>
    <x v="678"/>
    <n v="-37414.44"/>
    <x v="0"/>
    <x v="0"/>
    <x v="3"/>
  </r>
  <r>
    <x v="0"/>
    <x v="4"/>
    <x v="4"/>
    <x v="0"/>
    <x v="0"/>
    <x v="260"/>
    <x v="678"/>
    <n v="-3535675.0799999996"/>
    <x v="0"/>
    <x v="0"/>
    <x v="3"/>
  </r>
  <r>
    <x v="0"/>
    <x v="0"/>
    <x v="0"/>
    <x v="0"/>
    <x v="0"/>
    <x v="261"/>
    <x v="679"/>
    <n v="-64116.78"/>
    <x v="0"/>
    <x v="0"/>
    <x v="3"/>
  </r>
  <r>
    <x v="0"/>
    <x v="1"/>
    <x v="1"/>
    <x v="0"/>
    <x v="0"/>
    <x v="261"/>
    <x v="679"/>
    <n v="-15440.76"/>
    <x v="0"/>
    <x v="0"/>
    <x v="3"/>
  </r>
  <r>
    <x v="0"/>
    <x v="2"/>
    <x v="2"/>
    <x v="0"/>
    <x v="0"/>
    <x v="261"/>
    <x v="679"/>
    <n v="-323385.49"/>
    <x v="0"/>
    <x v="0"/>
    <x v="3"/>
  </r>
  <r>
    <x v="0"/>
    <x v="3"/>
    <x v="3"/>
    <x v="0"/>
    <x v="0"/>
    <x v="261"/>
    <x v="679"/>
    <n v="-11449.22"/>
    <x v="0"/>
    <x v="0"/>
    <x v="3"/>
  </r>
  <r>
    <x v="0"/>
    <x v="4"/>
    <x v="4"/>
    <x v="0"/>
    <x v="0"/>
    <x v="261"/>
    <x v="679"/>
    <n v="-414392.25"/>
    <x v="0"/>
    <x v="0"/>
    <x v="3"/>
  </r>
  <r>
    <x v="0"/>
    <x v="0"/>
    <x v="0"/>
    <x v="0"/>
    <x v="0"/>
    <x v="262"/>
    <x v="680"/>
    <n v="0"/>
    <x v="0"/>
    <x v="0"/>
    <x v="3"/>
  </r>
  <r>
    <x v="0"/>
    <x v="1"/>
    <x v="1"/>
    <x v="0"/>
    <x v="0"/>
    <x v="262"/>
    <x v="680"/>
    <n v="0"/>
    <x v="0"/>
    <x v="0"/>
    <x v="3"/>
  </r>
  <r>
    <x v="0"/>
    <x v="2"/>
    <x v="2"/>
    <x v="0"/>
    <x v="0"/>
    <x v="262"/>
    <x v="680"/>
    <n v="-639470.82999999996"/>
    <x v="0"/>
    <x v="0"/>
    <x v="3"/>
  </r>
  <r>
    <x v="0"/>
    <x v="3"/>
    <x v="3"/>
    <x v="0"/>
    <x v="0"/>
    <x v="262"/>
    <x v="680"/>
    <n v="0"/>
    <x v="0"/>
    <x v="0"/>
    <x v="3"/>
  </r>
  <r>
    <x v="0"/>
    <x v="4"/>
    <x v="4"/>
    <x v="0"/>
    <x v="0"/>
    <x v="262"/>
    <x v="680"/>
    <n v="-639470.82999999996"/>
    <x v="0"/>
    <x v="0"/>
    <x v="3"/>
  </r>
  <r>
    <x v="0"/>
    <x v="0"/>
    <x v="0"/>
    <x v="0"/>
    <x v="0"/>
    <x v="263"/>
    <x v="681"/>
    <n v="0"/>
    <x v="0"/>
    <x v="0"/>
    <x v="3"/>
  </r>
  <r>
    <x v="0"/>
    <x v="1"/>
    <x v="1"/>
    <x v="0"/>
    <x v="0"/>
    <x v="263"/>
    <x v="681"/>
    <n v="0"/>
    <x v="0"/>
    <x v="0"/>
    <x v="3"/>
  </r>
  <r>
    <x v="0"/>
    <x v="2"/>
    <x v="2"/>
    <x v="0"/>
    <x v="0"/>
    <x v="263"/>
    <x v="681"/>
    <n v="-978156.34"/>
    <x v="0"/>
    <x v="0"/>
    <x v="3"/>
  </r>
  <r>
    <x v="0"/>
    <x v="3"/>
    <x v="3"/>
    <x v="0"/>
    <x v="0"/>
    <x v="263"/>
    <x v="681"/>
    <n v="-93272.59"/>
    <x v="0"/>
    <x v="0"/>
    <x v="3"/>
  </r>
  <r>
    <x v="0"/>
    <x v="4"/>
    <x v="4"/>
    <x v="0"/>
    <x v="0"/>
    <x v="263"/>
    <x v="681"/>
    <n v="-1071428.9300000002"/>
    <x v="0"/>
    <x v="0"/>
    <x v="3"/>
  </r>
  <r>
    <x v="0"/>
    <x v="0"/>
    <x v="0"/>
    <x v="0"/>
    <x v="0"/>
    <x v="264"/>
    <x v="682"/>
    <n v="10927112.49"/>
    <x v="0"/>
    <x v="0"/>
    <x v="1"/>
  </r>
  <r>
    <x v="0"/>
    <x v="1"/>
    <x v="1"/>
    <x v="0"/>
    <x v="0"/>
    <x v="264"/>
    <x v="682"/>
    <n v="1784283.59"/>
    <x v="0"/>
    <x v="0"/>
    <x v="1"/>
  </r>
  <r>
    <x v="0"/>
    <x v="2"/>
    <x v="2"/>
    <x v="0"/>
    <x v="0"/>
    <x v="264"/>
    <x v="682"/>
    <n v="119255875.79000001"/>
    <x v="0"/>
    <x v="0"/>
    <x v="1"/>
  </r>
  <r>
    <x v="0"/>
    <x v="3"/>
    <x v="3"/>
    <x v="0"/>
    <x v="0"/>
    <x v="264"/>
    <x v="682"/>
    <n v="989277.25"/>
    <x v="0"/>
    <x v="0"/>
    <x v="1"/>
  </r>
  <r>
    <x v="0"/>
    <x v="4"/>
    <x v="4"/>
    <x v="0"/>
    <x v="0"/>
    <x v="264"/>
    <x v="682"/>
    <n v="132956549.12"/>
    <x v="0"/>
    <x v="0"/>
    <x v="1"/>
  </r>
  <r>
    <x v="0"/>
    <x v="0"/>
    <x v="0"/>
    <x v="0"/>
    <x v="0"/>
    <x v="265"/>
    <x v="683"/>
    <n v="149583.82"/>
    <x v="0"/>
    <x v="0"/>
    <x v="2"/>
  </r>
  <r>
    <x v="0"/>
    <x v="1"/>
    <x v="1"/>
    <x v="0"/>
    <x v="0"/>
    <x v="265"/>
    <x v="683"/>
    <n v="13235.91"/>
    <x v="0"/>
    <x v="0"/>
    <x v="2"/>
  </r>
  <r>
    <x v="0"/>
    <x v="2"/>
    <x v="2"/>
    <x v="0"/>
    <x v="0"/>
    <x v="265"/>
    <x v="683"/>
    <n v="4895260.12"/>
    <x v="0"/>
    <x v="0"/>
    <x v="2"/>
  </r>
  <r>
    <x v="0"/>
    <x v="3"/>
    <x v="3"/>
    <x v="0"/>
    <x v="0"/>
    <x v="265"/>
    <x v="683"/>
    <n v="13147.36"/>
    <x v="0"/>
    <x v="0"/>
    <x v="2"/>
  </r>
  <r>
    <x v="0"/>
    <x v="4"/>
    <x v="4"/>
    <x v="0"/>
    <x v="0"/>
    <x v="265"/>
    <x v="683"/>
    <n v="5071227.21"/>
    <x v="0"/>
    <x v="0"/>
    <x v="2"/>
  </r>
  <r>
    <x v="0"/>
    <x v="0"/>
    <x v="0"/>
    <x v="0"/>
    <x v="0"/>
    <x v="266"/>
    <x v="684"/>
    <n v="0"/>
    <x v="0"/>
    <x v="0"/>
    <x v="3"/>
  </r>
  <r>
    <x v="0"/>
    <x v="1"/>
    <x v="1"/>
    <x v="0"/>
    <x v="0"/>
    <x v="266"/>
    <x v="684"/>
    <n v="0"/>
    <x v="0"/>
    <x v="0"/>
    <x v="3"/>
  </r>
  <r>
    <x v="0"/>
    <x v="2"/>
    <x v="2"/>
    <x v="0"/>
    <x v="0"/>
    <x v="266"/>
    <x v="684"/>
    <n v="4656053.29"/>
    <x v="0"/>
    <x v="0"/>
    <x v="3"/>
  </r>
  <r>
    <x v="0"/>
    <x v="3"/>
    <x v="3"/>
    <x v="0"/>
    <x v="0"/>
    <x v="266"/>
    <x v="684"/>
    <n v="0"/>
    <x v="0"/>
    <x v="0"/>
    <x v="3"/>
  </r>
  <r>
    <x v="0"/>
    <x v="4"/>
    <x v="4"/>
    <x v="0"/>
    <x v="0"/>
    <x v="266"/>
    <x v="684"/>
    <n v="4656053.29"/>
    <x v="0"/>
    <x v="0"/>
    <x v="3"/>
  </r>
  <r>
    <x v="0"/>
    <x v="0"/>
    <x v="0"/>
    <x v="0"/>
    <x v="0"/>
    <x v="267"/>
    <x v="685"/>
    <n v="149583.45000000001"/>
    <x v="0"/>
    <x v="0"/>
    <x v="3"/>
  </r>
  <r>
    <x v="0"/>
    <x v="1"/>
    <x v="1"/>
    <x v="0"/>
    <x v="0"/>
    <x v="267"/>
    <x v="685"/>
    <n v="0"/>
    <x v="0"/>
    <x v="0"/>
    <x v="3"/>
  </r>
  <r>
    <x v="0"/>
    <x v="2"/>
    <x v="2"/>
    <x v="0"/>
    <x v="0"/>
    <x v="267"/>
    <x v="685"/>
    <n v="239206.83"/>
    <x v="0"/>
    <x v="0"/>
    <x v="3"/>
  </r>
  <r>
    <x v="0"/>
    <x v="3"/>
    <x v="3"/>
    <x v="0"/>
    <x v="0"/>
    <x v="267"/>
    <x v="685"/>
    <n v="13147.36"/>
    <x v="0"/>
    <x v="0"/>
    <x v="3"/>
  </r>
  <r>
    <x v="0"/>
    <x v="4"/>
    <x v="4"/>
    <x v="0"/>
    <x v="0"/>
    <x v="267"/>
    <x v="685"/>
    <n v="401937.64"/>
    <x v="0"/>
    <x v="0"/>
    <x v="3"/>
  </r>
  <r>
    <x v="0"/>
    <x v="0"/>
    <x v="0"/>
    <x v="0"/>
    <x v="0"/>
    <x v="268"/>
    <x v="686"/>
    <n v="0.37"/>
    <x v="0"/>
    <x v="0"/>
    <x v="3"/>
  </r>
  <r>
    <x v="0"/>
    <x v="1"/>
    <x v="1"/>
    <x v="0"/>
    <x v="0"/>
    <x v="268"/>
    <x v="686"/>
    <n v="0"/>
    <x v="0"/>
    <x v="0"/>
    <x v="3"/>
  </r>
  <r>
    <x v="0"/>
    <x v="2"/>
    <x v="2"/>
    <x v="0"/>
    <x v="0"/>
    <x v="268"/>
    <x v="686"/>
    <n v="0"/>
    <x v="0"/>
    <x v="0"/>
    <x v="3"/>
  </r>
  <r>
    <x v="0"/>
    <x v="3"/>
    <x v="3"/>
    <x v="0"/>
    <x v="0"/>
    <x v="268"/>
    <x v="686"/>
    <n v="0"/>
    <x v="0"/>
    <x v="0"/>
    <x v="3"/>
  </r>
  <r>
    <x v="0"/>
    <x v="4"/>
    <x v="4"/>
    <x v="0"/>
    <x v="0"/>
    <x v="268"/>
    <x v="686"/>
    <n v="0.37"/>
    <x v="0"/>
    <x v="0"/>
    <x v="3"/>
  </r>
  <r>
    <x v="0"/>
    <x v="0"/>
    <x v="0"/>
    <x v="0"/>
    <x v="0"/>
    <x v="269"/>
    <x v="687"/>
    <n v="0"/>
    <x v="0"/>
    <x v="0"/>
    <x v="3"/>
  </r>
  <r>
    <x v="0"/>
    <x v="1"/>
    <x v="1"/>
    <x v="0"/>
    <x v="0"/>
    <x v="269"/>
    <x v="687"/>
    <n v="13235.91"/>
    <x v="0"/>
    <x v="0"/>
    <x v="3"/>
  </r>
  <r>
    <x v="0"/>
    <x v="2"/>
    <x v="2"/>
    <x v="0"/>
    <x v="0"/>
    <x v="269"/>
    <x v="687"/>
    <n v="0"/>
    <x v="0"/>
    <x v="0"/>
    <x v="3"/>
  </r>
  <r>
    <x v="0"/>
    <x v="3"/>
    <x v="3"/>
    <x v="0"/>
    <x v="0"/>
    <x v="269"/>
    <x v="687"/>
    <n v="0"/>
    <x v="0"/>
    <x v="0"/>
    <x v="3"/>
  </r>
  <r>
    <x v="0"/>
    <x v="4"/>
    <x v="4"/>
    <x v="0"/>
    <x v="0"/>
    <x v="269"/>
    <x v="687"/>
    <n v="13235.91"/>
    <x v="0"/>
    <x v="0"/>
    <x v="3"/>
  </r>
  <r>
    <x v="0"/>
    <x v="0"/>
    <x v="0"/>
    <x v="0"/>
    <x v="0"/>
    <x v="233"/>
    <x v="688"/>
    <n v="9310452.1899999995"/>
    <x v="0"/>
    <x v="0"/>
    <x v="2"/>
  </r>
  <r>
    <x v="0"/>
    <x v="1"/>
    <x v="1"/>
    <x v="0"/>
    <x v="0"/>
    <x v="233"/>
    <x v="688"/>
    <n v="762791.74"/>
    <x v="0"/>
    <x v="0"/>
    <x v="2"/>
  </r>
  <r>
    <x v="0"/>
    <x v="2"/>
    <x v="2"/>
    <x v="0"/>
    <x v="0"/>
    <x v="233"/>
    <x v="688"/>
    <n v="87457868.689999998"/>
    <x v="0"/>
    <x v="0"/>
    <x v="2"/>
  </r>
  <r>
    <x v="0"/>
    <x v="3"/>
    <x v="3"/>
    <x v="0"/>
    <x v="0"/>
    <x v="233"/>
    <x v="688"/>
    <n v="423228.1"/>
    <x v="0"/>
    <x v="0"/>
    <x v="2"/>
  </r>
  <r>
    <x v="0"/>
    <x v="4"/>
    <x v="4"/>
    <x v="0"/>
    <x v="0"/>
    <x v="233"/>
    <x v="688"/>
    <n v="97954340.719999999"/>
    <x v="0"/>
    <x v="0"/>
    <x v="2"/>
  </r>
  <r>
    <x v="0"/>
    <x v="0"/>
    <x v="0"/>
    <x v="0"/>
    <x v="0"/>
    <x v="26"/>
    <x v="689"/>
    <n v="0"/>
    <x v="0"/>
    <x v="0"/>
    <x v="3"/>
  </r>
  <r>
    <x v="0"/>
    <x v="1"/>
    <x v="1"/>
    <x v="0"/>
    <x v="0"/>
    <x v="26"/>
    <x v="689"/>
    <n v="0"/>
    <x v="0"/>
    <x v="0"/>
    <x v="3"/>
  </r>
  <r>
    <x v="0"/>
    <x v="2"/>
    <x v="2"/>
    <x v="0"/>
    <x v="0"/>
    <x v="26"/>
    <x v="689"/>
    <n v="20000"/>
    <x v="0"/>
    <x v="0"/>
    <x v="3"/>
  </r>
  <r>
    <x v="0"/>
    <x v="3"/>
    <x v="3"/>
    <x v="0"/>
    <x v="0"/>
    <x v="26"/>
    <x v="689"/>
    <n v="0"/>
    <x v="0"/>
    <x v="0"/>
    <x v="3"/>
  </r>
  <r>
    <x v="0"/>
    <x v="4"/>
    <x v="4"/>
    <x v="0"/>
    <x v="0"/>
    <x v="26"/>
    <x v="689"/>
    <n v="20000"/>
    <x v="0"/>
    <x v="0"/>
    <x v="3"/>
  </r>
  <r>
    <x v="0"/>
    <x v="0"/>
    <x v="0"/>
    <x v="0"/>
    <x v="0"/>
    <x v="270"/>
    <x v="690"/>
    <n v="38139.82"/>
    <x v="0"/>
    <x v="0"/>
    <x v="3"/>
  </r>
  <r>
    <x v="0"/>
    <x v="1"/>
    <x v="1"/>
    <x v="0"/>
    <x v="0"/>
    <x v="270"/>
    <x v="690"/>
    <n v="0"/>
    <x v="0"/>
    <x v="0"/>
    <x v="3"/>
  </r>
  <r>
    <x v="0"/>
    <x v="2"/>
    <x v="2"/>
    <x v="0"/>
    <x v="0"/>
    <x v="270"/>
    <x v="690"/>
    <n v="0"/>
    <x v="0"/>
    <x v="0"/>
    <x v="3"/>
  </r>
  <r>
    <x v="0"/>
    <x v="3"/>
    <x v="3"/>
    <x v="0"/>
    <x v="0"/>
    <x v="270"/>
    <x v="690"/>
    <n v="0"/>
    <x v="0"/>
    <x v="0"/>
    <x v="3"/>
  </r>
  <r>
    <x v="0"/>
    <x v="4"/>
    <x v="4"/>
    <x v="0"/>
    <x v="0"/>
    <x v="270"/>
    <x v="690"/>
    <n v="38139.82"/>
    <x v="0"/>
    <x v="0"/>
    <x v="3"/>
  </r>
  <r>
    <x v="0"/>
    <x v="0"/>
    <x v="0"/>
    <x v="0"/>
    <x v="0"/>
    <x v="271"/>
    <x v="691"/>
    <n v="0"/>
    <x v="0"/>
    <x v="0"/>
    <x v="3"/>
  </r>
  <r>
    <x v="0"/>
    <x v="1"/>
    <x v="1"/>
    <x v="0"/>
    <x v="0"/>
    <x v="271"/>
    <x v="691"/>
    <n v="0"/>
    <x v="0"/>
    <x v="0"/>
    <x v="3"/>
  </r>
  <r>
    <x v="0"/>
    <x v="2"/>
    <x v="2"/>
    <x v="0"/>
    <x v="0"/>
    <x v="271"/>
    <x v="691"/>
    <n v="0"/>
    <x v="0"/>
    <x v="0"/>
    <x v="3"/>
  </r>
  <r>
    <x v="0"/>
    <x v="3"/>
    <x v="3"/>
    <x v="0"/>
    <x v="0"/>
    <x v="271"/>
    <x v="691"/>
    <n v="0"/>
    <x v="0"/>
    <x v="0"/>
    <x v="3"/>
  </r>
  <r>
    <x v="0"/>
    <x v="4"/>
    <x v="4"/>
    <x v="0"/>
    <x v="0"/>
    <x v="271"/>
    <x v="691"/>
    <n v="0"/>
    <x v="0"/>
    <x v="0"/>
    <x v="3"/>
  </r>
  <r>
    <x v="0"/>
    <x v="0"/>
    <x v="0"/>
    <x v="0"/>
    <x v="0"/>
    <x v="272"/>
    <x v="692"/>
    <n v="0"/>
    <x v="0"/>
    <x v="0"/>
    <x v="3"/>
  </r>
  <r>
    <x v="0"/>
    <x v="1"/>
    <x v="1"/>
    <x v="0"/>
    <x v="0"/>
    <x v="272"/>
    <x v="692"/>
    <n v="0"/>
    <x v="0"/>
    <x v="0"/>
    <x v="3"/>
  </r>
  <r>
    <x v="0"/>
    <x v="2"/>
    <x v="2"/>
    <x v="0"/>
    <x v="0"/>
    <x v="272"/>
    <x v="692"/>
    <n v="0"/>
    <x v="0"/>
    <x v="0"/>
    <x v="3"/>
  </r>
  <r>
    <x v="0"/>
    <x v="3"/>
    <x v="3"/>
    <x v="0"/>
    <x v="0"/>
    <x v="272"/>
    <x v="692"/>
    <n v="0"/>
    <x v="0"/>
    <x v="0"/>
    <x v="3"/>
  </r>
  <r>
    <x v="0"/>
    <x v="4"/>
    <x v="4"/>
    <x v="0"/>
    <x v="0"/>
    <x v="272"/>
    <x v="692"/>
    <n v="0"/>
    <x v="0"/>
    <x v="0"/>
    <x v="3"/>
  </r>
  <r>
    <x v="0"/>
    <x v="0"/>
    <x v="0"/>
    <x v="0"/>
    <x v="0"/>
    <x v="273"/>
    <x v="693"/>
    <n v="0"/>
    <x v="0"/>
    <x v="0"/>
    <x v="3"/>
  </r>
  <r>
    <x v="0"/>
    <x v="1"/>
    <x v="1"/>
    <x v="0"/>
    <x v="0"/>
    <x v="273"/>
    <x v="693"/>
    <n v="0"/>
    <x v="0"/>
    <x v="0"/>
    <x v="3"/>
  </r>
  <r>
    <x v="0"/>
    <x v="2"/>
    <x v="2"/>
    <x v="0"/>
    <x v="0"/>
    <x v="273"/>
    <x v="693"/>
    <n v="0"/>
    <x v="0"/>
    <x v="0"/>
    <x v="3"/>
  </r>
  <r>
    <x v="0"/>
    <x v="3"/>
    <x v="3"/>
    <x v="0"/>
    <x v="0"/>
    <x v="273"/>
    <x v="693"/>
    <n v="0"/>
    <x v="0"/>
    <x v="0"/>
    <x v="3"/>
  </r>
  <r>
    <x v="0"/>
    <x v="4"/>
    <x v="4"/>
    <x v="0"/>
    <x v="0"/>
    <x v="273"/>
    <x v="693"/>
    <n v="0"/>
    <x v="0"/>
    <x v="0"/>
    <x v="3"/>
  </r>
  <r>
    <x v="0"/>
    <x v="0"/>
    <x v="0"/>
    <x v="0"/>
    <x v="0"/>
    <x v="274"/>
    <x v="694"/>
    <n v="0"/>
    <x v="0"/>
    <x v="0"/>
    <x v="3"/>
  </r>
  <r>
    <x v="0"/>
    <x v="1"/>
    <x v="1"/>
    <x v="0"/>
    <x v="0"/>
    <x v="274"/>
    <x v="694"/>
    <n v="0"/>
    <x v="0"/>
    <x v="0"/>
    <x v="3"/>
  </r>
  <r>
    <x v="0"/>
    <x v="2"/>
    <x v="2"/>
    <x v="0"/>
    <x v="0"/>
    <x v="274"/>
    <x v="694"/>
    <n v="0"/>
    <x v="0"/>
    <x v="0"/>
    <x v="3"/>
  </r>
  <r>
    <x v="0"/>
    <x v="3"/>
    <x v="3"/>
    <x v="0"/>
    <x v="0"/>
    <x v="274"/>
    <x v="694"/>
    <n v="0"/>
    <x v="0"/>
    <x v="0"/>
    <x v="3"/>
  </r>
  <r>
    <x v="0"/>
    <x v="4"/>
    <x v="4"/>
    <x v="0"/>
    <x v="0"/>
    <x v="274"/>
    <x v="694"/>
    <n v="0"/>
    <x v="0"/>
    <x v="0"/>
    <x v="3"/>
  </r>
  <r>
    <x v="0"/>
    <x v="0"/>
    <x v="0"/>
    <x v="0"/>
    <x v="0"/>
    <x v="275"/>
    <x v="695"/>
    <n v="0"/>
    <x v="0"/>
    <x v="0"/>
    <x v="3"/>
  </r>
  <r>
    <x v="0"/>
    <x v="1"/>
    <x v="1"/>
    <x v="0"/>
    <x v="0"/>
    <x v="275"/>
    <x v="695"/>
    <n v="0"/>
    <x v="0"/>
    <x v="0"/>
    <x v="3"/>
  </r>
  <r>
    <x v="0"/>
    <x v="2"/>
    <x v="2"/>
    <x v="0"/>
    <x v="0"/>
    <x v="275"/>
    <x v="695"/>
    <n v="0"/>
    <x v="0"/>
    <x v="0"/>
    <x v="3"/>
  </r>
  <r>
    <x v="0"/>
    <x v="3"/>
    <x v="3"/>
    <x v="0"/>
    <x v="0"/>
    <x v="275"/>
    <x v="695"/>
    <n v="0"/>
    <x v="0"/>
    <x v="0"/>
    <x v="3"/>
  </r>
  <r>
    <x v="0"/>
    <x v="4"/>
    <x v="4"/>
    <x v="0"/>
    <x v="0"/>
    <x v="275"/>
    <x v="695"/>
    <n v="0"/>
    <x v="0"/>
    <x v="0"/>
    <x v="3"/>
  </r>
  <r>
    <x v="0"/>
    <x v="0"/>
    <x v="0"/>
    <x v="0"/>
    <x v="0"/>
    <x v="276"/>
    <x v="696"/>
    <n v="0"/>
    <x v="0"/>
    <x v="0"/>
    <x v="3"/>
  </r>
  <r>
    <x v="0"/>
    <x v="1"/>
    <x v="1"/>
    <x v="0"/>
    <x v="0"/>
    <x v="276"/>
    <x v="696"/>
    <n v="0"/>
    <x v="0"/>
    <x v="0"/>
    <x v="3"/>
  </r>
  <r>
    <x v="0"/>
    <x v="2"/>
    <x v="2"/>
    <x v="0"/>
    <x v="0"/>
    <x v="276"/>
    <x v="696"/>
    <n v="0"/>
    <x v="0"/>
    <x v="0"/>
    <x v="3"/>
  </r>
  <r>
    <x v="0"/>
    <x v="3"/>
    <x v="3"/>
    <x v="0"/>
    <x v="0"/>
    <x v="276"/>
    <x v="696"/>
    <n v="0"/>
    <x v="0"/>
    <x v="0"/>
    <x v="3"/>
  </r>
  <r>
    <x v="0"/>
    <x v="4"/>
    <x v="4"/>
    <x v="0"/>
    <x v="0"/>
    <x v="276"/>
    <x v="696"/>
    <n v="0"/>
    <x v="0"/>
    <x v="0"/>
    <x v="3"/>
  </r>
  <r>
    <x v="0"/>
    <x v="0"/>
    <x v="0"/>
    <x v="0"/>
    <x v="0"/>
    <x v="277"/>
    <x v="697"/>
    <n v="0"/>
    <x v="0"/>
    <x v="0"/>
    <x v="3"/>
  </r>
  <r>
    <x v="0"/>
    <x v="1"/>
    <x v="1"/>
    <x v="0"/>
    <x v="0"/>
    <x v="277"/>
    <x v="697"/>
    <n v="0"/>
    <x v="0"/>
    <x v="0"/>
    <x v="3"/>
  </r>
  <r>
    <x v="0"/>
    <x v="2"/>
    <x v="2"/>
    <x v="0"/>
    <x v="0"/>
    <x v="277"/>
    <x v="697"/>
    <n v="0"/>
    <x v="0"/>
    <x v="0"/>
    <x v="3"/>
  </r>
  <r>
    <x v="0"/>
    <x v="3"/>
    <x v="3"/>
    <x v="0"/>
    <x v="0"/>
    <x v="277"/>
    <x v="697"/>
    <n v="0"/>
    <x v="0"/>
    <x v="0"/>
    <x v="3"/>
  </r>
  <r>
    <x v="0"/>
    <x v="4"/>
    <x v="4"/>
    <x v="0"/>
    <x v="0"/>
    <x v="277"/>
    <x v="697"/>
    <n v="0"/>
    <x v="0"/>
    <x v="0"/>
    <x v="3"/>
  </r>
  <r>
    <x v="0"/>
    <x v="0"/>
    <x v="0"/>
    <x v="0"/>
    <x v="0"/>
    <x v="278"/>
    <x v="698"/>
    <n v="0"/>
    <x v="0"/>
    <x v="0"/>
    <x v="3"/>
  </r>
  <r>
    <x v="0"/>
    <x v="1"/>
    <x v="1"/>
    <x v="0"/>
    <x v="0"/>
    <x v="278"/>
    <x v="698"/>
    <n v="0"/>
    <x v="0"/>
    <x v="0"/>
    <x v="3"/>
  </r>
  <r>
    <x v="0"/>
    <x v="2"/>
    <x v="2"/>
    <x v="0"/>
    <x v="0"/>
    <x v="278"/>
    <x v="698"/>
    <n v="0"/>
    <x v="0"/>
    <x v="0"/>
    <x v="3"/>
  </r>
  <r>
    <x v="0"/>
    <x v="3"/>
    <x v="3"/>
    <x v="0"/>
    <x v="0"/>
    <x v="278"/>
    <x v="698"/>
    <n v="0"/>
    <x v="0"/>
    <x v="0"/>
    <x v="3"/>
  </r>
  <r>
    <x v="0"/>
    <x v="4"/>
    <x v="4"/>
    <x v="0"/>
    <x v="0"/>
    <x v="278"/>
    <x v="698"/>
    <n v="0"/>
    <x v="0"/>
    <x v="0"/>
    <x v="3"/>
  </r>
  <r>
    <x v="0"/>
    <x v="0"/>
    <x v="0"/>
    <x v="0"/>
    <x v="0"/>
    <x v="166"/>
    <x v="699"/>
    <n v="0"/>
    <x v="0"/>
    <x v="0"/>
    <x v="3"/>
  </r>
  <r>
    <x v="0"/>
    <x v="1"/>
    <x v="1"/>
    <x v="0"/>
    <x v="0"/>
    <x v="166"/>
    <x v="699"/>
    <n v="0"/>
    <x v="0"/>
    <x v="0"/>
    <x v="3"/>
  </r>
  <r>
    <x v="0"/>
    <x v="2"/>
    <x v="2"/>
    <x v="0"/>
    <x v="0"/>
    <x v="166"/>
    <x v="699"/>
    <n v="0"/>
    <x v="0"/>
    <x v="0"/>
    <x v="3"/>
  </r>
  <r>
    <x v="0"/>
    <x v="3"/>
    <x v="3"/>
    <x v="0"/>
    <x v="0"/>
    <x v="166"/>
    <x v="699"/>
    <n v="0"/>
    <x v="0"/>
    <x v="0"/>
    <x v="3"/>
  </r>
  <r>
    <x v="0"/>
    <x v="4"/>
    <x v="4"/>
    <x v="0"/>
    <x v="0"/>
    <x v="166"/>
    <x v="699"/>
    <n v="0"/>
    <x v="0"/>
    <x v="0"/>
    <x v="3"/>
  </r>
  <r>
    <x v="0"/>
    <x v="0"/>
    <x v="0"/>
    <x v="0"/>
    <x v="0"/>
    <x v="169"/>
    <x v="700"/>
    <n v="0"/>
    <x v="0"/>
    <x v="0"/>
    <x v="3"/>
  </r>
  <r>
    <x v="0"/>
    <x v="1"/>
    <x v="1"/>
    <x v="0"/>
    <x v="0"/>
    <x v="169"/>
    <x v="700"/>
    <n v="0"/>
    <x v="0"/>
    <x v="0"/>
    <x v="3"/>
  </r>
  <r>
    <x v="0"/>
    <x v="2"/>
    <x v="2"/>
    <x v="0"/>
    <x v="0"/>
    <x v="169"/>
    <x v="700"/>
    <n v="5875327.75"/>
    <x v="0"/>
    <x v="0"/>
    <x v="3"/>
  </r>
  <r>
    <x v="0"/>
    <x v="3"/>
    <x v="3"/>
    <x v="0"/>
    <x v="0"/>
    <x v="169"/>
    <x v="700"/>
    <n v="0"/>
    <x v="0"/>
    <x v="0"/>
    <x v="3"/>
  </r>
  <r>
    <x v="0"/>
    <x v="4"/>
    <x v="4"/>
    <x v="0"/>
    <x v="0"/>
    <x v="169"/>
    <x v="700"/>
    <n v="5875327.75"/>
    <x v="0"/>
    <x v="0"/>
    <x v="3"/>
  </r>
  <r>
    <x v="0"/>
    <x v="0"/>
    <x v="0"/>
    <x v="0"/>
    <x v="0"/>
    <x v="224"/>
    <x v="701"/>
    <n v="0"/>
    <x v="0"/>
    <x v="0"/>
    <x v="3"/>
  </r>
  <r>
    <x v="0"/>
    <x v="1"/>
    <x v="1"/>
    <x v="0"/>
    <x v="0"/>
    <x v="224"/>
    <x v="701"/>
    <n v="0"/>
    <x v="0"/>
    <x v="0"/>
    <x v="3"/>
  </r>
  <r>
    <x v="0"/>
    <x v="2"/>
    <x v="2"/>
    <x v="0"/>
    <x v="0"/>
    <x v="224"/>
    <x v="701"/>
    <n v="39477199.829999998"/>
    <x v="0"/>
    <x v="0"/>
    <x v="3"/>
  </r>
  <r>
    <x v="0"/>
    <x v="3"/>
    <x v="3"/>
    <x v="0"/>
    <x v="0"/>
    <x v="224"/>
    <x v="701"/>
    <n v="0"/>
    <x v="0"/>
    <x v="0"/>
    <x v="3"/>
  </r>
  <r>
    <x v="0"/>
    <x v="4"/>
    <x v="4"/>
    <x v="0"/>
    <x v="0"/>
    <x v="224"/>
    <x v="701"/>
    <n v="39477199.829999998"/>
    <x v="0"/>
    <x v="0"/>
    <x v="3"/>
  </r>
  <r>
    <x v="0"/>
    <x v="0"/>
    <x v="0"/>
    <x v="0"/>
    <x v="0"/>
    <x v="229"/>
    <x v="702"/>
    <n v="0"/>
    <x v="0"/>
    <x v="0"/>
    <x v="3"/>
  </r>
  <r>
    <x v="0"/>
    <x v="1"/>
    <x v="1"/>
    <x v="0"/>
    <x v="0"/>
    <x v="229"/>
    <x v="702"/>
    <n v="0"/>
    <x v="0"/>
    <x v="0"/>
    <x v="3"/>
  </r>
  <r>
    <x v="0"/>
    <x v="2"/>
    <x v="2"/>
    <x v="0"/>
    <x v="0"/>
    <x v="229"/>
    <x v="702"/>
    <n v="0"/>
    <x v="0"/>
    <x v="0"/>
    <x v="3"/>
  </r>
  <r>
    <x v="0"/>
    <x v="3"/>
    <x v="3"/>
    <x v="0"/>
    <x v="0"/>
    <x v="229"/>
    <x v="702"/>
    <n v="0"/>
    <x v="0"/>
    <x v="0"/>
    <x v="3"/>
  </r>
  <r>
    <x v="0"/>
    <x v="4"/>
    <x v="4"/>
    <x v="0"/>
    <x v="0"/>
    <x v="229"/>
    <x v="702"/>
    <n v="0"/>
    <x v="0"/>
    <x v="0"/>
    <x v="3"/>
  </r>
  <r>
    <x v="0"/>
    <x v="0"/>
    <x v="0"/>
    <x v="0"/>
    <x v="0"/>
    <x v="237"/>
    <x v="703"/>
    <n v="0"/>
    <x v="0"/>
    <x v="0"/>
    <x v="3"/>
  </r>
  <r>
    <x v="0"/>
    <x v="1"/>
    <x v="1"/>
    <x v="0"/>
    <x v="0"/>
    <x v="237"/>
    <x v="703"/>
    <n v="0"/>
    <x v="0"/>
    <x v="0"/>
    <x v="3"/>
  </r>
  <r>
    <x v="0"/>
    <x v="2"/>
    <x v="2"/>
    <x v="0"/>
    <x v="0"/>
    <x v="237"/>
    <x v="703"/>
    <n v="1261271.22"/>
    <x v="0"/>
    <x v="0"/>
    <x v="3"/>
  </r>
  <r>
    <x v="0"/>
    <x v="3"/>
    <x v="3"/>
    <x v="0"/>
    <x v="0"/>
    <x v="237"/>
    <x v="703"/>
    <n v="0"/>
    <x v="0"/>
    <x v="0"/>
    <x v="3"/>
  </r>
  <r>
    <x v="0"/>
    <x v="4"/>
    <x v="4"/>
    <x v="0"/>
    <x v="0"/>
    <x v="237"/>
    <x v="703"/>
    <n v="1261271.22"/>
    <x v="0"/>
    <x v="0"/>
    <x v="3"/>
  </r>
  <r>
    <x v="0"/>
    <x v="0"/>
    <x v="0"/>
    <x v="0"/>
    <x v="0"/>
    <x v="244"/>
    <x v="704"/>
    <n v="0"/>
    <x v="0"/>
    <x v="0"/>
    <x v="3"/>
  </r>
  <r>
    <x v="0"/>
    <x v="1"/>
    <x v="1"/>
    <x v="0"/>
    <x v="0"/>
    <x v="244"/>
    <x v="704"/>
    <n v="0"/>
    <x v="0"/>
    <x v="0"/>
    <x v="3"/>
  </r>
  <r>
    <x v="0"/>
    <x v="2"/>
    <x v="2"/>
    <x v="0"/>
    <x v="0"/>
    <x v="244"/>
    <x v="704"/>
    <n v="5465950"/>
    <x v="0"/>
    <x v="0"/>
    <x v="3"/>
  </r>
  <r>
    <x v="0"/>
    <x v="3"/>
    <x v="3"/>
    <x v="0"/>
    <x v="0"/>
    <x v="244"/>
    <x v="704"/>
    <n v="0"/>
    <x v="0"/>
    <x v="0"/>
    <x v="3"/>
  </r>
  <r>
    <x v="0"/>
    <x v="4"/>
    <x v="4"/>
    <x v="0"/>
    <x v="0"/>
    <x v="244"/>
    <x v="704"/>
    <n v="5465950"/>
    <x v="0"/>
    <x v="0"/>
    <x v="3"/>
  </r>
  <r>
    <x v="0"/>
    <x v="0"/>
    <x v="0"/>
    <x v="0"/>
    <x v="0"/>
    <x v="254"/>
    <x v="705"/>
    <n v="0"/>
    <x v="0"/>
    <x v="0"/>
    <x v="3"/>
  </r>
  <r>
    <x v="0"/>
    <x v="1"/>
    <x v="1"/>
    <x v="0"/>
    <x v="0"/>
    <x v="254"/>
    <x v="705"/>
    <n v="0"/>
    <x v="0"/>
    <x v="0"/>
    <x v="3"/>
  </r>
  <r>
    <x v="0"/>
    <x v="2"/>
    <x v="2"/>
    <x v="0"/>
    <x v="0"/>
    <x v="254"/>
    <x v="705"/>
    <n v="0"/>
    <x v="0"/>
    <x v="0"/>
    <x v="3"/>
  </r>
  <r>
    <x v="0"/>
    <x v="3"/>
    <x v="3"/>
    <x v="0"/>
    <x v="0"/>
    <x v="254"/>
    <x v="705"/>
    <n v="0"/>
    <x v="0"/>
    <x v="0"/>
    <x v="3"/>
  </r>
  <r>
    <x v="0"/>
    <x v="4"/>
    <x v="4"/>
    <x v="0"/>
    <x v="0"/>
    <x v="254"/>
    <x v="705"/>
    <n v="0"/>
    <x v="0"/>
    <x v="0"/>
    <x v="3"/>
  </r>
  <r>
    <x v="0"/>
    <x v="0"/>
    <x v="0"/>
    <x v="0"/>
    <x v="0"/>
    <x v="264"/>
    <x v="706"/>
    <n v="0"/>
    <x v="0"/>
    <x v="0"/>
    <x v="3"/>
  </r>
  <r>
    <x v="0"/>
    <x v="1"/>
    <x v="1"/>
    <x v="0"/>
    <x v="0"/>
    <x v="264"/>
    <x v="706"/>
    <n v="0"/>
    <x v="0"/>
    <x v="0"/>
    <x v="3"/>
  </r>
  <r>
    <x v="0"/>
    <x v="2"/>
    <x v="2"/>
    <x v="0"/>
    <x v="0"/>
    <x v="264"/>
    <x v="706"/>
    <n v="12542"/>
    <x v="0"/>
    <x v="0"/>
    <x v="3"/>
  </r>
  <r>
    <x v="0"/>
    <x v="3"/>
    <x v="3"/>
    <x v="0"/>
    <x v="0"/>
    <x v="264"/>
    <x v="706"/>
    <n v="0"/>
    <x v="0"/>
    <x v="0"/>
    <x v="3"/>
  </r>
  <r>
    <x v="0"/>
    <x v="4"/>
    <x v="4"/>
    <x v="0"/>
    <x v="0"/>
    <x v="264"/>
    <x v="706"/>
    <n v="12542"/>
    <x v="0"/>
    <x v="0"/>
    <x v="3"/>
  </r>
  <r>
    <x v="0"/>
    <x v="0"/>
    <x v="0"/>
    <x v="0"/>
    <x v="0"/>
    <x v="265"/>
    <x v="707"/>
    <n v="0"/>
    <x v="0"/>
    <x v="0"/>
    <x v="3"/>
  </r>
  <r>
    <x v="0"/>
    <x v="1"/>
    <x v="1"/>
    <x v="0"/>
    <x v="0"/>
    <x v="265"/>
    <x v="707"/>
    <n v="0"/>
    <x v="0"/>
    <x v="0"/>
    <x v="3"/>
  </r>
  <r>
    <x v="0"/>
    <x v="2"/>
    <x v="2"/>
    <x v="0"/>
    <x v="0"/>
    <x v="265"/>
    <x v="707"/>
    <n v="0"/>
    <x v="0"/>
    <x v="0"/>
    <x v="3"/>
  </r>
  <r>
    <x v="0"/>
    <x v="3"/>
    <x v="3"/>
    <x v="0"/>
    <x v="0"/>
    <x v="265"/>
    <x v="707"/>
    <n v="0"/>
    <x v="0"/>
    <x v="0"/>
    <x v="3"/>
  </r>
  <r>
    <x v="0"/>
    <x v="4"/>
    <x v="4"/>
    <x v="0"/>
    <x v="0"/>
    <x v="265"/>
    <x v="707"/>
    <n v="0"/>
    <x v="0"/>
    <x v="0"/>
    <x v="3"/>
  </r>
  <r>
    <x v="0"/>
    <x v="0"/>
    <x v="0"/>
    <x v="0"/>
    <x v="0"/>
    <x v="1"/>
    <x v="708"/>
    <n v="0"/>
    <x v="0"/>
    <x v="0"/>
    <x v="3"/>
  </r>
  <r>
    <x v="0"/>
    <x v="1"/>
    <x v="1"/>
    <x v="0"/>
    <x v="0"/>
    <x v="1"/>
    <x v="708"/>
    <n v="0"/>
    <x v="0"/>
    <x v="0"/>
    <x v="3"/>
  </r>
  <r>
    <x v="0"/>
    <x v="2"/>
    <x v="2"/>
    <x v="0"/>
    <x v="0"/>
    <x v="1"/>
    <x v="708"/>
    <n v="0"/>
    <x v="0"/>
    <x v="0"/>
    <x v="3"/>
  </r>
  <r>
    <x v="0"/>
    <x v="3"/>
    <x v="3"/>
    <x v="0"/>
    <x v="0"/>
    <x v="1"/>
    <x v="708"/>
    <n v="0"/>
    <x v="0"/>
    <x v="0"/>
    <x v="3"/>
  </r>
  <r>
    <x v="0"/>
    <x v="4"/>
    <x v="4"/>
    <x v="0"/>
    <x v="0"/>
    <x v="1"/>
    <x v="708"/>
    <n v="0"/>
    <x v="0"/>
    <x v="0"/>
    <x v="3"/>
  </r>
  <r>
    <x v="0"/>
    <x v="0"/>
    <x v="0"/>
    <x v="0"/>
    <x v="0"/>
    <x v="279"/>
    <x v="709"/>
    <n v="9272312.3699999992"/>
    <x v="0"/>
    <x v="0"/>
    <x v="3"/>
  </r>
  <r>
    <x v="0"/>
    <x v="1"/>
    <x v="1"/>
    <x v="0"/>
    <x v="0"/>
    <x v="279"/>
    <x v="709"/>
    <n v="762791.74"/>
    <x v="0"/>
    <x v="0"/>
    <x v="3"/>
  </r>
  <r>
    <x v="0"/>
    <x v="2"/>
    <x v="2"/>
    <x v="0"/>
    <x v="0"/>
    <x v="279"/>
    <x v="709"/>
    <n v="35345577.890000001"/>
    <x v="0"/>
    <x v="0"/>
    <x v="3"/>
  </r>
  <r>
    <x v="0"/>
    <x v="3"/>
    <x v="3"/>
    <x v="0"/>
    <x v="0"/>
    <x v="279"/>
    <x v="709"/>
    <n v="423228.1"/>
    <x v="0"/>
    <x v="0"/>
    <x v="3"/>
  </r>
  <r>
    <x v="0"/>
    <x v="4"/>
    <x v="4"/>
    <x v="0"/>
    <x v="0"/>
    <x v="279"/>
    <x v="709"/>
    <n v="45803910.100000001"/>
    <x v="0"/>
    <x v="0"/>
    <x v="3"/>
  </r>
  <r>
    <x v="0"/>
    <x v="0"/>
    <x v="0"/>
    <x v="0"/>
    <x v="0"/>
    <x v="280"/>
    <x v="710"/>
    <n v="0"/>
    <x v="0"/>
    <x v="0"/>
    <x v="2"/>
  </r>
  <r>
    <x v="0"/>
    <x v="1"/>
    <x v="1"/>
    <x v="0"/>
    <x v="0"/>
    <x v="280"/>
    <x v="710"/>
    <n v="0"/>
    <x v="0"/>
    <x v="0"/>
    <x v="2"/>
  </r>
  <r>
    <x v="0"/>
    <x v="2"/>
    <x v="2"/>
    <x v="0"/>
    <x v="0"/>
    <x v="280"/>
    <x v="710"/>
    <n v="0"/>
    <x v="0"/>
    <x v="0"/>
    <x v="2"/>
  </r>
  <r>
    <x v="0"/>
    <x v="3"/>
    <x v="3"/>
    <x v="0"/>
    <x v="0"/>
    <x v="280"/>
    <x v="710"/>
    <n v="0"/>
    <x v="0"/>
    <x v="0"/>
    <x v="2"/>
  </r>
  <r>
    <x v="0"/>
    <x v="4"/>
    <x v="4"/>
    <x v="0"/>
    <x v="0"/>
    <x v="280"/>
    <x v="710"/>
    <n v="0"/>
    <x v="0"/>
    <x v="0"/>
    <x v="2"/>
  </r>
  <r>
    <x v="0"/>
    <x v="0"/>
    <x v="0"/>
    <x v="0"/>
    <x v="0"/>
    <x v="281"/>
    <x v="711"/>
    <n v="0"/>
    <x v="0"/>
    <x v="0"/>
    <x v="3"/>
  </r>
  <r>
    <x v="0"/>
    <x v="1"/>
    <x v="1"/>
    <x v="0"/>
    <x v="0"/>
    <x v="281"/>
    <x v="711"/>
    <n v="0"/>
    <x v="0"/>
    <x v="0"/>
    <x v="3"/>
  </r>
  <r>
    <x v="0"/>
    <x v="2"/>
    <x v="2"/>
    <x v="0"/>
    <x v="0"/>
    <x v="281"/>
    <x v="711"/>
    <n v="0"/>
    <x v="0"/>
    <x v="0"/>
    <x v="3"/>
  </r>
  <r>
    <x v="0"/>
    <x v="3"/>
    <x v="3"/>
    <x v="0"/>
    <x v="0"/>
    <x v="281"/>
    <x v="711"/>
    <n v="0"/>
    <x v="0"/>
    <x v="0"/>
    <x v="3"/>
  </r>
  <r>
    <x v="0"/>
    <x v="4"/>
    <x v="4"/>
    <x v="0"/>
    <x v="0"/>
    <x v="281"/>
    <x v="711"/>
    <n v="0"/>
    <x v="0"/>
    <x v="0"/>
    <x v="3"/>
  </r>
  <r>
    <x v="0"/>
    <x v="0"/>
    <x v="0"/>
    <x v="0"/>
    <x v="0"/>
    <x v="282"/>
    <x v="712"/>
    <n v="0"/>
    <x v="0"/>
    <x v="0"/>
    <x v="3"/>
  </r>
  <r>
    <x v="0"/>
    <x v="1"/>
    <x v="1"/>
    <x v="0"/>
    <x v="0"/>
    <x v="282"/>
    <x v="712"/>
    <n v="0"/>
    <x v="0"/>
    <x v="0"/>
    <x v="3"/>
  </r>
  <r>
    <x v="0"/>
    <x v="2"/>
    <x v="2"/>
    <x v="0"/>
    <x v="0"/>
    <x v="282"/>
    <x v="712"/>
    <n v="0"/>
    <x v="0"/>
    <x v="0"/>
    <x v="3"/>
  </r>
  <r>
    <x v="0"/>
    <x v="3"/>
    <x v="3"/>
    <x v="0"/>
    <x v="0"/>
    <x v="282"/>
    <x v="712"/>
    <n v="0"/>
    <x v="0"/>
    <x v="0"/>
    <x v="3"/>
  </r>
  <r>
    <x v="0"/>
    <x v="4"/>
    <x v="4"/>
    <x v="0"/>
    <x v="0"/>
    <x v="282"/>
    <x v="712"/>
    <n v="0"/>
    <x v="0"/>
    <x v="0"/>
    <x v="3"/>
  </r>
  <r>
    <x v="0"/>
    <x v="0"/>
    <x v="0"/>
    <x v="0"/>
    <x v="0"/>
    <x v="283"/>
    <x v="713"/>
    <n v="846676.36"/>
    <x v="0"/>
    <x v="0"/>
    <x v="2"/>
  </r>
  <r>
    <x v="0"/>
    <x v="1"/>
    <x v="1"/>
    <x v="0"/>
    <x v="0"/>
    <x v="283"/>
    <x v="713"/>
    <n v="131477.96"/>
    <x v="0"/>
    <x v="0"/>
    <x v="2"/>
  </r>
  <r>
    <x v="0"/>
    <x v="2"/>
    <x v="2"/>
    <x v="0"/>
    <x v="0"/>
    <x v="283"/>
    <x v="713"/>
    <n v="18357518.199999999"/>
    <x v="0"/>
    <x v="0"/>
    <x v="2"/>
  </r>
  <r>
    <x v="0"/>
    <x v="3"/>
    <x v="3"/>
    <x v="0"/>
    <x v="0"/>
    <x v="283"/>
    <x v="713"/>
    <n v="296389.88"/>
    <x v="0"/>
    <x v="0"/>
    <x v="2"/>
  </r>
  <r>
    <x v="0"/>
    <x v="4"/>
    <x v="4"/>
    <x v="0"/>
    <x v="0"/>
    <x v="283"/>
    <x v="713"/>
    <n v="19632062.399999999"/>
    <x v="0"/>
    <x v="0"/>
    <x v="2"/>
  </r>
  <r>
    <x v="0"/>
    <x v="0"/>
    <x v="0"/>
    <x v="0"/>
    <x v="0"/>
    <x v="195"/>
    <x v="714"/>
    <n v="0"/>
    <x v="0"/>
    <x v="0"/>
    <x v="3"/>
  </r>
  <r>
    <x v="0"/>
    <x v="1"/>
    <x v="1"/>
    <x v="0"/>
    <x v="0"/>
    <x v="195"/>
    <x v="714"/>
    <n v="0"/>
    <x v="0"/>
    <x v="0"/>
    <x v="3"/>
  </r>
  <r>
    <x v="0"/>
    <x v="2"/>
    <x v="2"/>
    <x v="0"/>
    <x v="0"/>
    <x v="195"/>
    <x v="714"/>
    <n v="0"/>
    <x v="0"/>
    <x v="0"/>
    <x v="3"/>
  </r>
  <r>
    <x v="0"/>
    <x v="3"/>
    <x v="3"/>
    <x v="0"/>
    <x v="0"/>
    <x v="195"/>
    <x v="714"/>
    <n v="0"/>
    <x v="0"/>
    <x v="0"/>
    <x v="3"/>
  </r>
  <r>
    <x v="0"/>
    <x v="4"/>
    <x v="4"/>
    <x v="0"/>
    <x v="0"/>
    <x v="195"/>
    <x v="714"/>
    <n v="0"/>
    <x v="0"/>
    <x v="0"/>
    <x v="3"/>
  </r>
  <r>
    <x v="0"/>
    <x v="0"/>
    <x v="0"/>
    <x v="0"/>
    <x v="0"/>
    <x v="284"/>
    <x v="715"/>
    <n v="137947.26999999999"/>
    <x v="0"/>
    <x v="0"/>
    <x v="3"/>
  </r>
  <r>
    <x v="0"/>
    <x v="1"/>
    <x v="1"/>
    <x v="0"/>
    <x v="0"/>
    <x v="284"/>
    <x v="715"/>
    <n v="124796.51"/>
    <x v="0"/>
    <x v="0"/>
    <x v="3"/>
  </r>
  <r>
    <x v="0"/>
    <x v="2"/>
    <x v="2"/>
    <x v="0"/>
    <x v="0"/>
    <x v="284"/>
    <x v="715"/>
    <n v="16235488.529999999"/>
    <x v="0"/>
    <x v="0"/>
    <x v="3"/>
  </r>
  <r>
    <x v="0"/>
    <x v="3"/>
    <x v="3"/>
    <x v="0"/>
    <x v="0"/>
    <x v="284"/>
    <x v="715"/>
    <n v="296389.88"/>
    <x v="0"/>
    <x v="0"/>
    <x v="3"/>
  </r>
  <r>
    <x v="0"/>
    <x v="4"/>
    <x v="4"/>
    <x v="0"/>
    <x v="0"/>
    <x v="284"/>
    <x v="715"/>
    <n v="16794622.190000001"/>
    <x v="0"/>
    <x v="0"/>
    <x v="3"/>
  </r>
  <r>
    <x v="0"/>
    <x v="0"/>
    <x v="0"/>
    <x v="0"/>
    <x v="0"/>
    <x v="68"/>
    <x v="716"/>
    <n v="915317.3"/>
    <x v="0"/>
    <x v="0"/>
    <x v="3"/>
  </r>
  <r>
    <x v="0"/>
    <x v="1"/>
    <x v="1"/>
    <x v="0"/>
    <x v="0"/>
    <x v="68"/>
    <x v="716"/>
    <n v="6681.45"/>
    <x v="0"/>
    <x v="0"/>
    <x v="3"/>
  </r>
  <r>
    <x v="0"/>
    <x v="2"/>
    <x v="2"/>
    <x v="0"/>
    <x v="0"/>
    <x v="68"/>
    <x v="716"/>
    <n v="3093889.61"/>
    <x v="0"/>
    <x v="0"/>
    <x v="3"/>
  </r>
  <r>
    <x v="0"/>
    <x v="3"/>
    <x v="3"/>
    <x v="0"/>
    <x v="0"/>
    <x v="68"/>
    <x v="716"/>
    <n v="0"/>
    <x v="0"/>
    <x v="0"/>
    <x v="3"/>
  </r>
  <r>
    <x v="0"/>
    <x v="4"/>
    <x v="4"/>
    <x v="0"/>
    <x v="0"/>
    <x v="68"/>
    <x v="716"/>
    <n v="4015888.3600000003"/>
    <x v="0"/>
    <x v="0"/>
    <x v="3"/>
  </r>
  <r>
    <x v="0"/>
    <x v="0"/>
    <x v="0"/>
    <x v="0"/>
    <x v="0"/>
    <x v="285"/>
    <x v="717"/>
    <n v="-206588.21"/>
    <x v="0"/>
    <x v="0"/>
    <x v="3"/>
  </r>
  <r>
    <x v="0"/>
    <x v="1"/>
    <x v="1"/>
    <x v="0"/>
    <x v="0"/>
    <x v="285"/>
    <x v="717"/>
    <n v="0"/>
    <x v="0"/>
    <x v="0"/>
    <x v="3"/>
  </r>
  <r>
    <x v="0"/>
    <x v="2"/>
    <x v="2"/>
    <x v="0"/>
    <x v="0"/>
    <x v="285"/>
    <x v="717"/>
    <n v="-971859.94"/>
    <x v="0"/>
    <x v="0"/>
    <x v="3"/>
  </r>
  <r>
    <x v="0"/>
    <x v="3"/>
    <x v="3"/>
    <x v="0"/>
    <x v="0"/>
    <x v="285"/>
    <x v="717"/>
    <n v="0"/>
    <x v="0"/>
    <x v="0"/>
    <x v="3"/>
  </r>
  <r>
    <x v="0"/>
    <x v="4"/>
    <x v="4"/>
    <x v="0"/>
    <x v="0"/>
    <x v="285"/>
    <x v="717"/>
    <n v="-1178448.1499999999"/>
    <x v="0"/>
    <x v="0"/>
    <x v="3"/>
  </r>
  <r>
    <x v="0"/>
    <x v="0"/>
    <x v="0"/>
    <x v="0"/>
    <x v="0"/>
    <x v="286"/>
    <x v="718"/>
    <n v="368171.36"/>
    <x v="0"/>
    <x v="0"/>
    <x v="2"/>
  </r>
  <r>
    <x v="0"/>
    <x v="1"/>
    <x v="1"/>
    <x v="0"/>
    <x v="0"/>
    <x v="286"/>
    <x v="718"/>
    <n v="89026.19"/>
    <x v="0"/>
    <x v="0"/>
    <x v="2"/>
  </r>
  <r>
    <x v="0"/>
    <x v="2"/>
    <x v="2"/>
    <x v="0"/>
    <x v="0"/>
    <x v="286"/>
    <x v="718"/>
    <n v="2647396.34"/>
    <x v="0"/>
    <x v="0"/>
    <x v="2"/>
  </r>
  <r>
    <x v="0"/>
    <x v="3"/>
    <x v="3"/>
    <x v="0"/>
    <x v="0"/>
    <x v="286"/>
    <x v="718"/>
    <n v="246157.73"/>
    <x v="0"/>
    <x v="0"/>
    <x v="2"/>
  </r>
  <r>
    <x v="0"/>
    <x v="4"/>
    <x v="4"/>
    <x v="0"/>
    <x v="0"/>
    <x v="286"/>
    <x v="718"/>
    <n v="3350751.62"/>
    <x v="0"/>
    <x v="0"/>
    <x v="2"/>
  </r>
  <r>
    <x v="0"/>
    <x v="0"/>
    <x v="0"/>
    <x v="0"/>
    <x v="0"/>
    <x v="287"/>
    <x v="719"/>
    <n v="0"/>
    <x v="0"/>
    <x v="0"/>
    <x v="3"/>
  </r>
  <r>
    <x v="0"/>
    <x v="1"/>
    <x v="1"/>
    <x v="0"/>
    <x v="0"/>
    <x v="287"/>
    <x v="719"/>
    <n v="0"/>
    <x v="0"/>
    <x v="0"/>
    <x v="3"/>
  </r>
  <r>
    <x v="0"/>
    <x v="2"/>
    <x v="2"/>
    <x v="0"/>
    <x v="0"/>
    <x v="287"/>
    <x v="719"/>
    <n v="0"/>
    <x v="0"/>
    <x v="0"/>
    <x v="3"/>
  </r>
  <r>
    <x v="0"/>
    <x v="3"/>
    <x v="3"/>
    <x v="0"/>
    <x v="0"/>
    <x v="287"/>
    <x v="719"/>
    <n v="0"/>
    <x v="0"/>
    <x v="0"/>
    <x v="3"/>
  </r>
  <r>
    <x v="0"/>
    <x v="4"/>
    <x v="4"/>
    <x v="0"/>
    <x v="0"/>
    <x v="287"/>
    <x v="719"/>
    <n v="0"/>
    <x v="0"/>
    <x v="0"/>
    <x v="3"/>
  </r>
  <r>
    <x v="0"/>
    <x v="0"/>
    <x v="0"/>
    <x v="0"/>
    <x v="0"/>
    <x v="288"/>
    <x v="720"/>
    <n v="0"/>
    <x v="0"/>
    <x v="0"/>
    <x v="3"/>
  </r>
  <r>
    <x v="0"/>
    <x v="1"/>
    <x v="1"/>
    <x v="0"/>
    <x v="0"/>
    <x v="288"/>
    <x v="720"/>
    <n v="0"/>
    <x v="0"/>
    <x v="0"/>
    <x v="3"/>
  </r>
  <r>
    <x v="0"/>
    <x v="2"/>
    <x v="2"/>
    <x v="0"/>
    <x v="0"/>
    <x v="288"/>
    <x v="720"/>
    <n v="0"/>
    <x v="0"/>
    <x v="0"/>
    <x v="3"/>
  </r>
  <r>
    <x v="0"/>
    <x v="3"/>
    <x v="3"/>
    <x v="0"/>
    <x v="0"/>
    <x v="288"/>
    <x v="720"/>
    <n v="0"/>
    <x v="0"/>
    <x v="0"/>
    <x v="3"/>
  </r>
  <r>
    <x v="0"/>
    <x v="4"/>
    <x v="4"/>
    <x v="0"/>
    <x v="0"/>
    <x v="288"/>
    <x v="720"/>
    <n v="0"/>
    <x v="0"/>
    <x v="0"/>
    <x v="3"/>
  </r>
  <r>
    <x v="0"/>
    <x v="0"/>
    <x v="0"/>
    <x v="0"/>
    <x v="0"/>
    <x v="289"/>
    <x v="721"/>
    <n v="0"/>
    <x v="0"/>
    <x v="0"/>
    <x v="3"/>
  </r>
  <r>
    <x v="0"/>
    <x v="1"/>
    <x v="1"/>
    <x v="0"/>
    <x v="0"/>
    <x v="289"/>
    <x v="721"/>
    <n v="0"/>
    <x v="0"/>
    <x v="0"/>
    <x v="3"/>
  </r>
  <r>
    <x v="0"/>
    <x v="2"/>
    <x v="2"/>
    <x v="0"/>
    <x v="0"/>
    <x v="289"/>
    <x v="721"/>
    <n v="0"/>
    <x v="0"/>
    <x v="0"/>
    <x v="3"/>
  </r>
  <r>
    <x v="0"/>
    <x v="3"/>
    <x v="3"/>
    <x v="0"/>
    <x v="0"/>
    <x v="289"/>
    <x v="721"/>
    <n v="0"/>
    <x v="0"/>
    <x v="0"/>
    <x v="3"/>
  </r>
  <r>
    <x v="0"/>
    <x v="4"/>
    <x v="4"/>
    <x v="0"/>
    <x v="0"/>
    <x v="289"/>
    <x v="721"/>
    <n v="0"/>
    <x v="0"/>
    <x v="0"/>
    <x v="3"/>
  </r>
  <r>
    <x v="0"/>
    <x v="0"/>
    <x v="0"/>
    <x v="0"/>
    <x v="0"/>
    <x v="290"/>
    <x v="722"/>
    <n v="281582.2"/>
    <x v="0"/>
    <x v="0"/>
    <x v="3"/>
  </r>
  <r>
    <x v="0"/>
    <x v="1"/>
    <x v="1"/>
    <x v="0"/>
    <x v="0"/>
    <x v="290"/>
    <x v="722"/>
    <n v="342137.13"/>
    <x v="0"/>
    <x v="0"/>
    <x v="3"/>
  </r>
  <r>
    <x v="0"/>
    <x v="2"/>
    <x v="2"/>
    <x v="0"/>
    <x v="0"/>
    <x v="290"/>
    <x v="722"/>
    <n v="3211775.66"/>
    <x v="0"/>
    <x v="0"/>
    <x v="3"/>
  </r>
  <r>
    <x v="0"/>
    <x v="3"/>
    <x v="3"/>
    <x v="0"/>
    <x v="0"/>
    <x v="290"/>
    <x v="722"/>
    <n v="309109.39"/>
    <x v="0"/>
    <x v="0"/>
    <x v="3"/>
  </r>
  <r>
    <x v="0"/>
    <x v="4"/>
    <x v="4"/>
    <x v="0"/>
    <x v="0"/>
    <x v="290"/>
    <x v="722"/>
    <n v="4144604.38"/>
    <x v="0"/>
    <x v="0"/>
    <x v="3"/>
  </r>
  <r>
    <x v="0"/>
    <x v="0"/>
    <x v="0"/>
    <x v="0"/>
    <x v="0"/>
    <x v="291"/>
    <x v="723"/>
    <n v="513163.08"/>
    <x v="0"/>
    <x v="0"/>
    <x v="3"/>
  </r>
  <r>
    <x v="0"/>
    <x v="1"/>
    <x v="1"/>
    <x v="0"/>
    <x v="0"/>
    <x v="291"/>
    <x v="723"/>
    <n v="139951.57"/>
    <x v="0"/>
    <x v="0"/>
    <x v="3"/>
  </r>
  <r>
    <x v="0"/>
    <x v="2"/>
    <x v="2"/>
    <x v="0"/>
    <x v="0"/>
    <x v="291"/>
    <x v="723"/>
    <n v="1880872.4"/>
    <x v="0"/>
    <x v="0"/>
    <x v="3"/>
  </r>
  <r>
    <x v="0"/>
    <x v="3"/>
    <x v="3"/>
    <x v="0"/>
    <x v="0"/>
    <x v="291"/>
    <x v="723"/>
    <n v="109807.5"/>
    <x v="0"/>
    <x v="0"/>
    <x v="3"/>
  </r>
  <r>
    <x v="0"/>
    <x v="4"/>
    <x v="4"/>
    <x v="0"/>
    <x v="0"/>
    <x v="291"/>
    <x v="723"/>
    <n v="2643794.5499999998"/>
    <x v="0"/>
    <x v="0"/>
    <x v="3"/>
  </r>
  <r>
    <x v="0"/>
    <x v="0"/>
    <x v="0"/>
    <x v="0"/>
    <x v="0"/>
    <x v="292"/>
    <x v="724"/>
    <n v="0"/>
    <x v="0"/>
    <x v="0"/>
    <x v="3"/>
  </r>
  <r>
    <x v="0"/>
    <x v="1"/>
    <x v="1"/>
    <x v="0"/>
    <x v="0"/>
    <x v="292"/>
    <x v="724"/>
    <n v="0"/>
    <x v="0"/>
    <x v="0"/>
    <x v="3"/>
  </r>
  <r>
    <x v="0"/>
    <x v="2"/>
    <x v="2"/>
    <x v="0"/>
    <x v="0"/>
    <x v="292"/>
    <x v="724"/>
    <n v="0"/>
    <x v="0"/>
    <x v="0"/>
    <x v="3"/>
  </r>
  <r>
    <x v="0"/>
    <x v="3"/>
    <x v="3"/>
    <x v="0"/>
    <x v="0"/>
    <x v="292"/>
    <x v="724"/>
    <n v="0"/>
    <x v="0"/>
    <x v="0"/>
    <x v="3"/>
  </r>
  <r>
    <x v="0"/>
    <x v="4"/>
    <x v="4"/>
    <x v="0"/>
    <x v="0"/>
    <x v="292"/>
    <x v="724"/>
    <n v="0"/>
    <x v="0"/>
    <x v="0"/>
    <x v="3"/>
  </r>
  <r>
    <x v="0"/>
    <x v="0"/>
    <x v="0"/>
    <x v="0"/>
    <x v="0"/>
    <x v="68"/>
    <x v="725"/>
    <n v="0"/>
    <x v="0"/>
    <x v="0"/>
    <x v="3"/>
  </r>
  <r>
    <x v="0"/>
    <x v="1"/>
    <x v="1"/>
    <x v="0"/>
    <x v="0"/>
    <x v="68"/>
    <x v="725"/>
    <n v="0"/>
    <x v="0"/>
    <x v="0"/>
    <x v="3"/>
  </r>
  <r>
    <x v="0"/>
    <x v="2"/>
    <x v="2"/>
    <x v="0"/>
    <x v="0"/>
    <x v="68"/>
    <x v="725"/>
    <n v="1328948.42"/>
    <x v="0"/>
    <x v="0"/>
    <x v="3"/>
  </r>
  <r>
    <x v="0"/>
    <x v="3"/>
    <x v="3"/>
    <x v="0"/>
    <x v="0"/>
    <x v="68"/>
    <x v="725"/>
    <n v="70993.850000000006"/>
    <x v="0"/>
    <x v="0"/>
    <x v="3"/>
  </r>
  <r>
    <x v="0"/>
    <x v="4"/>
    <x v="4"/>
    <x v="0"/>
    <x v="0"/>
    <x v="68"/>
    <x v="725"/>
    <n v="1399942.27"/>
    <x v="0"/>
    <x v="0"/>
    <x v="3"/>
  </r>
  <r>
    <x v="0"/>
    <x v="0"/>
    <x v="0"/>
    <x v="0"/>
    <x v="0"/>
    <x v="293"/>
    <x v="726"/>
    <n v="-426573.92"/>
    <x v="0"/>
    <x v="0"/>
    <x v="3"/>
  </r>
  <r>
    <x v="0"/>
    <x v="1"/>
    <x v="1"/>
    <x v="0"/>
    <x v="0"/>
    <x v="293"/>
    <x v="726"/>
    <n v="-393062.51"/>
    <x v="0"/>
    <x v="0"/>
    <x v="3"/>
  </r>
  <r>
    <x v="0"/>
    <x v="2"/>
    <x v="2"/>
    <x v="0"/>
    <x v="0"/>
    <x v="293"/>
    <x v="726"/>
    <n v="-3774200.14"/>
    <x v="0"/>
    <x v="0"/>
    <x v="3"/>
  </r>
  <r>
    <x v="0"/>
    <x v="3"/>
    <x v="3"/>
    <x v="0"/>
    <x v="0"/>
    <x v="293"/>
    <x v="726"/>
    <n v="-243753.01"/>
    <x v="0"/>
    <x v="0"/>
    <x v="3"/>
  </r>
  <r>
    <x v="0"/>
    <x v="4"/>
    <x v="4"/>
    <x v="0"/>
    <x v="0"/>
    <x v="293"/>
    <x v="726"/>
    <n v="-4837589.58"/>
    <x v="0"/>
    <x v="0"/>
    <x v="3"/>
  </r>
  <r>
    <x v="0"/>
    <x v="0"/>
    <x v="0"/>
    <x v="0"/>
    <x v="0"/>
    <x v="294"/>
    <x v="727"/>
    <n v="123266.8"/>
    <x v="0"/>
    <x v="0"/>
    <x v="2"/>
  </r>
  <r>
    <x v="0"/>
    <x v="1"/>
    <x v="1"/>
    <x v="0"/>
    <x v="0"/>
    <x v="294"/>
    <x v="727"/>
    <n v="29709.360000000001"/>
    <x v="0"/>
    <x v="0"/>
    <x v="2"/>
  </r>
  <r>
    <x v="0"/>
    <x v="2"/>
    <x v="2"/>
    <x v="0"/>
    <x v="0"/>
    <x v="294"/>
    <x v="727"/>
    <n v="895433.19"/>
    <x v="0"/>
    <x v="0"/>
    <x v="2"/>
  </r>
  <r>
    <x v="0"/>
    <x v="3"/>
    <x v="3"/>
    <x v="0"/>
    <x v="0"/>
    <x v="294"/>
    <x v="727"/>
    <n v="8905.1299999999992"/>
    <x v="0"/>
    <x v="0"/>
    <x v="2"/>
  </r>
  <r>
    <x v="0"/>
    <x v="4"/>
    <x v="4"/>
    <x v="0"/>
    <x v="0"/>
    <x v="294"/>
    <x v="727"/>
    <n v="1057314.48"/>
    <x v="0"/>
    <x v="0"/>
    <x v="2"/>
  </r>
  <r>
    <x v="0"/>
    <x v="0"/>
    <x v="0"/>
    <x v="0"/>
    <x v="0"/>
    <x v="295"/>
    <x v="728"/>
    <n v="6547.83"/>
    <x v="0"/>
    <x v="0"/>
    <x v="3"/>
  </r>
  <r>
    <x v="0"/>
    <x v="1"/>
    <x v="1"/>
    <x v="0"/>
    <x v="0"/>
    <x v="295"/>
    <x v="728"/>
    <n v="0"/>
    <x v="0"/>
    <x v="0"/>
    <x v="3"/>
  </r>
  <r>
    <x v="0"/>
    <x v="2"/>
    <x v="2"/>
    <x v="0"/>
    <x v="0"/>
    <x v="295"/>
    <x v="728"/>
    <n v="643490.96"/>
    <x v="0"/>
    <x v="0"/>
    <x v="3"/>
  </r>
  <r>
    <x v="0"/>
    <x v="3"/>
    <x v="3"/>
    <x v="0"/>
    <x v="0"/>
    <x v="295"/>
    <x v="728"/>
    <n v="0"/>
    <x v="0"/>
    <x v="0"/>
    <x v="3"/>
  </r>
  <r>
    <x v="0"/>
    <x v="4"/>
    <x v="4"/>
    <x v="0"/>
    <x v="0"/>
    <x v="295"/>
    <x v="728"/>
    <n v="650038.79"/>
    <x v="0"/>
    <x v="0"/>
    <x v="3"/>
  </r>
  <r>
    <x v="0"/>
    <x v="0"/>
    <x v="0"/>
    <x v="0"/>
    <x v="0"/>
    <x v="296"/>
    <x v="729"/>
    <n v="116718.97"/>
    <x v="0"/>
    <x v="0"/>
    <x v="3"/>
  </r>
  <r>
    <x v="0"/>
    <x v="1"/>
    <x v="1"/>
    <x v="0"/>
    <x v="0"/>
    <x v="296"/>
    <x v="729"/>
    <n v="29709.360000000001"/>
    <x v="0"/>
    <x v="0"/>
    <x v="3"/>
  </r>
  <r>
    <x v="0"/>
    <x v="2"/>
    <x v="2"/>
    <x v="0"/>
    <x v="0"/>
    <x v="296"/>
    <x v="729"/>
    <n v="251942.23"/>
    <x v="0"/>
    <x v="0"/>
    <x v="3"/>
  </r>
  <r>
    <x v="0"/>
    <x v="3"/>
    <x v="3"/>
    <x v="0"/>
    <x v="0"/>
    <x v="296"/>
    <x v="729"/>
    <n v="8905.1299999999992"/>
    <x v="0"/>
    <x v="0"/>
    <x v="3"/>
  </r>
  <r>
    <x v="0"/>
    <x v="4"/>
    <x v="4"/>
    <x v="0"/>
    <x v="0"/>
    <x v="296"/>
    <x v="729"/>
    <n v="407275.69"/>
    <x v="0"/>
    <x v="0"/>
    <x v="3"/>
  </r>
  <r>
    <x v="0"/>
    <x v="0"/>
    <x v="0"/>
    <x v="0"/>
    <x v="0"/>
    <x v="297"/>
    <x v="730"/>
    <n v="0"/>
    <x v="0"/>
    <x v="0"/>
    <x v="2"/>
  </r>
  <r>
    <x v="0"/>
    <x v="1"/>
    <x v="1"/>
    <x v="0"/>
    <x v="0"/>
    <x v="297"/>
    <x v="730"/>
    <n v="0"/>
    <x v="0"/>
    <x v="0"/>
    <x v="2"/>
  </r>
  <r>
    <x v="0"/>
    <x v="2"/>
    <x v="2"/>
    <x v="0"/>
    <x v="0"/>
    <x v="297"/>
    <x v="730"/>
    <n v="0"/>
    <x v="0"/>
    <x v="0"/>
    <x v="2"/>
  </r>
  <r>
    <x v="0"/>
    <x v="3"/>
    <x v="3"/>
    <x v="0"/>
    <x v="0"/>
    <x v="297"/>
    <x v="730"/>
    <n v="0"/>
    <x v="0"/>
    <x v="0"/>
    <x v="2"/>
  </r>
  <r>
    <x v="0"/>
    <x v="4"/>
    <x v="4"/>
    <x v="0"/>
    <x v="0"/>
    <x v="297"/>
    <x v="730"/>
    <n v="0"/>
    <x v="0"/>
    <x v="0"/>
    <x v="2"/>
  </r>
  <r>
    <x v="0"/>
    <x v="0"/>
    <x v="0"/>
    <x v="0"/>
    <x v="0"/>
    <x v="298"/>
    <x v="731"/>
    <n v="0"/>
    <x v="0"/>
    <x v="0"/>
    <x v="2"/>
  </r>
  <r>
    <x v="0"/>
    <x v="1"/>
    <x v="1"/>
    <x v="0"/>
    <x v="0"/>
    <x v="298"/>
    <x v="731"/>
    <n v="0"/>
    <x v="0"/>
    <x v="0"/>
    <x v="2"/>
  </r>
  <r>
    <x v="0"/>
    <x v="2"/>
    <x v="2"/>
    <x v="0"/>
    <x v="0"/>
    <x v="298"/>
    <x v="731"/>
    <n v="0"/>
    <x v="0"/>
    <x v="0"/>
    <x v="2"/>
  </r>
  <r>
    <x v="0"/>
    <x v="3"/>
    <x v="3"/>
    <x v="0"/>
    <x v="0"/>
    <x v="298"/>
    <x v="731"/>
    <n v="0"/>
    <x v="0"/>
    <x v="0"/>
    <x v="2"/>
  </r>
  <r>
    <x v="0"/>
    <x v="4"/>
    <x v="4"/>
    <x v="0"/>
    <x v="0"/>
    <x v="298"/>
    <x v="731"/>
    <n v="0"/>
    <x v="0"/>
    <x v="0"/>
    <x v="2"/>
  </r>
  <r>
    <x v="0"/>
    <x v="0"/>
    <x v="0"/>
    <x v="0"/>
    <x v="0"/>
    <x v="299"/>
    <x v="732"/>
    <n v="0"/>
    <x v="0"/>
    <x v="0"/>
    <x v="3"/>
  </r>
  <r>
    <x v="0"/>
    <x v="1"/>
    <x v="1"/>
    <x v="0"/>
    <x v="0"/>
    <x v="299"/>
    <x v="732"/>
    <n v="0"/>
    <x v="0"/>
    <x v="0"/>
    <x v="3"/>
  </r>
  <r>
    <x v="0"/>
    <x v="2"/>
    <x v="2"/>
    <x v="0"/>
    <x v="0"/>
    <x v="299"/>
    <x v="732"/>
    <n v="0"/>
    <x v="0"/>
    <x v="0"/>
    <x v="3"/>
  </r>
  <r>
    <x v="0"/>
    <x v="3"/>
    <x v="3"/>
    <x v="0"/>
    <x v="0"/>
    <x v="299"/>
    <x v="732"/>
    <n v="0"/>
    <x v="0"/>
    <x v="0"/>
    <x v="3"/>
  </r>
  <r>
    <x v="0"/>
    <x v="4"/>
    <x v="4"/>
    <x v="0"/>
    <x v="0"/>
    <x v="299"/>
    <x v="732"/>
    <n v="0"/>
    <x v="0"/>
    <x v="0"/>
    <x v="3"/>
  </r>
  <r>
    <x v="0"/>
    <x v="0"/>
    <x v="0"/>
    <x v="0"/>
    <x v="0"/>
    <x v="300"/>
    <x v="733"/>
    <n v="0"/>
    <x v="0"/>
    <x v="0"/>
    <x v="3"/>
  </r>
  <r>
    <x v="0"/>
    <x v="1"/>
    <x v="1"/>
    <x v="0"/>
    <x v="0"/>
    <x v="300"/>
    <x v="733"/>
    <n v="0"/>
    <x v="0"/>
    <x v="0"/>
    <x v="3"/>
  </r>
  <r>
    <x v="0"/>
    <x v="2"/>
    <x v="2"/>
    <x v="0"/>
    <x v="0"/>
    <x v="300"/>
    <x v="733"/>
    <n v="0"/>
    <x v="0"/>
    <x v="0"/>
    <x v="3"/>
  </r>
  <r>
    <x v="0"/>
    <x v="3"/>
    <x v="3"/>
    <x v="0"/>
    <x v="0"/>
    <x v="300"/>
    <x v="733"/>
    <n v="0"/>
    <x v="0"/>
    <x v="0"/>
    <x v="3"/>
  </r>
  <r>
    <x v="0"/>
    <x v="4"/>
    <x v="4"/>
    <x v="0"/>
    <x v="0"/>
    <x v="300"/>
    <x v="733"/>
    <n v="0"/>
    <x v="0"/>
    <x v="0"/>
    <x v="3"/>
  </r>
  <r>
    <x v="0"/>
    <x v="0"/>
    <x v="0"/>
    <x v="0"/>
    <x v="0"/>
    <x v="68"/>
    <x v="734"/>
    <n v="139888.66"/>
    <x v="0"/>
    <x v="0"/>
    <x v="2"/>
  </r>
  <r>
    <x v="0"/>
    <x v="1"/>
    <x v="1"/>
    <x v="0"/>
    <x v="0"/>
    <x v="68"/>
    <x v="734"/>
    <n v="770552.51"/>
    <x v="0"/>
    <x v="0"/>
    <x v="2"/>
  </r>
  <r>
    <x v="0"/>
    <x v="2"/>
    <x v="2"/>
    <x v="0"/>
    <x v="0"/>
    <x v="68"/>
    <x v="734"/>
    <n v="6242012.1200000001"/>
    <x v="0"/>
    <x v="0"/>
    <x v="2"/>
  </r>
  <r>
    <x v="0"/>
    <x v="3"/>
    <x v="3"/>
    <x v="0"/>
    <x v="0"/>
    <x v="68"/>
    <x v="734"/>
    <n v="2899.54"/>
    <x v="0"/>
    <x v="0"/>
    <x v="2"/>
  </r>
  <r>
    <x v="0"/>
    <x v="4"/>
    <x v="4"/>
    <x v="0"/>
    <x v="0"/>
    <x v="68"/>
    <x v="734"/>
    <n v="7155352.8300000001"/>
    <x v="0"/>
    <x v="0"/>
    <x v="2"/>
  </r>
  <r>
    <x v="0"/>
    <x v="0"/>
    <x v="0"/>
    <x v="0"/>
    <x v="0"/>
    <x v="301"/>
    <x v="735"/>
    <n v="23.76"/>
    <x v="0"/>
    <x v="0"/>
    <x v="3"/>
  </r>
  <r>
    <x v="0"/>
    <x v="1"/>
    <x v="1"/>
    <x v="0"/>
    <x v="0"/>
    <x v="301"/>
    <x v="735"/>
    <n v="0"/>
    <x v="0"/>
    <x v="0"/>
    <x v="3"/>
  </r>
  <r>
    <x v="0"/>
    <x v="2"/>
    <x v="2"/>
    <x v="0"/>
    <x v="0"/>
    <x v="301"/>
    <x v="735"/>
    <n v="79258.490000000005"/>
    <x v="0"/>
    <x v="0"/>
    <x v="3"/>
  </r>
  <r>
    <x v="0"/>
    <x v="3"/>
    <x v="3"/>
    <x v="0"/>
    <x v="0"/>
    <x v="301"/>
    <x v="735"/>
    <n v="0"/>
    <x v="0"/>
    <x v="0"/>
    <x v="3"/>
  </r>
  <r>
    <x v="0"/>
    <x v="4"/>
    <x v="4"/>
    <x v="0"/>
    <x v="0"/>
    <x v="301"/>
    <x v="735"/>
    <n v="79282.25"/>
    <x v="0"/>
    <x v="0"/>
    <x v="3"/>
  </r>
  <r>
    <x v="0"/>
    <x v="0"/>
    <x v="0"/>
    <x v="0"/>
    <x v="0"/>
    <x v="302"/>
    <x v="736"/>
    <n v="744.31"/>
    <x v="0"/>
    <x v="0"/>
    <x v="3"/>
  </r>
  <r>
    <x v="0"/>
    <x v="1"/>
    <x v="1"/>
    <x v="0"/>
    <x v="0"/>
    <x v="302"/>
    <x v="736"/>
    <n v="95628.09"/>
    <x v="0"/>
    <x v="0"/>
    <x v="3"/>
  </r>
  <r>
    <x v="0"/>
    <x v="2"/>
    <x v="2"/>
    <x v="0"/>
    <x v="0"/>
    <x v="302"/>
    <x v="736"/>
    <n v="1353765.29"/>
    <x v="0"/>
    <x v="0"/>
    <x v="3"/>
  </r>
  <r>
    <x v="0"/>
    <x v="3"/>
    <x v="3"/>
    <x v="0"/>
    <x v="0"/>
    <x v="302"/>
    <x v="736"/>
    <n v="2115.54"/>
    <x v="0"/>
    <x v="0"/>
    <x v="3"/>
  </r>
  <r>
    <x v="0"/>
    <x v="4"/>
    <x v="4"/>
    <x v="0"/>
    <x v="0"/>
    <x v="302"/>
    <x v="736"/>
    <n v="1452253.23"/>
    <x v="0"/>
    <x v="0"/>
    <x v="3"/>
  </r>
  <r>
    <x v="0"/>
    <x v="0"/>
    <x v="0"/>
    <x v="0"/>
    <x v="0"/>
    <x v="303"/>
    <x v="737"/>
    <n v="5425.05"/>
    <x v="0"/>
    <x v="0"/>
    <x v="3"/>
  </r>
  <r>
    <x v="0"/>
    <x v="1"/>
    <x v="1"/>
    <x v="0"/>
    <x v="0"/>
    <x v="303"/>
    <x v="737"/>
    <n v="70470"/>
    <x v="0"/>
    <x v="0"/>
    <x v="3"/>
  </r>
  <r>
    <x v="0"/>
    <x v="2"/>
    <x v="2"/>
    <x v="0"/>
    <x v="0"/>
    <x v="303"/>
    <x v="737"/>
    <n v="56424.160000000003"/>
    <x v="0"/>
    <x v="0"/>
    <x v="3"/>
  </r>
  <r>
    <x v="0"/>
    <x v="3"/>
    <x v="3"/>
    <x v="0"/>
    <x v="0"/>
    <x v="303"/>
    <x v="737"/>
    <n v="784"/>
    <x v="0"/>
    <x v="0"/>
    <x v="3"/>
  </r>
  <r>
    <x v="0"/>
    <x v="4"/>
    <x v="4"/>
    <x v="0"/>
    <x v="0"/>
    <x v="303"/>
    <x v="737"/>
    <n v="133103.21"/>
    <x v="0"/>
    <x v="0"/>
    <x v="3"/>
  </r>
  <r>
    <x v="0"/>
    <x v="0"/>
    <x v="0"/>
    <x v="0"/>
    <x v="0"/>
    <x v="304"/>
    <x v="738"/>
    <n v="0"/>
    <x v="0"/>
    <x v="0"/>
    <x v="3"/>
  </r>
  <r>
    <x v="0"/>
    <x v="1"/>
    <x v="1"/>
    <x v="0"/>
    <x v="0"/>
    <x v="304"/>
    <x v="738"/>
    <n v="7"/>
    <x v="0"/>
    <x v="0"/>
    <x v="3"/>
  </r>
  <r>
    <x v="0"/>
    <x v="2"/>
    <x v="2"/>
    <x v="0"/>
    <x v="0"/>
    <x v="304"/>
    <x v="738"/>
    <n v="405.83"/>
    <x v="0"/>
    <x v="0"/>
    <x v="3"/>
  </r>
  <r>
    <x v="0"/>
    <x v="3"/>
    <x v="3"/>
    <x v="0"/>
    <x v="0"/>
    <x v="304"/>
    <x v="738"/>
    <n v="0"/>
    <x v="0"/>
    <x v="0"/>
    <x v="3"/>
  </r>
  <r>
    <x v="0"/>
    <x v="4"/>
    <x v="4"/>
    <x v="0"/>
    <x v="0"/>
    <x v="304"/>
    <x v="738"/>
    <n v="412.83"/>
    <x v="0"/>
    <x v="0"/>
    <x v="3"/>
  </r>
  <r>
    <x v="0"/>
    <x v="0"/>
    <x v="0"/>
    <x v="0"/>
    <x v="0"/>
    <x v="305"/>
    <x v="739"/>
    <n v="133695.54"/>
    <x v="0"/>
    <x v="0"/>
    <x v="3"/>
  </r>
  <r>
    <x v="0"/>
    <x v="1"/>
    <x v="1"/>
    <x v="0"/>
    <x v="0"/>
    <x v="305"/>
    <x v="739"/>
    <n v="604447.42000000004"/>
    <x v="0"/>
    <x v="0"/>
    <x v="3"/>
  </r>
  <r>
    <x v="0"/>
    <x v="2"/>
    <x v="2"/>
    <x v="0"/>
    <x v="0"/>
    <x v="305"/>
    <x v="739"/>
    <n v="4752158.3499999996"/>
    <x v="0"/>
    <x v="0"/>
    <x v="3"/>
  </r>
  <r>
    <x v="0"/>
    <x v="3"/>
    <x v="3"/>
    <x v="0"/>
    <x v="0"/>
    <x v="305"/>
    <x v="739"/>
    <n v="0"/>
    <x v="0"/>
    <x v="0"/>
    <x v="3"/>
  </r>
  <r>
    <x v="0"/>
    <x v="4"/>
    <x v="4"/>
    <x v="0"/>
    <x v="0"/>
    <x v="305"/>
    <x v="739"/>
    <n v="5490301.3100000005"/>
    <x v="0"/>
    <x v="0"/>
    <x v="3"/>
  </r>
  <r>
    <x v="0"/>
    <x v="0"/>
    <x v="0"/>
    <x v="0"/>
    <x v="0"/>
    <x v="306"/>
    <x v="740"/>
    <n v="-10926.7"/>
    <x v="0"/>
    <x v="0"/>
    <x v="2"/>
  </r>
  <r>
    <x v="0"/>
    <x v="1"/>
    <x v="1"/>
    <x v="0"/>
    <x v="0"/>
    <x v="306"/>
    <x v="740"/>
    <n v="-12510.08"/>
    <x v="0"/>
    <x v="0"/>
    <x v="2"/>
  </r>
  <r>
    <x v="0"/>
    <x v="2"/>
    <x v="2"/>
    <x v="0"/>
    <x v="0"/>
    <x v="306"/>
    <x v="740"/>
    <n v="-1239612.8700000001"/>
    <x v="0"/>
    <x v="0"/>
    <x v="2"/>
  </r>
  <r>
    <x v="0"/>
    <x v="3"/>
    <x v="3"/>
    <x v="0"/>
    <x v="0"/>
    <x v="306"/>
    <x v="740"/>
    <n v="-1450.49"/>
    <x v="0"/>
    <x v="0"/>
    <x v="2"/>
  </r>
  <r>
    <x v="0"/>
    <x v="4"/>
    <x v="4"/>
    <x v="0"/>
    <x v="0"/>
    <x v="306"/>
    <x v="740"/>
    <n v="-1264500.1400000001"/>
    <x v="0"/>
    <x v="0"/>
    <x v="2"/>
  </r>
  <r>
    <x v="0"/>
    <x v="0"/>
    <x v="0"/>
    <x v="0"/>
    <x v="0"/>
    <x v="307"/>
    <x v="741"/>
    <n v="-1496.83"/>
    <x v="0"/>
    <x v="0"/>
    <x v="3"/>
  </r>
  <r>
    <x v="0"/>
    <x v="1"/>
    <x v="1"/>
    <x v="0"/>
    <x v="0"/>
    <x v="307"/>
    <x v="741"/>
    <n v="0"/>
    <x v="0"/>
    <x v="0"/>
    <x v="3"/>
  </r>
  <r>
    <x v="0"/>
    <x v="2"/>
    <x v="2"/>
    <x v="0"/>
    <x v="0"/>
    <x v="307"/>
    <x v="741"/>
    <n v="-24836.32"/>
    <x v="0"/>
    <x v="0"/>
    <x v="3"/>
  </r>
  <r>
    <x v="0"/>
    <x v="3"/>
    <x v="3"/>
    <x v="0"/>
    <x v="0"/>
    <x v="307"/>
    <x v="741"/>
    <n v="0"/>
    <x v="0"/>
    <x v="0"/>
    <x v="3"/>
  </r>
  <r>
    <x v="0"/>
    <x v="4"/>
    <x v="4"/>
    <x v="0"/>
    <x v="0"/>
    <x v="307"/>
    <x v="741"/>
    <n v="-26333.15"/>
    <x v="0"/>
    <x v="0"/>
    <x v="3"/>
  </r>
  <r>
    <x v="0"/>
    <x v="0"/>
    <x v="0"/>
    <x v="0"/>
    <x v="0"/>
    <x v="308"/>
    <x v="742"/>
    <n v="-190.7"/>
    <x v="0"/>
    <x v="0"/>
    <x v="3"/>
  </r>
  <r>
    <x v="0"/>
    <x v="1"/>
    <x v="1"/>
    <x v="0"/>
    <x v="0"/>
    <x v="308"/>
    <x v="742"/>
    <n v="0"/>
    <x v="0"/>
    <x v="0"/>
    <x v="3"/>
  </r>
  <r>
    <x v="0"/>
    <x v="2"/>
    <x v="2"/>
    <x v="0"/>
    <x v="0"/>
    <x v="308"/>
    <x v="742"/>
    <n v="-210638.38"/>
    <x v="0"/>
    <x v="0"/>
    <x v="3"/>
  </r>
  <r>
    <x v="0"/>
    <x v="3"/>
    <x v="3"/>
    <x v="0"/>
    <x v="0"/>
    <x v="308"/>
    <x v="742"/>
    <n v="0"/>
    <x v="0"/>
    <x v="0"/>
    <x v="3"/>
  </r>
  <r>
    <x v="0"/>
    <x v="4"/>
    <x v="4"/>
    <x v="0"/>
    <x v="0"/>
    <x v="308"/>
    <x v="742"/>
    <n v="-210829.08"/>
    <x v="0"/>
    <x v="0"/>
    <x v="3"/>
  </r>
  <r>
    <x v="0"/>
    <x v="0"/>
    <x v="0"/>
    <x v="0"/>
    <x v="0"/>
    <x v="309"/>
    <x v="743"/>
    <n v="-9239.17"/>
    <x v="0"/>
    <x v="0"/>
    <x v="3"/>
  </r>
  <r>
    <x v="0"/>
    <x v="1"/>
    <x v="1"/>
    <x v="0"/>
    <x v="0"/>
    <x v="309"/>
    <x v="743"/>
    <n v="-12510.08"/>
    <x v="0"/>
    <x v="0"/>
    <x v="3"/>
  </r>
  <r>
    <x v="0"/>
    <x v="2"/>
    <x v="2"/>
    <x v="0"/>
    <x v="0"/>
    <x v="309"/>
    <x v="743"/>
    <n v="-1004138.17"/>
    <x v="0"/>
    <x v="0"/>
    <x v="3"/>
  </r>
  <r>
    <x v="0"/>
    <x v="3"/>
    <x v="3"/>
    <x v="0"/>
    <x v="0"/>
    <x v="309"/>
    <x v="743"/>
    <n v="-1450.49"/>
    <x v="0"/>
    <x v="0"/>
    <x v="3"/>
  </r>
  <r>
    <x v="0"/>
    <x v="4"/>
    <x v="4"/>
    <x v="0"/>
    <x v="0"/>
    <x v="309"/>
    <x v="743"/>
    <n v="-1027337.9099999999"/>
    <x v="0"/>
    <x v="0"/>
    <x v="3"/>
  </r>
  <r>
    <x v="0"/>
    <x v="0"/>
    <x v="0"/>
    <x v="0"/>
    <x v="0"/>
    <x v="310"/>
    <x v="744"/>
    <n v="164324105.62"/>
    <x v="0"/>
    <x v="1"/>
    <x v="0"/>
  </r>
  <r>
    <x v="0"/>
    <x v="1"/>
    <x v="1"/>
    <x v="0"/>
    <x v="0"/>
    <x v="310"/>
    <x v="744"/>
    <n v="47571309.710000001"/>
    <x v="0"/>
    <x v="1"/>
    <x v="0"/>
  </r>
  <r>
    <x v="0"/>
    <x v="2"/>
    <x v="2"/>
    <x v="0"/>
    <x v="0"/>
    <x v="310"/>
    <x v="744"/>
    <n v="652707573.96000004"/>
    <x v="0"/>
    <x v="1"/>
    <x v="0"/>
  </r>
  <r>
    <x v="0"/>
    <x v="3"/>
    <x v="3"/>
    <x v="0"/>
    <x v="0"/>
    <x v="310"/>
    <x v="744"/>
    <n v="25667096.23"/>
    <x v="0"/>
    <x v="1"/>
    <x v="0"/>
  </r>
  <r>
    <x v="0"/>
    <x v="4"/>
    <x v="4"/>
    <x v="0"/>
    <x v="0"/>
    <x v="310"/>
    <x v="744"/>
    <n v="890270085.5200001"/>
    <x v="0"/>
    <x v="1"/>
    <x v="0"/>
  </r>
  <r>
    <x v="0"/>
    <x v="0"/>
    <x v="0"/>
    <x v="0"/>
    <x v="0"/>
    <x v="311"/>
    <x v="745"/>
    <n v="159252799.25999999"/>
    <x v="0"/>
    <x v="1"/>
    <x v="1"/>
  </r>
  <r>
    <x v="0"/>
    <x v="1"/>
    <x v="1"/>
    <x v="0"/>
    <x v="0"/>
    <x v="311"/>
    <x v="745"/>
    <n v="44158686.950000003"/>
    <x v="0"/>
    <x v="1"/>
    <x v="1"/>
  </r>
  <r>
    <x v="0"/>
    <x v="2"/>
    <x v="2"/>
    <x v="0"/>
    <x v="0"/>
    <x v="311"/>
    <x v="745"/>
    <n v="595876774.51999998"/>
    <x v="0"/>
    <x v="1"/>
    <x v="1"/>
  </r>
  <r>
    <x v="0"/>
    <x v="3"/>
    <x v="3"/>
    <x v="0"/>
    <x v="0"/>
    <x v="311"/>
    <x v="745"/>
    <n v="24069196.780000001"/>
    <x v="0"/>
    <x v="1"/>
    <x v="1"/>
  </r>
  <r>
    <x v="0"/>
    <x v="4"/>
    <x v="4"/>
    <x v="0"/>
    <x v="0"/>
    <x v="311"/>
    <x v="745"/>
    <n v="823357457.50999999"/>
    <x v="0"/>
    <x v="1"/>
    <x v="1"/>
  </r>
  <r>
    <x v="0"/>
    <x v="0"/>
    <x v="0"/>
    <x v="0"/>
    <x v="0"/>
    <x v="312"/>
    <x v="746"/>
    <n v="52397546.590000004"/>
    <x v="0"/>
    <x v="1"/>
    <x v="2"/>
  </r>
  <r>
    <x v="0"/>
    <x v="1"/>
    <x v="1"/>
    <x v="0"/>
    <x v="0"/>
    <x v="312"/>
    <x v="746"/>
    <n v="10912615.619999999"/>
    <x v="0"/>
    <x v="1"/>
    <x v="2"/>
  </r>
  <r>
    <x v="0"/>
    <x v="2"/>
    <x v="2"/>
    <x v="0"/>
    <x v="0"/>
    <x v="312"/>
    <x v="746"/>
    <n v="189616831.97999999"/>
    <x v="0"/>
    <x v="1"/>
    <x v="2"/>
  </r>
  <r>
    <x v="0"/>
    <x v="3"/>
    <x v="3"/>
    <x v="0"/>
    <x v="0"/>
    <x v="312"/>
    <x v="746"/>
    <n v="5226921.38"/>
    <x v="0"/>
    <x v="1"/>
    <x v="2"/>
  </r>
  <r>
    <x v="0"/>
    <x v="4"/>
    <x v="4"/>
    <x v="0"/>
    <x v="0"/>
    <x v="312"/>
    <x v="746"/>
    <n v="258153915.56999999"/>
    <x v="0"/>
    <x v="1"/>
    <x v="2"/>
  </r>
  <r>
    <x v="0"/>
    <x v="0"/>
    <x v="0"/>
    <x v="0"/>
    <x v="0"/>
    <x v="313"/>
    <x v="747"/>
    <n v="51957267.579999998"/>
    <x v="0"/>
    <x v="1"/>
    <x v="3"/>
  </r>
  <r>
    <x v="0"/>
    <x v="1"/>
    <x v="1"/>
    <x v="0"/>
    <x v="0"/>
    <x v="313"/>
    <x v="747"/>
    <n v="10906495.689999999"/>
    <x v="0"/>
    <x v="1"/>
    <x v="3"/>
  </r>
  <r>
    <x v="0"/>
    <x v="2"/>
    <x v="2"/>
    <x v="0"/>
    <x v="0"/>
    <x v="313"/>
    <x v="747"/>
    <n v="188982506.15000001"/>
    <x v="0"/>
    <x v="1"/>
    <x v="3"/>
  </r>
  <r>
    <x v="0"/>
    <x v="3"/>
    <x v="3"/>
    <x v="0"/>
    <x v="0"/>
    <x v="313"/>
    <x v="747"/>
    <n v="5218269.5"/>
    <x v="0"/>
    <x v="1"/>
    <x v="3"/>
  </r>
  <r>
    <x v="0"/>
    <x v="4"/>
    <x v="4"/>
    <x v="0"/>
    <x v="0"/>
    <x v="313"/>
    <x v="747"/>
    <n v="257064538.92000005"/>
    <x v="0"/>
    <x v="1"/>
    <x v="3"/>
  </r>
  <r>
    <x v="0"/>
    <x v="0"/>
    <x v="0"/>
    <x v="0"/>
    <x v="0"/>
    <x v="314"/>
    <x v="748"/>
    <n v="392508.54"/>
    <x v="0"/>
    <x v="1"/>
    <x v="3"/>
  </r>
  <r>
    <x v="0"/>
    <x v="1"/>
    <x v="1"/>
    <x v="0"/>
    <x v="0"/>
    <x v="314"/>
    <x v="748"/>
    <n v="0"/>
    <x v="0"/>
    <x v="1"/>
    <x v="3"/>
  </r>
  <r>
    <x v="0"/>
    <x v="2"/>
    <x v="2"/>
    <x v="0"/>
    <x v="0"/>
    <x v="314"/>
    <x v="748"/>
    <n v="165328.60999999999"/>
    <x v="0"/>
    <x v="1"/>
    <x v="3"/>
  </r>
  <r>
    <x v="0"/>
    <x v="3"/>
    <x v="3"/>
    <x v="0"/>
    <x v="0"/>
    <x v="314"/>
    <x v="748"/>
    <n v="0"/>
    <x v="0"/>
    <x v="1"/>
    <x v="3"/>
  </r>
  <r>
    <x v="0"/>
    <x v="4"/>
    <x v="4"/>
    <x v="0"/>
    <x v="0"/>
    <x v="314"/>
    <x v="748"/>
    <n v="557837.15"/>
    <x v="0"/>
    <x v="1"/>
    <x v="3"/>
  </r>
  <r>
    <x v="0"/>
    <x v="0"/>
    <x v="0"/>
    <x v="0"/>
    <x v="0"/>
    <x v="315"/>
    <x v="749"/>
    <n v="0"/>
    <x v="0"/>
    <x v="1"/>
    <x v="3"/>
  </r>
  <r>
    <x v="0"/>
    <x v="1"/>
    <x v="1"/>
    <x v="0"/>
    <x v="0"/>
    <x v="315"/>
    <x v="749"/>
    <n v="0"/>
    <x v="0"/>
    <x v="1"/>
    <x v="3"/>
  </r>
  <r>
    <x v="0"/>
    <x v="2"/>
    <x v="2"/>
    <x v="0"/>
    <x v="0"/>
    <x v="315"/>
    <x v="749"/>
    <n v="86019.96"/>
    <x v="0"/>
    <x v="1"/>
    <x v="3"/>
  </r>
  <r>
    <x v="0"/>
    <x v="3"/>
    <x v="3"/>
    <x v="0"/>
    <x v="0"/>
    <x v="315"/>
    <x v="749"/>
    <n v="0"/>
    <x v="0"/>
    <x v="1"/>
    <x v="3"/>
  </r>
  <r>
    <x v="0"/>
    <x v="4"/>
    <x v="4"/>
    <x v="0"/>
    <x v="0"/>
    <x v="315"/>
    <x v="749"/>
    <n v="86019.96"/>
    <x v="0"/>
    <x v="1"/>
    <x v="3"/>
  </r>
  <r>
    <x v="0"/>
    <x v="0"/>
    <x v="0"/>
    <x v="0"/>
    <x v="0"/>
    <x v="316"/>
    <x v="750"/>
    <n v="47770.47"/>
    <x v="0"/>
    <x v="1"/>
    <x v="3"/>
  </r>
  <r>
    <x v="0"/>
    <x v="1"/>
    <x v="1"/>
    <x v="0"/>
    <x v="0"/>
    <x v="316"/>
    <x v="750"/>
    <n v="6119.93"/>
    <x v="0"/>
    <x v="1"/>
    <x v="3"/>
  </r>
  <r>
    <x v="0"/>
    <x v="2"/>
    <x v="2"/>
    <x v="0"/>
    <x v="0"/>
    <x v="316"/>
    <x v="750"/>
    <n v="382977.26"/>
    <x v="0"/>
    <x v="1"/>
    <x v="3"/>
  </r>
  <r>
    <x v="0"/>
    <x v="3"/>
    <x v="3"/>
    <x v="0"/>
    <x v="0"/>
    <x v="316"/>
    <x v="750"/>
    <n v="8651.8799999999992"/>
    <x v="0"/>
    <x v="1"/>
    <x v="3"/>
  </r>
  <r>
    <x v="0"/>
    <x v="4"/>
    <x v="4"/>
    <x v="0"/>
    <x v="0"/>
    <x v="316"/>
    <x v="750"/>
    <n v="445519.54"/>
    <x v="0"/>
    <x v="1"/>
    <x v="3"/>
  </r>
  <r>
    <x v="0"/>
    <x v="0"/>
    <x v="0"/>
    <x v="0"/>
    <x v="0"/>
    <x v="317"/>
    <x v="751"/>
    <n v="0"/>
    <x v="0"/>
    <x v="1"/>
    <x v="3"/>
  </r>
  <r>
    <x v="0"/>
    <x v="1"/>
    <x v="1"/>
    <x v="0"/>
    <x v="0"/>
    <x v="317"/>
    <x v="751"/>
    <n v="0"/>
    <x v="0"/>
    <x v="1"/>
    <x v="3"/>
  </r>
  <r>
    <x v="0"/>
    <x v="2"/>
    <x v="2"/>
    <x v="0"/>
    <x v="0"/>
    <x v="317"/>
    <x v="751"/>
    <n v="0"/>
    <x v="0"/>
    <x v="1"/>
    <x v="3"/>
  </r>
  <r>
    <x v="0"/>
    <x v="3"/>
    <x v="3"/>
    <x v="0"/>
    <x v="0"/>
    <x v="317"/>
    <x v="751"/>
    <n v="0"/>
    <x v="0"/>
    <x v="1"/>
    <x v="3"/>
  </r>
  <r>
    <x v="0"/>
    <x v="4"/>
    <x v="4"/>
    <x v="0"/>
    <x v="0"/>
    <x v="317"/>
    <x v="751"/>
    <n v="0"/>
    <x v="0"/>
    <x v="1"/>
    <x v="3"/>
  </r>
  <r>
    <x v="0"/>
    <x v="0"/>
    <x v="0"/>
    <x v="0"/>
    <x v="0"/>
    <x v="318"/>
    <x v="752"/>
    <n v="0"/>
    <x v="0"/>
    <x v="1"/>
    <x v="2"/>
  </r>
  <r>
    <x v="0"/>
    <x v="1"/>
    <x v="1"/>
    <x v="0"/>
    <x v="0"/>
    <x v="318"/>
    <x v="752"/>
    <n v="0"/>
    <x v="0"/>
    <x v="1"/>
    <x v="2"/>
  </r>
  <r>
    <x v="0"/>
    <x v="2"/>
    <x v="2"/>
    <x v="0"/>
    <x v="0"/>
    <x v="318"/>
    <x v="752"/>
    <n v="0"/>
    <x v="0"/>
    <x v="1"/>
    <x v="2"/>
  </r>
  <r>
    <x v="0"/>
    <x v="3"/>
    <x v="3"/>
    <x v="0"/>
    <x v="0"/>
    <x v="318"/>
    <x v="752"/>
    <n v="0"/>
    <x v="0"/>
    <x v="1"/>
    <x v="2"/>
  </r>
  <r>
    <x v="0"/>
    <x v="4"/>
    <x v="4"/>
    <x v="0"/>
    <x v="0"/>
    <x v="318"/>
    <x v="752"/>
    <n v="0"/>
    <x v="0"/>
    <x v="1"/>
    <x v="2"/>
  </r>
  <r>
    <x v="0"/>
    <x v="0"/>
    <x v="0"/>
    <x v="0"/>
    <x v="0"/>
    <x v="319"/>
    <x v="753"/>
    <n v="0"/>
    <x v="0"/>
    <x v="1"/>
    <x v="3"/>
  </r>
  <r>
    <x v="0"/>
    <x v="1"/>
    <x v="1"/>
    <x v="0"/>
    <x v="0"/>
    <x v="319"/>
    <x v="753"/>
    <n v="0"/>
    <x v="0"/>
    <x v="1"/>
    <x v="3"/>
  </r>
  <r>
    <x v="0"/>
    <x v="2"/>
    <x v="2"/>
    <x v="0"/>
    <x v="0"/>
    <x v="319"/>
    <x v="753"/>
    <n v="0"/>
    <x v="0"/>
    <x v="1"/>
    <x v="3"/>
  </r>
  <r>
    <x v="0"/>
    <x v="3"/>
    <x v="3"/>
    <x v="0"/>
    <x v="0"/>
    <x v="319"/>
    <x v="753"/>
    <n v="0"/>
    <x v="0"/>
    <x v="1"/>
    <x v="3"/>
  </r>
  <r>
    <x v="0"/>
    <x v="4"/>
    <x v="4"/>
    <x v="0"/>
    <x v="0"/>
    <x v="319"/>
    <x v="753"/>
    <n v="0"/>
    <x v="0"/>
    <x v="1"/>
    <x v="3"/>
  </r>
  <r>
    <x v="0"/>
    <x v="0"/>
    <x v="0"/>
    <x v="0"/>
    <x v="0"/>
    <x v="320"/>
    <x v="754"/>
    <n v="0"/>
    <x v="0"/>
    <x v="1"/>
    <x v="3"/>
  </r>
  <r>
    <x v="0"/>
    <x v="1"/>
    <x v="1"/>
    <x v="0"/>
    <x v="0"/>
    <x v="320"/>
    <x v="754"/>
    <n v="0"/>
    <x v="0"/>
    <x v="1"/>
    <x v="3"/>
  </r>
  <r>
    <x v="0"/>
    <x v="2"/>
    <x v="2"/>
    <x v="0"/>
    <x v="0"/>
    <x v="320"/>
    <x v="754"/>
    <n v="0"/>
    <x v="0"/>
    <x v="1"/>
    <x v="3"/>
  </r>
  <r>
    <x v="0"/>
    <x v="3"/>
    <x v="3"/>
    <x v="0"/>
    <x v="0"/>
    <x v="320"/>
    <x v="754"/>
    <n v="0"/>
    <x v="0"/>
    <x v="1"/>
    <x v="3"/>
  </r>
  <r>
    <x v="0"/>
    <x v="4"/>
    <x v="4"/>
    <x v="0"/>
    <x v="0"/>
    <x v="320"/>
    <x v="754"/>
    <n v="0"/>
    <x v="0"/>
    <x v="1"/>
    <x v="3"/>
  </r>
  <r>
    <x v="0"/>
    <x v="0"/>
    <x v="0"/>
    <x v="0"/>
    <x v="0"/>
    <x v="321"/>
    <x v="755"/>
    <n v="0"/>
    <x v="0"/>
    <x v="1"/>
    <x v="3"/>
  </r>
  <r>
    <x v="0"/>
    <x v="1"/>
    <x v="1"/>
    <x v="0"/>
    <x v="0"/>
    <x v="321"/>
    <x v="755"/>
    <n v="0"/>
    <x v="0"/>
    <x v="1"/>
    <x v="3"/>
  </r>
  <r>
    <x v="0"/>
    <x v="2"/>
    <x v="2"/>
    <x v="0"/>
    <x v="0"/>
    <x v="321"/>
    <x v="755"/>
    <n v="0"/>
    <x v="0"/>
    <x v="1"/>
    <x v="3"/>
  </r>
  <r>
    <x v="0"/>
    <x v="3"/>
    <x v="3"/>
    <x v="0"/>
    <x v="0"/>
    <x v="321"/>
    <x v="755"/>
    <n v="0"/>
    <x v="0"/>
    <x v="1"/>
    <x v="3"/>
  </r>
  <r>
    <x v="0"/>
    <x v="4"/>
    <x v="4"/>
    <x v="0"/>
    <x v="0"/>
    <x v="321"/>
    <x v="755"/>
    <n v="0"/>
    <x v="0"/>
    <x v="1"/>
    <x v="3"/>
  </r>
  <r>
    <x v="0"/>
    <x v="0"/>
    <x v="0"/>
    <x v="0"/>
    <x v="0"/>
    <x v="322"/>
    <x v="756"/>
    <n v="106004550.97"/>
    <x v="0"/>
    <x v="1"/>
    <x v="2"/>
  </r>
  <r>
    <x v="0"/>
    <x v="1"/>
    <x v="1"/>
    <x v="0"/>
    <x v="0"/>
    <x v="322"/>
    <x v="756"/>
    <n v="32299888.859999999"/>
    <x v="0"/>
    <x v="1"/>
    <x v="2"/>
  </r>
  <r>
    <x v="0"/>
    <x v="2"/>
    <x v="2"/>
    <x v="0"/>
    <x v="0"/>
    <x v="322"/>
    <x v="756"/>
    <n v="397379674.02999997"/>
    <x v="0"/>
    <x v="1"/>
    <x v="2"/>
  </r>
  <r>
    <x v="0"/>
    <x v="3"/>
    <x v="3"/>
    <x v="0"/>
    <x v="0"/>
    <x v="322"/>
    <x v="756"/>
    <n v="17495172.780000001"/>
    <x v="0"/>
    <x v="1"/>
    <x v="2"/>
  </r>
  <r>
    <x v="0"/>
    <x v="4"/>
    <x v="4"/>
    <x v="0"/>
    <x v="0"/>
    <x v="322"/>
    <x v="756"/>
    <n v="553179286.63999999"/>
    <x v="0"/>
    <x v="1"/>
    <x v="2"/>
  </r>
  <r>
    <x v="0"/>
    <x v="0"/>
    <x v="0"/>
    <x v="0"/>
    <x v="0"/>
    <x v="39"/>
    <x v="757"/>
    <n v="19502256.550000001"/>
    <x v="0"/>
    <x v="1"/>
    <x v="3"/>
  </r>
  <r>
    <x v="0"/>
    <x v="1"/>
    <x v="1"/>
    <x v="0"/>
    <x v="0"/>
    <x v="39"/>
    <x v="757"/>
    <n v="3482451.68"/>
    <x v="0"/>
    <x v="1"/>
    <x v="3"/>
  </r>
  <r>
    <x v="0"/>
    <x v="2"/>
    <x v="2"/>
    <x v="0"/>
    <x v="0"/>
    <x v="39"/>
    <x v="757"/>
    <n v="81686219.019999996"/>
    <x v="0"/>
    <x v="1"/>
    <x v="3"/>
  </r>
  <r>
    <x v="0"/>
    <x v="3"/>
    <x v="3"/>
    <x v="0"/>
    <x v="0"/>
    <x v="39"/>
    <x v="757"/>
    <n v="2141045.4900000002"/>
    <x v="0"/>
    <x v="1"/>
    <x v="3"/>
  </r>
  <r>
    <x v="0"/>
    <x v="4"/>
    <x v="4"/>
    <x v="0"/>
    <x v="0"/>
    <x v="39"/>
    <x v="757"/>
    <n v="106811972.73999999"/>
    <x v="0"/>
    <x v="1"/>
    <x v="3"/>
  </r>
  <r>
    <x v="0"/>
    <x v="0"/>
    <x v="0"/>
    <x v="0"/>
    <x v="0"/>
    <x v="40"/>
    <x v="758"/>
    <n v="31871743.82"/>
    <x v="0"/>
    <x v="1"/>
    <x v="3"/>
  </r>
  <r>
    <x v="0"/>
    <x v="1"/>
    <x v="1"/>
    <x v="0"/>
    <x v="0"/>
    <x v="40"/>
    <x v="758"/>
    <n v="6996486.4400000004"/>
    <x v="0"/>
    <x v="1"/>
    <x v="3"/>
  </r>
  <r>
    <x v="0"/>
    <x v="2"/>
    <x v="2"/>
    <x v="0"/>
    <x v="0"/>
    <x v="40"/>
    <x v="758"/>
    <n v="110579272.87"/>
    <x v="0"/>
    <x v="1"/>
    <x v="3"/>
  </r>
  <r>
    <x v="0"/>
    <x v="3"/>
    <x v="3"/>
    <x v="0"/>
    <x v="0"/>
    <x v="40"/>
    <x v="758"/>
    <n v="3506628.09"/>
    <x v="0"/>
    <x v="1"/>
    <x v="3"/>
  </r>
  <r>
    <x v="0"/>
    <x v="4"/>
    <x v="4"/>
    <x v="0"/>
    <x v="0"/>
    <x v="40"/>
    <x v="758"/>
    <n v="152954131.22"/>
    <x v="0"/>
    <x v="1"/>
    <x v="3"/>
  </r>
  <r>
    <x v="0"/>
    <x v="0"/>
    <x v="0"/>
    <x v="0"/>
    <x v="0"/>
    <x v="41"/>
    <x v="759"/>
    <n v="32591683.66"/>
    <x v="0"/>
    <x v="1"/>
    <x v="3"/>
  </r>
  <r>
    <x v="0"/>
    <x v="1"/>
    <x v="1"/>
    <x v="0"/>
    <x v="0"/>
    <x v="41"/>
    <x v="759"/>
    <n v="9655267.4399999995"/>
    <x v="0"/>
    <x v="1"/>
    <x v="3"/>
  </r>
  <r>
    <x v="0"/>
    <x v="2"/>
    <x v="2"/>
    <x v="0"/>
    <x v="0"/>
    <x v="41"/>
    <x v="759"/>
    <n v="118692684.97"/>
    <x v="0"/>
    <x v="1"/>
    <x v="3"/>
  </r>
  <r>
    <x v="0"/>
    <x v="3"/>
    <x v="3"/>
    <x v="0"/>
    <x v="0"/>
    <x v="41"/>
    <x v="759"/>
    <n v="5231694.46"/>
    <x v="0"/>
    <x v="1"/>
    <x v="3"/>
  </r>
  <r>
    <x v="0"/>
    <x v="4"/>
    <x v="4"/>
    <x v="0"/>
    <x v="0"/>
    <x v="41"/>
    <x v="759"/>
    <n v="166171330.53"/>
    <x v="0"/>
    <x v="1"/>
    <x v="3"/>
  </r>
  <r>
    <x v="0"/>
    <x v="0"/>
    <x v="0"/>
    <x v="0"/>
    <x v="0"/>
    <x v="42"/>
    <x v="760"/>
    <n v="19880204.350000001"/>
    <x v="0"/>
    <x v="1"/>
    <x v="3"/>
  </r>
  <r>
    <x v="0"/>
    <x v="1"/>
    <x v="1"/>
    <x v="0"/>
    <x v="0"/>
    <x v="42"/>
    <x v="760"/>
    <n v="9797730.2699999996"/>
    <x v="0"/>
    <x v="1"/>
    <x v="3"/>
  </r>
  <r>
    <x v="0"/>
    <x v="2"/>
    <x v="2"/>
    <x v="0"/>
    <x v="0"/>
    <x v="42"/>
    <x v="760"/>
    <n v="77405329.359999999"/>
    <x v="0"/>
    <x v="1"/>
    <x v="3"/>
  </r>
  <r>
    <x v="0"/>
    <x v="3"/>
    <x v="3"/>
    <x v="0"/>
    <x v="0"/>
    <x v="42"/>
    <x v="760"/>
    <n v="5494633.6399999997"/>
    <x v="0"/>
    <x v="1"/>
    <x v="3"/>
  </r>
  <r>
    <x v="0"/>
    <x v="4"/>
    <x v="4"/>
    <x v="0"/>
    <x v="0"/>
    <x v="42"/>
    <x v="760"/>
    <n v="112577897.62000002"/>
    <x v="0"/>
    <x v="1"/>
    <x v="3"/>
  </r>
  <r>
    <x v="0"/>
    <x v="0"/>
    <x v="0"/>
    <x v="0"/>
    <x v="0"/>
    <x v="323"/>
    <x v="761"/>
    <n v="2158662.59"/>
    <x v="0"/>
    <x v="1"/>
    <x v="3"/>
  </r>
  <r>
    <x v="0"/>
    <x v="1"/>
    <x v="1"/>
    <x v="0"/>
    <x v="0"/>
    <x v="323"/>
    <x v="761"/>
    <n v="2367953.0299999998"/>
    <x v="0"/>
    <x v="1"/>
    <x v="3"/>
  </r>
  <r>
    <x v="0"/>
    <x v="2"/>
    <x v="2"/>
    <x v="0"/>
    <x v="0"/>
    <x v="323"/>
    <x v="761"/>
    <n v="9016167.8100000005"/>
    <x v="0"/>
    <x v="1"/>
    <x v="3"/>
  </r>
  <r>
    <x v="0"/>
    <x v="3"/>
    <x v="3"/>
    <x v="0"/>
    <x v="0"/>
    <x v="323"/>
    <x v="761"/>
    <n v="1121171.1000000001"/>
    <x v="0"/>
    <x v="1"/>
    <x v="3"/>
  </r>
  <r>
    <x v="0"/>
    <x v="4"/>
    <x v="4"/>
    <x v="0"/>
    <x v="0"/>
    <x v="323"/>
    <x v="761"/>
    <n v="14663954.529999999"/>
    <x v="0"/>
    <x v="1"/>
    <x v="3"/>
  </r>
  <r>
    <x v="0"/>
    <x v="0"/>
    <x v="0"/>
    <x v="0"/>
    <x v="0"/>
    <x v="316"/>
    <x v="762"/>
    <n v="0"/>
    <x v="0"/>
    <x v="1"/>
    <x v="3"/>
  </r>
  <r>
    <x v="0"/>
    <x v="1"/>
    <x v="1"/>
    <x v="0"/>
    <x v="0"/>
    <x v="316"/>
    <x v="762"/>
    <n v="0"/>
    <x v="0"/>
    <x v="1"/>
    <x v="3"/>
  </r>
  <r>
    <x v="0"/>
    <x v="2"/>
    <x v="2"/>
    <x v="0"/>
    <x v="0"/>
    <x v="316"/>
    <x v="762"/>
    <n v="0"/>
    <x v="0"/>
    <x v="1"/>
    <x v="3"/>
  </r>
  <r>
    <x v="0"/>
    <x v="3"/>
    <x v="3"/>
    <x v="0"/>
    <x v="0"/>
    <x v="316"/>
    <x v="762"/>
    <n v="0"/>
    <x v="0"/>
    <x v="1"/>
    <x v="3"/>
  </r>
  <r>
    <x v="0"/>
    <x v="4"/>
    <x v="4"/>
    <x v="0"/>
    <x v="0"/>
    <x v="316"/>
    <x v="762"/>
    <n v="0"/>
    <x v="0"/>
    <x v="1"/>
    <x v="3"/>
  </r>
  <r>
    <x v="0"/>
    <x v="0"/>
    <x v="0"/>
    <x v="0"/>
    <x v="0"/>
    <x v="324"/>
    <x v="763"/>
    <n v="0"/>
    <x v="0"/>
    <x v="1"/>
    <x v="2"/>
  </r>
  <r>
    <x v="0"/>
    <x v="1"/>
    <x v="1"/>
    <x v="0"/>
    <x v="0"/>
    <x v="324"/>
    <x v="763"/>
    <n v="0"/>
    <x v="0"/>
    <x v="1"/>
    <x v="2"/>
  </r>
  <r>
    <x v="0"/>
    <x v="2"/>
    <x v="2"/>
    <x v="0"/>
    <x v="0"/>
    <x v="324"/>
    <x v="763"/>
    <n v="3920"/>
    <x v="0"/>
    <x v="1"/>
    <x v="2"/>
  </r>
  <r>
    <x v="0"/>
    <x v="3"/>
    <x v="3"/>
    <x v="0"/>
    <x v="0"/>
    <x v="324"/>
    <x v="763"/>
    <n v="1128378.29"/>
    <x v="0"/>
    <x v="1"/>
    <x v="2"/>
  </r>
  <r>
    <x v="0"/>
    <x v="4"/>
    <x v="4"/>
    <x v="0"/>
    <x v="0"/>
    <x v="324"/>
    <x v="763"/>
    <n v="1132298.29"/>
    <x v="0"/>
    <x v="1"/>
    <x v="2"/>
  </r>
  <r>
    <x v="0"/>
    <x v="0"/>
    <x v="0"/>
    <x v="0"/>
    <x v="0"/>
    <x v="325"/>
    <x v="764"/>
    <n v="850701.7"/>
    <x v="0"/>
    <x v="1"/>
    <x v="2"/>
  </r>
  <r>
    <x v="0"/>
    <x v="1"/>
    <x v="1"/>
    <x v="0"/>
    <x v="0"/>
    <x v="325"/>
    <x v="764"/>
    <n v="946182.47"/>
    <x v="0"/>
    <x v="1"/>
    <x v="2"/>
  </r>
  <r>
    <x v="0"/>
    <x v="2"/>
    <x v="2"/>
    <x v="0"/>
    <x v="0"/>
    <x v="325"/>
    <x v="764"/>
    <n v="8876348.5099999998"/>
    <x v="0"/>
    <x v="1"/>
    <x v="2"/>
  </r>
  <r>
    <x v="0"/>
    <x v="3"/>
    <x v="3"/>
    <x v="0"/>
    <x v="0"/>
    <x v="325"/>
    <x v="764"/>
    <n v="218724.33"/>
    <x v="0"/>
    <x v="1"/>
    <x v="2"/>
  </r>
  <r>
    <x v="0"/>
    <x v="4"/>
    <x v="4"/>
    <x v="0"/>
    <x v="0"/>
    <x v="325"/>
    <x v="764"/>
    <n v="10891957.01"/>
    <x v="0"/>
    <x v="1"/>
    <x v="2"/>
  </r>
  <r>
    <x v="0"/>
    <x v="0"/>
    <x v="0"/>
    <x v="0"/>
    <x v="0"/>
    <x v="17"/>
    <x v="765"/>
    <n v="0"/>
    <x v="0"/>
    <x v="1"/>
    <x v="1"/>
  </r>
  <r>
    <x v="0"/>
    <x v="1"/>
    <x v="1"/>
    <x v="0"/>
    <x v="0"/>
    <x v="17"/>
    <x v="765"/>
    <n v="0"/>
    <x v="0"/>
    <x v="1"/>
    <x v="1"/>
  </r>
  <r>
    <x v="0"/>
    <x v="2"/>
    <x v="2"/>
    <x v="0"/>
    <x v="0"/>
    <x v="17"/>
    <x v="765"/>
    <n v="0"/>
    <x v="0"/>
    <x v="1"/>
    <x v="1"/>
  </r>
  <r>
    <x v="0"/>
    <x v="3"/>
    <x v="3"/>
    <x v="0"/>
    <x v="0"/>
    <x v="17"/>
    <x v="765"/>
    <n v="0"/>
    <x v="0"/>
    <x v="1"/>
    <x v="1"/>
  </r>
  <r>
    <x v="0"/>
    <x v="4"/>
    <x v="4"/>
    <x v="0"/>
    <x v="0"/>
    <x v="17"/>
    <x v="765"/>
    <n v="0"/>
    <x v="0"/>
    <x v="1"/>
    <x v="1"/>
  </r>
  <r>
    <x v="0"/>
    <x v="0"/>
    <x v="0"/>
    <x v="0"/>
    <x v="0"/>
    <x v="326"/>
    <x v="766"/>
    <n v="0"/>
    <x v="0"/>
    <x v="1"/>
    <x v="2"/>
  </r>
  <r>
    <x v="0"/>
    <x v="1"/>
    <x v="1"/>
    <x v="0"/>
    <x v="0"/>
    <x v="326"/>
    <x v="766"/>
    <n v="0"/>
    <x v="0"/>
    <x v="1"/>
    <x v="2"/>
  </r>
  <r>
    <x v="0"/>
    <x v="2"/>
    <x v="2"/>
    <x v="0"/>
    <x v="0"/>
    <x v="326"/>
    <x v="766"/>
    <n v="0"/>
    <x v="0"/>
    <x v="1"/>
    <x v="2"/>
  </r>
  <r>
    <x v="0"/>
    <x v="3"/>
    <x v="3"/>
    <x v="0"/>
    <x v="0"/>
    <x v="326"/>
    <x v="766"/>
    <n v="0"/>
    <x v="0"/>
    <x v="1"/>
    <x v="2"/>
  </r>
  <r>
    <x v="0"/>
    <x v="4"/>
    <x v="4"/>
    <x v="0"/>
    <x v="0"/>
    <x v="326"/>
    <x v="766"/>
    <n v="0"/>
    <x v="0"/>
    <x v="1"/>
    <x v="2"/>
  </r>
  <r>
    <x v="0"/>
    <x v="0"/>
    <x v="0"/>
    <x v="0"/>
    <x v="0"/>
    <x v="19"/>
    <x v="767"/>
    <n v="0"/>
    <x v="0"/>
    <x v="1"/>
    <x v="3"/>
  </r>
  <r>
    <x v="0"/>
    <x v="1"/>
    <x v="1"/>
    <x v="0"/>
    <x v="0"/>
    <x v="19"/>
    <x v="767"/>
    <n v="0"/>
    <x v="0"/>
    <x v="1"/>
    <x v="3"/>
  </r>
  <r>
    <x v="0"/>
    <x v="2"/>
    <x v="2"/>
    <x v="0"/>
    <x v="0"/>
    <x v="19"/>
    <x v="767"/>
    <n v="0"/>
    <x v="0"/>
    <x v="1"/>
    <x v="3"/>
  </r>
  <r>
    <x v="0"/>
    <x v="3"/>
    <x v="3"/>
    <x v="0"/>
    <x v="0"/>
    <x v="19"/>
    <x v="767"/>
    <n v="0"/>
    <x v="0"/>
    <x v="1"/>
    <x v="3"/>
  </r>
  <r>
    <x v="0"/>
    <x v="4"/>
    <x v="4"/>
    <x v="0"/>
    <x v="0"/>
    <x v="19"/>
    <x v="767"/>
    <n v="0"/>
    <x v="0"/>
    <x v="1"/>
    <x v="3"/>
  </r>
  <r>
    <x v="0"/>
    <x v="0"/>
    <x v="0"/>
    <x v="0"/>
    <x v="0"/>
    <x v="20"/>
    <x v="768"/>
    <n v="0"/>
    <x v="0"/>
    <x v="1"/>
    <x v="3"/>
  </r>
  <r>
    <x v="0"/>
    <x v="1"/>
    <x v="1"/>
    <x v="0"/>
    <x v="0"/>
    <x v="20"/>
    <x v="768"/>
    <n v="0"/>
    <x v="0"/>
    <x v="1"/>
    <x v="3"/>
  </r>
  <r>
    <x v="0"/>
    <x v="2"/>
    <x v="2"/>
    <x v="0"/>
    <x v="0"/>
    <x v="20"/>
    <x v="768"/>
    <n v="0"/>
    <x v="0"/>
    <x v="1"/>
    <x v="3"/>
  </r>
  <r>
    <x v="0"/>
    <x v="3"/>
    <x v="3"/>
    <x v="0"/>
    <x v="0"/>
    <x v="20"/>
    <x v="768"/>
    <n v="0"/>
    <x v="0"/>
    <x v="1"/>
    <x v="3"/>
  </r>
  <r>
    <x v="0"/>
    <x v="4"/>
    <x v="4"/>
    <x v="0"/>
    <x v="0"/>
    <x v="20"/>
    <x v="768"/>
    <n v="0"/>
    <x v="0"/>
    <x v="1"/>
    <x v="3"/>
  </r>
  <r>
    <x v="0"/>
    <x v="0"/>
    <x v="0"/>
    <x v="0"/>
    <x v="0"/>
    <x v="12"/>
    <x v="769"/>
    <n v="0"/>
    <x v="0"/>
    <x v="1"/>
    <x v="3"/>
  </r>
  <r>
    <x v="0"/>
    <x v="1"/>
    <x v="1"/>
    <x v="0"/>
    <x v="0"/>
    <x v="12"/>
    <x v="769"/>
    <n v="0"/>
    <x v="0"/>
    <x v="1"/>
    <x v="3"/>
  </r>
  <r>
    <x v="0"/>
    <x v="2"/>
    <x v="2"/>
    <x v="0"/>
    <x v="0"/>
    <x v="12"/>
    <x v="769"/>
    <n v="0"/>
    <x v="0"/>
    <x v="1"/>
    <x v="3"/>
  </r>
  <r>
    <x v="0"/>
    <x v="3"/>
    <x v="3"/>
    <x v="0"/>
    <x v="0"/>
    <x v="12"/>
    <x v="769"/>
    <n v="0"/>
    <x v="0"/>
    <x v="1"/>
    <x v="3"/>
  </r>
  <r>
    <x v="0"/>
    <x v="4"/>
    <x v="4"/>
    <x v="0"/>
    <x v="0"/>
    <x v="12"/>
    <x v="769"/>
    <n v="0"/>
    <x v="0"/>
    <x v="1"/>
    <x v="3"/>
  </r>
  <r>
    <x v="0"/>
    <x v="0"/>
    <x v="0"/>
    <x v="0"/>
    <x v="0"/>
    <x v="21"/>
    <x v="770"/>
    <n v="0"/>
    <x v="0"/>
    <x v="1"/>
    <x v="2"/>
  </r>
  <r>
    <x v="0"/>
    <x v="1"/>
    <x v="1"/>
    <x v="0"/>
    <x v="0"/>
    <x v="21"/>
    <x v="770"/>
    <n v="0"/>
    <x v="0"/>
    <x v="1"/>
    <x v="2"/>
  </r>
  <r>
    <x v="0"/>
    <x v="2"/>
    <x v="2"/>
    <x v="0"/>
    <x v="0"/>
    <x v="21"/>
    <x v="770"/>
    <n v="0"/>
    <x v="0"/>
    <x v="1"/>
    <x v="2"/>
  </r>
  <r>
    <x v="0"/>
    <x v="3"/>
    <x v="3"/>
    <x v="0"/>
    <x v="0"/>
    <x v="21"/>
    <x v="770"/>
    <n v="0"/>
    <x v="0"/>
    <x v="1"/>
    <x v="2"/>
  </r>
  <r>
    <x v="0"/>
    <x v="4"/>
    <x v="4"/>
    <x v="0"/>
    <x v="0"/>
    <x v="21"/>
    <x v="770"/>
    <n v="0"/>
    <x v="0"/>
    <x v="1"/>
    <x v="2"/>
  </r>
  <r>
    <x v="0"/>
    <x v="0"/>
    <x v="0"/>
    <x v="0"/>
    <x v="0"/>
    <x v="22"/>
    <x v="771"/>
    <n v="0"/>
    <x v="0"/>
    <x v="1"/>
    <x v="3"/>
  </r>
  <r>
    <x v="0"/>
    <x v="1"/>
    <x v="1"/>
    <x v="0"/>
    <x v="0"/>
    <x v="22"/>
    <x v="771"/>
    <n v="0"/>
    <x v="0"/>
    <x v="1"/>
    <x v="3"/>
  </r>
  <r>
    <x v="0"/>
    <x v="2"/>
    <x v="2"/>
    <x v="0"/>
    <x v="0"/>
    <x v="22"/>
    <x v="771"/>
    <n v="0"/>
    <x v="0"/>
    <x v="1"/>
    <x v="3"/>
  </r>
  <r>
    <x v="0"/>
    <x v="3"/>
    <x v="3"/>
    <x v="0"/>
    <x v="0"/>
    <x v="22"/>
    <x v="771"/>
    <n v="0"/>
    <x v="0"/>
    <x v="1"/>
    <x v="3"/>
  </r>
  <r>
    <x v="0"/>
    <x v="4"/>
    <x v="4"/>
    <x v="0"/>
    <x v="0"/>
    <x v="22"/>
    <x v="771"/>
    <n v="0"/>
    <x v="0"/>
    <x v="1"/>
    <x v="3"/>
  </r>
  <r>
    <x v="0"/>
    <x v="0"/>
    <x v="0"/>
    <x v="0"/>
    <x v="0"/>
    <x v="19"/>
    <x v="772"/>
    <n v="0"/>
    <x v="0"/>
    <x v="1"/>
    <x v="3"/>
  </r>
  <r>
    <x v="0"/>
    <x v="1"/>
    <x v="1"/>
    <x v="0"/>
    <x v="0"/>
    <x v="19"/>
    <x v="772"/>
    <n v="0"/>
    <x v="0"/>
    <x v="1"/>
    <x v="3"/>
  </r>
  <r>
    <x v="0"/>
    <x v="2"/>
    <x v="2"/>
    <x v="0"/>
    <x v="0"/>
    <x v="19"/>
    <x v="772"/>
    <n v="0"/>
    <x v="0"/>
    <x v="1"/>
    <x v="3"/>
  </r>
  <r>
    <x v="0"/>
    <x v="3"/>
    <x v="3"/>
    <x v="0"/>
    <x v="0"/>
    <x v="19"/>
    <x v="772"/>
    <n v="0"/>
    <x v="0"/>
    <x v="1"/>
    <x v="3"/>
  </r>
  <r>
    <x v="0"/>
    <x v="4"/>
    <x v="4"/>
    <x v="0"/>
    <x v="0"/>
    <x v="19"/>
    <x v="772"/>
    <n v="0"/>
    <x v="0"/>
    <x v="1"/>
    <x v="3"/>
  </r>
  <r>
    <x v="0"/>
    <x v="0"/>
    <x v="0"/>
    <x v="0"/>
    <x v="0"/>
    <x v="20"/>
    <x v="773"/>
    <n v="0"/>
    <x v="0"/>
    <x v="1"/>
    <x v="3"/>
  </r>
  <r>
    <x v="0"/>
    <x v="1"/>
    <x v="1"/>
    <x v="0"/>
    <x v="0"/>
    <x v="20"/>
    <x v="773"/>
    <n v="0"/>
    <x v="0"/>
    <x v="1"/>
    <x v="3"/>
  </r>
  <r>
    <x v="0"/>
    <x v="2"/>
    <x v="2"/>
    <x v="0"/>
    <x v="0"/>
    <x v="20"/>
    <x v="773"/>
    <n v="0"/>
    <x v="0"/>
    <x v="1"/>
    <x v="3"/>
  </r>
  <r>
    <x v="0"/>
    <x v="3"/>
    <x v="3"/>
    <x v="0"/>
    <x v="0"/>
    <x v="20"/>
    <x v="773"/>
    <n v="0"/>
    <x v="0"/>
    <x v="1"/>
    <x v="3"/>
  </r>
  <r>
    <x v="0"/>
    <x v="4"/>
    <x v="4"/>
    <x v="0"/>
    <x v="0"/>
    <x v="20"/>
    <x v="773"/>
    <n v="0"/>
    <x v="0"/>
    <x v="1"/>
    <x v="3"/>
  </r>
  <r>
    <x v="0"/>
    <x v="0"/>
    <x v="0"/>
    <x v="0"/>
    <x v="0"/>
    <x v="12"/>
    <x v="774"/>
    <n v="0"/>
    <x v="0"/>
    <x v="1"/>
    <x v="3"/>
  </r>
  <r>
    <x v="0"/>
    <x v="1"/>
    <x v="1"/>
    <x v="0"/>
    <x v="0"/>
    <x v="12"/>
    <x v="774"/>
    <n v="0"/>
    <x v="0"/>
    <x v="1"/>
    <x v="3"/>
  </r>
  <r>
    <x v="0"/>
    <x v="2"/>
    <x v="2"/>
    <x v="0"/>
    <x v="0"/>
    <x v="12"/>
    <x v="774"/>
    <n v="0"/>
    <x v="0"/>
    <x v="1"/>
    <x v="3"/>
  </r>
  <r>
    <x v="0"/>
    <x v="3"/>
    <x v="3"/>
    <x v="0"/>
    <x v="0"/>
    <x v="12"/>
    <x v="774"/>
    <n v="0"/>
    <x v="0"/>
    <x v="1"/>
    <x v="3"/>
  </r>
  <r>
    <x v="0"/>
    <x v="4"/>
    <x v="4"/>
    <x v="0"/>
    <x v="0"/>
    <x v="12"/>
    <x v="774"/>
    <n v="0"/>
    <x v="0"/>
    <x v="1"/>
    <x v="3"/>
  </r>
  <r>
    <x v="0"/>
    <x v="0"/>
    <x v="0"/>
    <x v="0"/>
    <x v="0"/>
    <x v="327"/>
    <x v="775"/>
    <n v="0"/>
    <x v="0"/>
    <x v="1"/>
    <x v="2"/>
  </r>
  <r>
    <x v="0"/>
    <x v="1"/>
    <x v="1"/>
    <x v="0"/>
    <x v="0"/>
    <x v="327"/>
    <x v="775"/>
    <n v="0"/>
    <x v="0"/>
    <x v="1"/>
    <x v="2"/>
  </r>
  <r>
    <x v="0"/>
    <x v="2"/>
    <x v="2"/>
    <x v="0"/>
    <x v="0"/>
    <x v="327"/>
    <x v="775"/>
    <n v="0"/>
    <x v="0"/>
    <x v="1"/>
    <x v="2"/>
  </r>
  <r>
    <x v="0"/>
    <x v="3"/>
    <x v="3"/>
    <x v="0"/>
    <x v="0"/>
    <x v="327"/>
    <x v="775"/>
    <n v="0"/>
    <x v="0"/>
    <x v="1"/>
    <x v="2"/>
  </r>
  <r>
    <x v="0"/>
    <x v="4"/>
    <x v="4"/>
    <x v="0"/>
    <x v="0"/>
    <x v="327"/>
    <x v="775"/>
    <n v="0"/>
    <x v="0"/>
    <x v="1"/>
    <x v="2"/>
  </r>
  <r>
    <x v="0"/>
    <x v="0"/>
    <x v="0"/>
    <x v="0"/>
    <x v="0"/>
    <x v="328"/>
    <x v="776"/>
    <n v="0"/>
    <x v="0"/>
    <x v="1"/>
    <x v="1"/>
  </r>
  <r>
    <x v="0"/>
    <x v="1"/>
    <x v="1"/>
    <x v="0"/>
    <x v="0"/>
    <x v="328"/>
    <x v="776"/>
    <n v="0"/>
    <x v="0"/>
    <x v="1"/>
    <x v="1"/>
  </r>
  <r>
    <x v="0"/>
    <x v="2"/>
    <x v="2"/>
    <x v="0"/>
    <x v="0"/>
    <x v="328"/>
    <x v="776"/>
    <n v="1442144.51"/>
    <x v="0"/>
    <x v="1"/>
    <x v="1"/>
  </r>
  <r>
    <x v="0"/>
    <x v="3"/>
    <x v="3"/>
    <x v="0"/>
    <x v="0"/>
    <x v="328"/>
    <x v="776"/>
    <n v="0"/>
    <x v="0"/>
    <x v="1"/>
    <x v="1"/>
  </r>
  <r>
    <x v="0"/>
    <x v="4"/>
    <x v="4"/>
    <x v="0"/>
    <x v="0"/>
    <x v="328"/>
    <x v="776"/>
    <n v="1442144.51"/>
    <x v="0"/>
    <x v="1"/>
    <x v="1"/>
  </r>
  <r>
    <x v="0"/>
    <x v="0"/>
    <x v="0"/>
    <x v="0"/>
    <x v="0"/>
    <x v="329"/>
    <x v="777"/>
    <n v="0"/>
    <x v="0"/>
    <x v="1"/>
    <x v="2"/>
  </r>
  <r>
    <x v="0"/>
    <x v="1"/>
    <x v="1"/>
    <x v="0"/>
    <x v="0"/>
    <x v="329"/>
    <x v="777"/>
    <n v="0"/>
    <x v="0"/>
    <x v="1"/>
    <x v="2"/>
  </r>
  <r>
    <x v="0"/>
    <x v="2"/>
    <x v="2"/>
    <x v="0"/>
    <x v="0"/>
    <x v="329"/>
    <x v="777"/>
    <n v="1442144.51"/>
    <x v="0"/>
    <x v="1"/>
    <x v="2"/>
  </r>
  <r>
    <x v="0"/>
    <x v="3"/>
    <x v="3"/>
    <x v="0"/>
    <x v="0"/>
    <x v="329"/>
    <x v="777"/>
    <n v="0"/>
    <x v="0"/>
    <x v="1"/>
    <x v="2"/>
  </r>
  <r>
    <x v="0"/>
    <x v="4"/>
    <x v="4"/>
    <x v="0"/>
    <x v="0"/>
    <x v="329"/>
    <x v="777"/>
    <n v="1442144.51"/>
    <x v="0"/>
    <x v="1"/>
    <x v="2"/>
  </r>
  <r>
    <x v="0"/>
    <x v="0"/>
    <x v="0"/>
    <x v="0"/>
    <x v="0"/>
    <x v="330"/>
    <x v="778"/>
    <n v="0"/>
    <x v="0"/>
    <x v="1"/>
    <x v="3"/>
  </r>
  <r>
    <x v="0"/>
    <x v="1"/>
    <x v="1"/>
    <x v="0"/>
    <x v="0"/>
    <x v="330"/>
    <x v="778"/>
    <n v="0"/>
    <x v="0"/>
    <x v="1"/>
    <x v="3"/>
  </r>
  <r>
    <x v="0"/>
    <x v="2"/>
    <x v="2"/>
    <x v="0"/>
    <x v="0"/>
    <x v="330"/>
    <x v="778"/>
    <n v="1442144.51"/>
    <x v="0"/>
    <x v="1"/>
    <x v="3"/>
  </r>
  <r>
    <x v="0"/>
    <x v="3"/>
    <x v="3"/>
    <x v="0"/>
    <x v="0"/>
    <x v="330"/>
    <x v="778"/>
    <n v="0"/>
    <x v="0"/>
    <x v="1"/>
    <x v="3"/>
  </r>
  <r>
    <x v="0"/>
    <x v="4"/>
    <x v="4"/>
    <x v="0"/>
    <x v="0"/>
    <x v="330"/>
    <x v="778"/>
    <n v="1442144.51"/>
    <x v="0"/>
    <x v="1"/>
    <x v="3"/>
  </r>
  <r>
    <x v="0"/>
    <x v="0"/>
    <x v="0"/>
    <x v="0"/>
    <x v="0"/>
    <x v="331"/>
    <x v="779"/>
    <n v="0"/>
    <x v="0"/>
    <x v="1"/>
    <x v="3"/>
  </r>
  <r>
    <x v="0"/>
    <x v="1"/>
    <x v="1"/>
    <x v="0"/>
    <x v="0"/>
    <x v="331"/>
    <x v="779"/>
    <n v="0"/>
    <x v="0"/>
    <x v="1"/>
    <x v="3"/>
  </r>
  <r>
    <x v="0"/>
    <x v="2"/>
    <x v="2"/>
    <x v="0"/>
    <x v="0"/>
    <x v="331"/>
    <x v="779"/>
    <n v="0"/>
    <x v="0"/>
    <x v="1"/>
    <x v="3"/>
  </r>
  <r>
    <x v="0"/>
    <x v="3"/>
    <x v="3"/>
    <x v="0"/>
    <x v="0"/>
    <x v="331"/>
    <x v="779"/>
    <n v="0"/>
    <x v="0"/>
    <x v="1"/>
    <x v="3"/>
  </r>
  <r>
    <x v="0"/>
    <x v="4"/>
    <x v="4"/>
    <x v="0"/>
    <x v="0"/>
    <x v="331"/>
    <x v="779"/>
    <n v="0"/>
    <x v="0"/>
    <x v="1"/>
    <x v="3"/>
  </r>
  <r>
    <x v="0"/>
    <x v="0"/>
    <x v="0"/>
    <x v="0"/>
    <x v="0"/>
    <x v="332"/>
    <x v="780"/>
    <n v="0"/>
    <x v="0"/>
    <x v="1"/>
    <x v="2"/>
  </r>
  <r>
    <x v="0"/>
    <x v="1"/>
    <x v="1"/>
    <x v="0"/>
    <x v="0"/>
    <x v="332"/>
    <x v="780"/>
    <n v="0"/>
    <x v="0"/>
    <x v="1"/>
    <x v="2"/>
  </r>
  <r>
    <x v="0"/>
    <x v="2"/>
    <x v="2"/>
    <x v="0"/>
    <x v="0"/>
    <x v="332"/>
    <x v="780"/>
    <n v="0"/>
    <x v="0"/>
    <x v="1"/>
    <x v="2"/>
  </r>
  <r>
    <x v="0"/>
    <x v="3"/>
    <x v="3"/>
    <x v="0"/>
    <x v="0"/>
    <x v="332"/>
    <x v="780"/>
    <n v="0"/>
    <x v="0"/>
    <x v="1"/>
    <x v="2"/>
  </r>
  <r>
    <x v="0"/>
    <x v="4"/>
    <x v="4"/>
    <x v="0"/>
    <x v="0"/>
    <x v="332"/>
    <x v="780"/>
    <n v="0"/>
    <x v="0"/>
    <x v="1"/>
    <x v="2"/>
  </r>
  <r>
    <x v="0"/>
    <x v="0"/>
    <x v="0"/>
    <x v="0"/>
    <x v="0"/>
    <x v="333"/>
    <x v="781"/>
    <n v="0"/>
    <x v="0"/>
    <x v="1"/>
    <x v="3"/>
  </r>
  <r>
    <x v="0"/>
    <x v="1"/>
    <x v="1"/>
    <x v="0"/>
    <x v="0"/>
    <x v="333"/>
    <x v="781"/>
    <n v="0"/>
    <x v="0"/>
    <x v="1"/>
    <x v="3"/>
  </r>
  <r>
    <x v="0"/>
    <x v="2"/>
    <x v="2"/>
    <x v="0"/>
    <x v="0"/>
    <x v="333"/>
    <x v="781"/>
    <n v="0"/>
    <x v="0"/>
    <x v="1"/>
    <x v="3"/>
  </r>
  <r>
    <x v="0"/>
    <x v="3"/>
    <x v="3"/>
    <x v="0"/>
    <x v="0"/>
    <x v="333"/>
    <x v="781"/>
    <n v="0"/>
    <x v="0"/>
    <x v="1"/>
    <x v="3"/>
  </r>
  <r>
    <x v="0"/>
    <x v="4"/>
    <x v="4"/>
    <x v="0"/>
    <x v="0"/>
    <x v="333"/>
    <x v="781"/>
    <n v="0"/>
    <x v="0"/>
    <x v="1"/>
    <x v="3"/>
  </r>
  <r>
    <x v="0"/>
    <x v="0"/>
    <x v="0"/>
    <x v="0"/>
    <x v="0"/>
    <x v="334"/>
    <x v="782"/>
    <n v="0"/>
    <x v="0"/>
    <x v="1"/>
    <x v="3"/>
  </r>
  <r>
    <x v="0"/>
    <x v="1"/>
    <x v="1"/>
    <x v="0"/>
    <x v="0"/>
    <x v="334"/>
    <x v="782"/>
    <n v="0"/>
    <x v="0"/>
    <x v="1"/>
    <x v="3"/>
  </r>
  <r>
    <x v="0"/>
    <x v="2"/>
    <x v="2"/>
    <x v="0"/>
    <x v="0"/>
    <x v="334"/>
    <x v="782"/>
    <n v="0"/>
    <x v="0"/>
    <x v="1"/>
    <x v="3"/>
  </r>
  <r>
    <x v="0"/>
    <x v="3"/>
    <x v="3"/>
    <x v="0"/>
    <x v="0"/>
    <x v="334"/>
    <x v="782"/>
    <n v="0"/>
    <x v="0"/>
    <x v="1"/>
    <x v="3"/>
  </r>
  <r>
    <x v="0"/>
    <x v="4"/>
    <x v="4"/>
    <x v="0"/>
    <x v="0"/>
    <x v="334"/>
    <x v="782"/>
    <n v="0"/>
    <x v="0"/>
    <x v="1"/>
    <x v="3"/>
  </r>
  <r>
    <x v="0"/>
    <x v="0"/>
    <x v="0"/>
    <x v="0"/>
    <x v="0"/>
    <x v="335"/>
    <x v="783"/>
    <n v="0"/>
    <x v="0"/>
    <x v="1"/>
    <x v="3"/>
  </r>
  <r>
    <x v="0"/>
    <x v="1"/>
    <x v="1"/>
    <x v="0"/>
    <x v="0"/>
    <x v="335"/>
    <x v="783"/>
    <n v="0"/>
    <x v="0"/>
    <x v="1"/>
    <x v="3"/>
  </r>
  <r>
    <x v="0"/>
    <x v="2"/>
    <x v="2"/>
    <x v="0"/>
    <x v="0"/>
    <x v="335"/>
    <x v="783"/>
    <n v="0"/>
    <x v="0"/>
    <x v="1"/>
    <x v="3"/>
  </r>
  <r>
    <x v="0"/>
    <x v="3"/>
    <x v="3"/>
    <x v="0"/>
    <x v="0"/>
    <x v="335"/>
    <x v="783"/>
    <n v="0"/>
    <x v="0"/>
    <x v="1"/>
    <x v="3"/>
  </r>
  <r>
    <x v="0"/>
    <x v="4"/>
    <x v="4"/>
    <x v="0"/>
    <x v="0"/>
    <x v="335"/>
    <x v="783"/>
    <n v="0"/>
    <x v="0"/>
    <x v="1"/>
    <x v="3"/>
  </r>
  <r>
    <x v="0"/>
    <x v="0"/>
    <x v="0"/>
    <x v="0"/>
    <x v="0"/>
    <x v="336"/>
    <x v="784"/>
    <n v="0"/>
    <x v="0"/>
    <x v="1"/>
    <x v="1"/>
  </r>
  <r>
    <x v="0"/>
    <x v="1"/>
    <x v="1"/>
    <x v="0"/>
    <x v="0"/>
    <x v="336"/>
    <x v="784"/>
    <n v="0"/>
    <x v="0"/>
    <x v="1"/>
    <x v="1"/>
  </r>
  <r>
    <x v="0"/>
    <x v="2"/>
    <x v="2"/>
    <x v="0"/>
    <x v="0"/>
    <x v="336"/>
    <x v="784"/>
    <n v="0"/>
    <x v="0"/>
    <x v="1"/>
    <x v="1"/>
  </r>
  <r>
    <x v="0"/>
    <x v="3"/>
    <x v="3"/>
    <x v="0"/>
    <x v="0"/>
    <x v="336"/>
    <x v="784"/>
    <n v="0"/>
    <x v="0"/>
    <x v="1"/>
    <x v="1"/>
  </r>
  <r>
    <x v="0"/>
    <x v="4"/>
    <x v="4"/>
    <x v="0"/>
    <x v="0"/>
    <x v="336"/>
    <x v="784"/>
    <n v="0"/>
    <x v="0"/>
    <x v="1"/>
    <x v="1"/>
  </r>
  <r>
    <x v="0"/>
    <x v="0"/>
    <x v="0"/>
    <x v="0"/>
    <x v="0"/>
    <x v="167"/>
    <x v="785"/>
    <n v="0"/>
    <x v="0"/>
    <x v="1"/>
    <x v="2"/>
  </r>
  <r>
    <x v="0"/>
    <x v="1"/>
    <x v="1"/>
    <x v="0"/>
    <x v="0"/>
    <x v="167"/>
    <x v="785"/>
    <n v="0"/>
    <x v="0"/>
    <x v="1"/>
    <x v="2"/>
  </r>
  <r>
    <x v="0"/>
    <x v="2"/>
    <x v="2"/>
    <x v="0"/>
    <x v="0"/>
    <x v="167"/>
    <x v="785"/>
    <n v="0"/>
    <x v="0"/>
    <x v="1"/>
    <x v="2"/>
  </r>
  <r>
    <x v="0"/>
    <x v="3"/>
    <x v="3"/>
    <x v="0"/>
    <x v="0"/>
    <x v="167"/>
    <x v="785"/>
    <n v="0"/>
    <x v="0"/>
    <x v="1"/>
    <x v="2"/>
  </r>
  <r>
    <x v="0"/>
    <x v="4"/>
    <x v="4"/>
    <x v="0"/>
    <x v="0"/>
    <x v="167"/>
    <x v="785"/>
    <n v="0"/>
    <x v="0"/>
    <x v="1"/>
    <x v="2"/>
  </r>
  <r>
    <x v="0"/>
    <x v="0"/>
    <x v="0"/>
    <x v="0"/>
    <x v="0"/>
    <x v="168"/>
    <x v="786"/>
    <n v="0"/>
    <x v="0"/>
    <x v="1"/>
    <x v="2"/>
  </r>
  <r>
    <x v="0"/>
    <x v="1"/>
    <x v="1"/>
    <x v="0"/>
    <x v="0"/>
    <x v="168"/>
    <x v="786"/>
    <n v="0"/>
    <x v="0"/>
    <x v="1"/>
    <x v="2"/>
  </r>
  <r>
    <x v="0"/>
    <x v="2"/>
    <x v="2"/>
    <x v="0"/>
    <x v="0"/>
    <x v="168"/>
    <x v="786"/>
    <n v="0"/>
    <x v="0"/>
    <x v="1"/>
    <x v="2"/>
  </r>
  <r>
    <x v="0"/>
    <x v="3"/>
    <x v="3"/>
    <x v="0"/>
    <x v="0"/>
    <x v="168"/>
    <x v="786"/>
    <n v="0"/>
    <x v="0"/>
    <x v="1"/>
    <x v="2"/>
  </r>
  <r>
    <x v="0"/>
    <x v="4"/>
    <x v="4"/>
    <x v="0"/>
    <x v="0"/>
    <x v="168"/>
    <x v="786"/>
    <n v="0"/>
    <x v="0"/>
    <x v="1"/>
    <x v="2"/>
  </r>
  <r>
    <x v="0"/>
    <x v="0"/>
    <x v="0"/>
    <x v="0"/>
    <x v="0"/>
    <x v="337"/>
    <x v="787"/>
    <n v="4993547.46"/>
    <x v="0"/>
    <x v="1"/>
    <x v="1"/>
  </r>
  <r>
    <x v="0"/>
    <x v="1"/>
    <x v="1"/>
    <x v="0"/>
    <x v="0"/>
    <x v="337"/>
    <x v="787"/>
    <n v="1236663.3899999999"/>
    <x v="0"/>
    <x v="1"/>
    <x v="1"/>
  </r>
  <r>
    <x v="0"/>
    <x v="2"/>
    <x v="2"/>
    <x v="0"/>
    <x v="0"/>
    <x v="337"/>
    <x v="787"/>
    <n v="13898647.470000001"/>
    <x v="0"/>
    <x v="1"/>
    <x v="1"/>
  </r>
  <r>
    <x v="0"/>
    <x v="3"/>
    <x v="3"/>
    <x v="0"/>
    <x v="0"/>
    <x v="337"/>
    <x v="787"/>
    <n v="491483.59"/>
    <x v="0"/>
    <x v="1"/>
    <x v="1"/>
  </r>
  <r>
    <x v="0"/>
    <x v="4"/>
    <x v="4"/>
    <x v="0"/>
    <x v="0"/>
    <x v="337"/>
    <x v="787"/>
    <n v="20620341.91"/>
    <x v="0"/>
    <x v="1"/>
    <x v="1"/>
  </r>
  <r>
    <x v="0"/>
    <x v="0"/>
    <x v="0"/>
    <x v="0"/>
    <x v="0"/>
    <x v="338"/>
    <x v="788"/>
    <n v="1631312.96"/>
    <x v="0"/>
    <x v="1"/>
    <x v="2"/>
  </r>
  <r>
    <x v="0"/>
    <x v="1"/>
    <x v="1"/>
    <x v="0"/>
    <x v="0"/>
    <x v="338"/>
    <x v="788"/>
    <n v="823715.24"/>
    <x v="0"/>
    <x v="1"/>
    <x v="2"/>
  </r>
  <r>
    <x v="0"/>
    <x v="2"/>
    <x v="2"/>
    <x v="0"/>
    <x v="0"/>
    <x v="338"/>
    <x v="788"/>
    <n v="7836662.6900000004"/>
    <x v="0"/>
    <x v="1"/>
    <x v="2"/>
  </r>
  <r>
    <x v="0"/>
    <x v="3"/>
    <x v="3"/>
    <x v="0"/>
    <x v="0"/>
    <x v="338"/>
    <x v="788"/>
    <n v="410165.31"/>
    <x v="0"/>
    <x v="1"/>
    <x v="2"/>
  </r>
  <r>
    <x v="0"/>
    <x v="4"/>
    <x v="4"/>
    <x v="0"/>
    <x v="0"/>
    <x v="338"/>
    <x v="788"/>
    <n v="10701856.199999999"/>
    <x v="0"/>
    <x v="1"/>
    <x v="2"/>
  </r>
  <r>
    <x v="0"/>
    <x v="0"/>
    <x v="0"/>
    <x v="0"/>
    <x v="0"/>
    <x v="312"/>
    <x v="789"/>
    <n v="301.52999999999997"/>
    <x v="0"/>
    <x v="1"/>
    <x v="3"/>
  </r>
  <r>
    <x v="0"/>
    <x v="1"/>
    <x v="1"/>
    <x v="0"/>
    <x v="0"/>
    <x v="312"/>
    <x v="789"/>
    <n v="1924.95"/>
    <x v="0"/>
    <x v="1"/>
    <x v="3"/>
  </r>
  <r>
    <x v="0"/>
    <x v="2"/>
    <x v="2"/>
    <x v="0"/>
    <x v="0"/>
    <x v="312"/>
    <x v="789"/>
    <n v="5585.8"/>
    <x v="0"/>
    <x v="1"/>
    <x v="3"/>
  </r>
  <r>
    <x v="0"/>
    <x v="3"/>
    <x v="3"/>
    <x v="0"/>
    <x v="0"/>
    <x v="312"/>
    <x v="789"/>
    <n v="22.34"/>
    <x v="0"/>
    <x v="1"/>
    <x v="3"/>
  </r>
  <r>
    <x v="0"/>
    <x v="4"/>
    <x v="4"/>
    <x v="0"/>
    <x v="0"/>
    <x v="312"/>
    <x v="789"/>
    <n v="7834.62"/>
    <x v="0"/>
    <x v="1"/>
    <x v="3"/>
  </r>
  <r>
    <x v="0"/>
    <x v="0"/>
    <x v="0"/>
    <x v="0"/>
    <x v="0"/>
    <x v="318"/>
    <x v="790"/>
    <n v="0"/>
    <x v="0"/>
    <x v="1"/>
    <x v="3"/>
  </r>
  <r>
    <x v="0"/>
    <x v="1"/>
    <x v="1"/>
    <x v="0"/>
    <x v="0"/>
    <x v="318"/>
    <x v="790"/>
    <n v="0"/>
    <x v="0"/>
    <x v="1"/>
    <x v="3"/>
  </r>
  <r>
    <x v="0"/>
    <x v="2"/>
    <x v="2"/>
    <x v="0"/>
    <x v="0"/>
    <x v="318"/>
    <x v="790"/>
    <n v="0"/>
    <x v="0"/>
    <x v="1"/>
    <x v="3"/>
  </r>
  <r>
    <x v="0"/>
    <x v="3"/>
    <x v="3"/>
    <x v="0"/>
    <x v="0"/>
    <x v="318"/>
    <x v="790"/>
    <n v="0"/>
    <x v="0"/>
    <x v="1"/>
    <x v="3"/>
  </r>
  <r>
    <x v="0"/>
    <x v="4"/>
    <x v="4"/>
    <x v="0"/>
    <x v="0"/>
    <x v="318"/>
    <x v="790"/>
    <n v="0"/>
    <x v="0"/>
    <x v="1"/>
    <x v="3"/>
  </r>
  <r>
    <x v="0"/>
    <x v="0"/>
    <x v="0"/>
    <x v="0"/>
    <x v="0"/>
    <x v="322"/>
    <x v="791"/>
    <n v="1631011.43"/>
    <x v="0"/>
    <x v="1"/>
    <x v="3"/>
  </r>
  <r>
    <x v="0"/>
    <x v="1"/>
    <x v="1"/>
    <x v="0"/>
    <x v="0"/>
    <x v="322"/>
    <x v="791"/>
    <n v="821036.71"/>
    <x v="0"/>
    <x v="1"/>
    <x v="3"/>
  </r>
  <r>
    <x v="0"/>
    <x v="2"/>
    <x v="2"/>
    <x v="0"/>
    <x v="0"/>
    <x v="322"/>
    <x v="791"/>
    <n v="7581035.6900000004"/>
    <x v="0"/>
    <x v="1"/>
    <x v="3"/>
  </r>
  <r>
    <x v="0"/>
    <x v="3"/>
    <x v="3"/>
    <x v="0"/>
    <x v="0"/>
    <x v="322"/>
    <x v="791"/>
    <n v="380077.62"/>
    <x v="0"/>
    <x v="1"/>
    <x v="3"/>
  </r>
  <r>
    <x v="0"/>
    <x v="4"/>
    <x v="4"/>
    <x v="0"/>
    <x v="0"/>
    <x v="322"/>
    <x v="791"/>
    <n v="10413161.449999999"/>
    <x v="0"/>
    <x v="1"/>
    <x v="3"/>
  </r>
  <r>
    <x v="0"/>
    <x v="0"/>
    <x v="0"/>
    <x v="0"/>
    <x v="0"/>
    <x v="339"/>
    <x v="792"/>
    <n v="0"/>
    <x v="0"/>
    <x v="1"/>
    <x v="3"/>
  </r>
  <r>
    <x v="0"/>
    <x v="1"/>
    <x v="1"/>
    <x v="0"/>
    <x v="0"/>
    <x v="339"/>
    <x v="792"/>
    <n v="0"/>
    <x v="0"/>
    <x v="1"/>
    <x v="3"/>
  </r>
  <r>
    <x v="0"/>
    <x v="2"/>
    <x v="2"/>
    <x v="0"/>
    <x v="0"/>
    <x v="339"/>
    <x v="792"/>
    <n v="0"/>
    <x v="0"/>
    <x v="1"/>
    <x v="3"/>
  </r>
  <r>
    <x v="0"/>
    <x v="3"/>
    <x v="3"/>
    <x v="0"/>
    <x v="0"/>
    <x v="339"/>
    <x v="792"/>
    <n v="22394.22"/>
    <x v="0"/>
    <x v="1"/>
    <x v="3"/>
  </r>
  <r>
    <x v="0"/>
    <x v="4"/>
    <x v="4"/>
    <x v="0"/>
    <x v="0"/>
    <x v="339"/>
    <x v="792"/>
    <n v="22394.22"/>
    <x v="0"/>
    <x v="1"/>
    <x v="3"/>
  </r>
  <r>
    <x v="0"/>
    <x v="0"/>
    <x v="0"/>
    <x v="0"/>
    <x v="0"/>
    <x v="326"/>
    <x v="793"/>
    <n v="0"/>
    <x v="0"/>
    <x v="1"/>
    <x v="3"/>
  </r>
  <r>
    <x v="0"/>
    <x v="1"/>
    <x v="1"/>
    <x v="0"/>
    <x v="0"/>
    <x v="326"/>
    <x v="793"/>
    <n v="0"/>
    <x v="0"/>
    <x v="1"/>
    <x v="3"/>
  </r>
  <r>
    <x v="0"/>
    <x v="2"/>
    <x v="2"/>
    <x v="0"/>
    <x v="0"/>
    <x v="326"/>
    <x v="793"/>
    <n v="0"/>
    <x v="0"/>
    <x v="1"/>
    <x v="3"/>
  </r>
  <r>
    <x v="0"/>
    <x v="3"/>
    <x v="3"/>
    <x v="0"/>
    <x v="0"/>
    <x v="326"/>
    <x v="793"/>
    <n v="0"/>
    <x v="0"/>
    <x v="1"/>
    <x v="3"/>
  </r>
  <r>
    <x v="0"/>
    <x v="4"/>
    <x v="4"/>
    <x v="0"/>
    <x v="0"/>
    <x v="326"/>
    <x v="793"/>
    <n v="0"/>
    <x v="0"/>
    <x v="1"/>
    <x v="3"/>
  </r>
  <r>
    <x v="0"/>
    <x v="0"/>
    <x v="0"/>
    <x v="0"/>
    <x v="0"/>
    <x v="21"/>
    <x v="794"/>
    <n v="0"/>
    <x v="0"/>
    <x v="1"/>
    <x v="3"/>
  </r>
  <r>
    <x v="0"/>
    <x v="1"/>
    <x v="1"/>
    <x v="0"/>
    <x v="0"/>
    <x v="21"/>
    <x v="794"/>
    <n v="0"/>
    <x v="0"/>
    <x v="1"/>
    <x v="3"/>
  </r>
  <r>
    <x v="0"/>
    <x v="2"/>
    <x v="2"/>
    <x v="0"/>
    <x v="0"/>
    <x v="21"/>
    <x v="794"/>
    <n v="0"/>
    <x v="0"/>
    <x v="1"/>
    <x v="3"/>
  </r>
  <r>
    <x v="0"/>
    <x v="3"/>
    <x v="3"/>
    <x v="0"/>
    <x v="0"/>
    <x v="21"/>
    <x v="794"/>
    <n v="0"/>
    <x v="0"/>
    <x v="1"/>
    <x v="3"/>
  </r>
  <r>
    <x v="0"/>
    <x v="4"/>
    <x v="4"/>
    <x v="0"/>
    <x v="0"/>
    <x v="21"/>
    <x v="794"/>
    <n v="0"/>
    <x v="0"/>
    <x v="1"/>
    <x v="3"/>
  </r>
  <r>
    <x v="0"/>
    <x v="0"/>
    <x v="0"/>
    <x v="0"/>
    <x v="0"/>
    <x v="340"/>
    <x v="795"/>
    <n v="0"/>
    <x v="0"/>
    <x v="1"/>
    <x v="3"/>
  </r>
  <r>
    <x v="0"/>
    <x v="1"/>
    <x v="1"/>
    <x v="0"/>
    <x v="0"/>
    <x v="340"/>
    <x v="795"/>
    <n v="753.58"/>
    <x v="0"/>
    <x v="1"/>
    <x v="3"/>
  </r>
  <r>
    <x v="0"/>
    <x v="2"/>
    <x v="2"/>
    <x v="0"/>
    <x v="0"/>
    <x v="340"/>
    <x v="795"/>
    <n v="250041.2"/>
    <x v="0"/>
    <x v="1"/>
    <x v="3"/>
  </r>
  <r>
    <x v="0"/>
    <x v="3"/>
    <x v="3"/>
    <x v="0"/>
    <x v="0"/>
    <x v="340"/>
    <x v="795"/>
    <n v="5207.92"/>
    <x v="0"/>
    <x v="1"/>
    <x v="3"/>
  </r>
  <r>
    <x v="0"/>
    <x v="4"/>
    <x v="4"/>
    <x v="0"/>
    <x v="0"/>
    <x v="340"/>
    <x v="795"/>
    <n v="256002.7"/>
    <x v="0"/>
    <x v="1"/>
    <x v="3"/>
  </r>
  <r>
    <x v="0"/>
    <x v="0"/>
    <x v="0"/>
    <x v="0"/>
    <x v="0"/>
    <x v="333"/>
    <x v="796"/>
    <n v="0"/>
    <x v="0"/>
    <x v="1"/>
    <x v="3"/>
  </r>
  <r>
    <x v="0"/>
    <x v="1"/>
    <x v="1"/>
    <x v="0"/>
    <x v="0"/>
    <x v="333"/>
    <x v="796"/>
    <n v="0"/>
    <x v="0"/>
    <x v="1"/>
    <x v="3"/>
  </r>
  <r>
    <x v="0"/>
    <x v="2"/>
    <x v="2"/>
    <x v="0"/>
    <x v="0"/>
    <x v="333"/>
    <x v="796"/>
    <n v="0"/>
    <x v="0"/>
    <x v="1"/>
    <x v="3"/>
  </r>
  <r>
    <x v="0"/>
    <x v="3"/>
    <x v="3"/>
    <x v="0"/>
    <x v="0"/>
    <x v="333"/>
    <x v="796"/>
    <n v="0"/>
    <x v="0"/>
    <x v="1"/>
    <x v="3"/>
  </r>
  <r>
    <x v="0"/>
    <x v="4"/>
    <x v="4"/>
    <x v="0"/>
    <x v="0"/>
    <x v="333"/>
    <x v="796"/>
    <n v="0"/>
    <x v="0"/>
    <x v="1"/>
    <x v="3"/>
  </r>
  <r>
    <x v="0"/>
    <x v="0"/>
    <x v="0"/>
    <x v="0"/>
    <x v="0"/>
    <x v="334"/>
    <x v="797"/>
    <n v="0"/>
    <x v="0"/>
    <x v="1"/>
    <x v="3"/>
  </r>
  <r>
    <x v="0"/>
    <x v="1"/>
    <x v="1"/>
    <x v="0"/>
    <x v="0"/>
    <x v="334"/>
    <x v="797"/>
    <n v="0"/>
    <x v="0"/>
    <x v="1"/>
    <x v="3"/>
  </r>
  <r>
    <x v="0"/>
    <x v="2"/>
    <x v="2"/>
    <x v="0"/>
    <x v="0"/>
    <x v="334"/>
    <x v="797"/>
    <n v="0"/>
    <x v="0"/>
    <x v="1"/>
    <x v="3"/>
  </r>
  <r>
    <x v="0"/>
    <x v="3"/>
    <x v="3"/>
    <x v="0"/>
    <x v="0"/>
    <x v="334"/>
    <x v="797"/>
    <n v="0"/>
    <x v="0"/>
    <x v="1"/>
    <x v="3"/>
  </r>
  <r>
    <x v="0"/>
    <x v="4"/>
    <x v="4"/>
    <x v="0"/>
    <x v="0"/>
    <x v="334"/>
    <x v="797"/>
    <n v="0"/>
    <x v="0"/>
    <x v="1"/>
    <x v="3"/>
  </r>
  <r>
    <x v="0"/>
    <x v="0"/>
    <x v="0"/>
    <x v="0"/>
    <x v="0"/>
    <x v="335"/>
    <x v="798"/>
    <n v="0"/>
    <x v="0"/>
    <x v="1"/>
    <x v="3"/>
  </r>
  <r>
    <x v="0"/>
    <x v="1"/>
    <x v="1"/>
    <x v="0"/>
    <x v="0"/>
    <x v="335"/>
    <x v="798"/>
    <n v="0"/>
    <x v="0"/>
    <x v="1"/>
    <x v="3"/>
  </r>
  <r>
    <x v="0"/>
    <x v="2"/>
    <x v="2"/>
    <x v="0"/>
    <x v="0"/>
    <x v="335"/>
    <x v="798"/>
    <n v="0"/>
    <x v="0"/>
    <x v="1"/>
    <x v="3"/>
  </r>
  <r>
    <x v="0"/>
    <x v="3"/>
    <x v="3"/>
    <x v="0"/>
    <x v="0"/>
    <x v="335"/>
    <x v="798"/>
    <n v="0"/>
    <x v="0"/>
    <x v="1"/>
    <x v="3"/>
  </r>
  <r>
    <x v="0"/>
    <x v="4"/>
    <x v="4"/>
    <x v="0"/>
    <x v="0"/>
    <x v="335"/>
    <x v="798"/>
    <n v="0"/>
    <x v="0"/>
    <x v="1"/>
    <x v="3"/>
  </r>
  <r>
    <x v="0"/>
    <x v="0"/>
    <x v="0"/>
    <x v="0"/>
    <x v="0"/>
    <x v="68"/>
    <x v="799"/>
    <n v="0"/>
    <x v="0"/>
    <x v="1"/>
    <x v="3"/>
  </r>
  <r>
    <x v="0"/>
    <x v="1"/>
    <x v="1"/>
    <x v="0"/>
    <x v="0"/>
    <x v="68"/>
    <x v="799"/>
    <n v="0"/>
    <x v="0"/>
    <x v="1"/>
    <x v="3"/>
  </r>
  <r>
    <x v="0"/>
    <x v="2"/>
    <x v="2"/>
    <x v="0"/>
    <x v="0"/>
    <x v="68"/>
    <x v="799"/>
    <n v="0"/>
    <x v="0"/>
    <x v="1"/>
    <x v="3"/>
  </r>
  <r>
    <x v="0"/>
    <x v="3"/>
    <x v="3"/>
    <x v="0"/>
    <x v="0"/>
    <x v="68"/>
    <x v="799"/>
    <n v="2463.21"/>
    <x v="0"/>
    <x v="1"/>
    <x v="3"/>
  </r>
  <r>
    <x v="0"/>
    <x v="4"/>
    <x v="4"/>
    <x v="0"/>
    <x v="0"/>
    <x v="68"/>
    <x v="799"/>
    <n v="2463.21"/>
    <x v="0"/>
    <x v="1"/>
    <x v="3"/>
  </r>
  <r>
    <x v="0"/>
    <x v="0"/>
    <x v="0"/>
    <x v="0"/>
    <x v="0"/>
    <x v="341"/>
    <x v="800"/>
    <n v="0"/>
    <x v="0"/>
    <x v="1"/>
    <x v="2"/>
  </r>
  <r>
    <x v="0"/>
    <x v="1"/>
    <x v="1"/>
    <x v="0"/>
    <x v="0"/>
    <x v="341"/>
    <x v="800"/>
    <n v="0"/>
    <x v="0"/>
    <x v="1"/>
    <x v="2"/>
  </r>
  <r>
    <x v="0"/>
    <x v="2"/>
    <x v="2"/>
    <x v="0"/>
    <x v="0"/>
    <x v="341"/>
    <x v="800"/>
    <n v="0"/>
    <x v="0"/>
    <x v="1"/>
    <x v="2"/>
  </r>
  <r>
    <x v="0"/>
    <x v="3"/>
    <x v="3"/>
    <x v="0"/>
    <x v="0"/>
    <x v="341"/>
    <x v="800"/>
    <n v="0"/>
    <x v="0"/>
    <x v="1"/>
    <x v="2"/>
  </r>
  <r>
    <x v="0"/>
    <x v="4"/>
    <x v="4"/>
    <x v="0"/>
    <x v="0"/>
    <x v="341"/>
    <x v="800"/>
    <n v="0"/>
    <x v="0"/>
    <x v="1"/>
    <x v="2"/>
  </r>
  <r>
    <x v="0"/>
    <x v="0"/>
    <x v="0"/>
    <x v="0"/>
    <x v="0"/>
    <x v="342"/>
    <x v="801"/>
    <n v="1884669.76"/>
    <x v="0"/>
    <x v="1"/>
    <x v="2"/>
  </r>
  <r>
    <x v="0"/>
    <x v="1"/>
    <x v="1"/>
    <x v="0"/>
    <x v="0"/>
    <x v="342"/>
    <x v="801"/>
    <n v="211952.82"/>
    <x v="0"/>
    <x v="1"/>
    <x v="2"/>
  </r>
  <r>
    <x v="0"/>
    <x v="2"/>
    <x v="2"/>
    <x v="0"/>
    <x v="0"/>
    <x v="342"/>
    <x v="801"/>
    <n v="2029762.29"/>
    <x v="0"/>
    <x v="1"/>
    <x v="2"/>
  </r>
  <r>
    <x v="0"/>
    <x v="3"/>
    <x v="3"/>
    <x v="0"/>
    <x v="0"/>
    <x v="342"/>
    <x v="801"/>
    <n v="36355.42"/>
    <x v="0"/>
    <x v="1"/>
    <x v="2"/>
  </r>
  <r>
    <x v="0"/>
    <x v="4"/>
    <x v="4"/>
    <x v="0"/>
    <x v="0"/>
    <x v="342"/>
    <x v="801"/>
    <n v="4162740.29"/>
    <x v="0"/>
    <x v="1"/>
    <x v="2"/>
  </r>
  <r>
    <x v="0"/>
    <x v="0"/>
    <x v="0"/>
    <x v="0"/>
    <x v="0"/>
    <x v="343"/>
    <x v="802"/>
    <n v="0"/>
    <x v="0"/>
    <x v="1"/>
    <x v="3"/>
  </r>
  <r>
    <x v="0"/>
    <x v="1"/>
    <x v="1"/>
    <x v="0"/>
    <x v="0"/>
    <x v="343"/>
    <x v="802"/>
    <n v="0"/>
    <x v="0"/>
    <x v="1"/>
    <x v="3"/>
  </r>
  <r>
    <x v="0"/>
    <x v="2"/>
    <x v="2"/>
    <x v="0"/>
    <x v="0"/>
    <x v="343"/>
    <x v="802"/>
    <n v="0"/>
    <x v="0"/>
    <x v="1"/>
    <x v="3"/>
  </r>
  <r>
    <x v="0"/>
    <x v="3"/>
    <x v="3"/>
    <x v="0"/>
    <x v="0"/>
    <x v="343"/>
    <x v="802"/>
    <n v="0"/>
    <x v="0"/>
    <x v="1"/>
    <x v="3"/>
  </r>
  <r>
    <x v="0"/>
    <x v="4"/>
    <x v="4"/>
    <x v="0"/>
    <x v="0"/>
    <x v="343"/>
    <x v="802"/>
    <n v="0"/>
    <x v="0"/>
    <x v="1"/>
    <x v="3"/>
  </r>
  <r>
    <x v="0"/>
    <x v="0"/>
    <x v="0"/>
    <x v="0"/>
    <x v="0"/>
    <x v="344"/>
    <x v="803"/>
    <n v="56876.14"/>
    <x v="0"/>
    <x v="1"/>
    <x v="3"/>
  </r>
  <r>
    <x v="0"/>
    <x v="1"/>
    <x v="1"/>
    <x v="0"/>
    <x v="0"/>
    <x v="344"/>
    <x v="803"/>
    <n v="19613.099999999999"/>
    <x v="0"/>
    <x v="1"/>
    <x v="3"/>
  </r>
  <r>
    <x v="0"/>
    <x v="2"/>
    <x v="2"/>
    <x v="0"/>
    <x v="0"/>
    <x v="344"/>
    <x v="803"/>
    <n v="1156465.8"/>
    <x v="0"/>
    <x v="1"/>
    <x v="3"/>
  </r>
  <r>
    <x v="0"/>
    <x v="3"/>
    <x v="3"/>
    <x v="0"/>
    <x v="0"/>
    <x v="344"/>
    <x v="803"/>
    <n v="25900.83"/>
    <x v="0"/>
    <x v="1"/>
    <x v="3"/>
  </r>
  <r>
    <x v="0"/>
    <x v="4"/>
    <x v="4"/>
    <x v="0"/>
    <x v="0"/>
    <x v="344"/>
    <x v="803"/>
    <n v="1258855.8699999999"/>
    <x v="0"/>
    <x v="1"/>
    <x v="3"/>
  </r>
  <r>
    <x v="0"/>
    <x v="0"/>
    <x v="0"/>
    <x v="0"/>
    <x v="0"/>
    <x v="345"/>
    <x v="804"/>
    <n v="35157.279999999999"/>
    <x v="0"/>
    <x v="1"/>
    <x v="3"/>
  </r>
  <r>
    <x v="0"/>
    <x v="1"/>
    <x v="1"/>
    <x v="0"/>
    <x v="0"/>
    <x v="345"/>
    <x v="804"/>
    <n v="13730.83"/>
    <x v="0"/>
    <x v="1"/>
    <x v="3"/>
  </r>
  <r>
    <x v="0"/>
    <x v="2"/>
    <x v="2"/>
    <x v="0"/>
    <x v="0"/>
    <x v="345"/>
    <x v="804"/>
    <n v="225902.52"/>
    <x v="0"/>
    <x v="1"/>
    <x v="3"/>
  </r>
  <r>
    <x v="0"/>
    <x v="3"/>
    <x v="3"/>
    <x v="0"/>
    <x v="0"/>
    <x v="345"/>
    <x v="804"/>
    <n v="7833.67"/>
    <x v="0"/>
    <x v="1"/>
    <x v="3"/>
  </r>
  <r>
    <x v="0"/>
    <x v="4"/>
    <x v="4"/>
    <x v="0"/>
    <x v="0"/>
    <x v="345"/>
    <x v="804"/>
    <n v="282624.3"/>
    <x v="0"/>
    <x v="1"/>
    <x v="3"/>
  </r>
  <r>
    <x v="0"/>
    <x v="0"/>
    <x v="0"/>
    <x v="0"/>
    <x v="0"/>
    <x v="346"/>
    <x v="805"/>
    <n v="1278.93"/>
    <x v="0"/>
    <x v="1"/>
    <x v="3"/>
  </r>
  <r>
    <x v="0"/>
    <x v="1"/>
    <x v="1"/>
    <x v="0"/>
    <x v="0"/>
    <x v="346"/>
    <x v="805"/>
    <n v="587.29"/>
    <x v="0"/>
    <x v="1"/>
    <x v="3"/>
  </r>
  <r>
    <x v="0"/>
    <x v="2"/>
    <x v="2"/>
    <x v="0"/>
    <x v="0"/>
    <x v="346"/>
    <x v="805"/>
    <n v="12349.97"/>
    <x v="0"/>
    <x v="1"/>
    <x v="3"/>
  </r>
  <r>
    <x v="0"/>
    <x v="3"/>
    <x v="3"/>
    <x v="0"/>
    <x v="0"/>
    <x v="346"/>
    <x v="805"/>
    <n v="708.36"/>
    <x v="0"/>
    <x v="1"/>
    <x v="3"/>
  </r>
  <r>
    <x v="0"/>
    <x v="4"/>
    <x v="4"/>
    <x v="0"/>
    <x v="0"/>
    <x v="346"/>
    <x v="805"/>
    <n v="14924.55"/>
    <x v="0"/>
    <x v="1"/>
    <x v="3"/>
  </r>
  <r>
    <x v="0"/>
    <x v="0"/>
    <x v="0"/>
    <x v="0"/>
    <x v="0"/>
    <x v="347"/>
    <x v="806"/>
    <n v="544614.98"/>
    <x v="0"/>
    <x v="1"/>
    <x v="3"/>
  </r>
  <r>
    <x v="0"/>
    <x v="1"/>
    <x v="1"/>
    <x v="0"/>
    <x v="0"/>
    <x v="347"/>
    <x v="806"/>
    <n v="63430.74"/>
    <x v="0"/>
    <x v="1"/>
    <x v="3"/>
  </r>
  <r>
    <x v="0"/>
    <x v="2"/>
    <x v="2"/>
    <x v="0"/>
    <x v="0"/>
    <x v="347"/>
    <x v="806"/>
    <n v="635044"/>
    <x v="0"/>
    <x v="1"/>
    <x v="3"/>
  </r>
  <r>
    <x v="0"/>
    <x v="3"/>
    <x v="3"/>
    <x v="0"/>
    <x v="0"/>
    <x v="347"/>
    <x v="806"/>
    <n v="1912.56"/>
    <x v="0"/>
    <x v="1"/>
    <x v="3"/>
  </r>
  <r>
    <x v="0"/>
    <x v="4"/>
    <x v="4"/>
    <x v="0"/>
    <x v="0"/>
    <x v="347"/>
    <x v="806"/>
    <n v="1245002.28"/>
    <x v="0"/>
    <x v="1"/>
    <x v="3"/>
  </r>
  <r>
    <x v="0"/>
    <x v="0"/>
    <x v="0"/>
    <x v="0"/>
    <x v="0"/>
    <x v="348"/>
    <x v="807"/>
    <n v="0"/>
    <x v="0"/>
    <x v="1"/>
    <x v="3"/>
  </r>
  <r>
    <x v="0"/>
    <x v="1"/>
    <x v="1"/>
    <x v="0"/>
    <x v="0"/>
    <x v="348"/>
    <x v="807"/>
    <n v="0"/>
    <x v="0"/>
    <x v="1"/>
    <x v="3"/>
  </r>
  <r>
    <x v="0"/>
    <x v="2"/>
    <x v="2"/>
    <x v="0"/>
    <x v="0"/>
    <x v="348"/>
    <x v="807"/>
    <n v="0"/>
    <x v="0"/>
    <x v="1"/>
    <x v="3"/>
  </r>
  <r>
    <x v="0"/>
    <x v="3"/>
    <x v="3"/>
    <x v="0"/>
    <x v="0"/>
    <x v="348"/>
    <x v="807"/>
    <n v="0"/>
    <x v="0"/>
    <x v="1"/>
    <x v="3"/>
  </r>
  <r>
    <x v="0"/>
    <x v="4"/>
    <x v="4"/>
    <x v="0"/>
    <x v="0"/>
    <x v="348"/>
    <x v="807"/>
    <n v="0"/>
    <x v="0"/>
    <x v="1"/>
    <x v="3"/>
  </r>
  <r>
    <x v="0"/>
    <x v="0"/>
    <x v="0"/>
    <x v="0"/>
    <x v="0"/>
    <x v="190"/>
    <x v="808"/>
    <n v="1246742.43"/>
    <x v="0"/>
    <x v="1"/>
    <x v="3"/>
  </r>
  <r>
    <x v="0"/>
    <x v="1"/>
    <x v="1"/>
    <x v="0"/>
    <x v="0"/>
    <x v="190"/>
    <x v="808"/>
    <n v="114590.86"/>
    <x v="0"/>
    <x v="1"/>
    <x v="3"/>
  </r>
  <r>
    <x v="0"/>
    <x v="2"/>
    <x v="2"/>
    <x v="0"/>
    <x v="0"/>
    <x v="190"/>
    <x v="808"/>
    <n v="0"/>
    <x v="0"/>
    <x v="1"/>
    <x v="3"/>
  </r>
  <r>
    <x v="0"/>
    <x v="3"/>
    <x v="3"/>
    <x v="0"/>
    <x v="0"/>
    <x v="190"/>
    <x v="808"/>
    <n v="0"/>
    <x v="0"/>
    <x v="1"/>
    <x v="3"/>
  </r>
  <r>
    <x v="0"/>
    <x v="4"/>
    <x v="4"/>
    <x v="0"/>
    <x v="0"/>
    <x v="190"/>
    <x v="808"/>
    <n v="1361333.29"/>
    <x v="0"/>
    <x v="1"/>
    <x v="3"/>
  </r>
  <r>
    <x v="0"/>
    <x v="0"/>
    <x v="0"/>
    <x v="0"/>
    <x v="0"/>
    <x v="349"/>
    <x v="809"/>
    <n v="140700.25"/>
    <x v="0"/>
    <x v="1"/>
    <x v="2"/>
  </r>
  <r>
    <x v="0"/>
    <x v="1"/>
    <x v="1"/>
    <x v="0"/>
    <x v="0"/>
    <x v="349"/>
    <x v="809"/>
    <n v="0"/>
    <x v="0"/>
    <x v="1"/>
    <x v="2"/>
  </r>
  <r>
    <x v="0"/>
    <x v="2"/>
    <x v="2"/>
    <x v="0"/>
    <x v="0"/>
    <x v="349"/>
    <x v="809"/>
    <n v="947766.4"/>
    <x v="0"/>
    <x v="1"/>
    <x v="2"/>
  </r>
  <r>
    <x v="0"/>
    <x v="3"/>
    <x v="3"/>
    <x v="0"/>
    <x v="0"/>
    <x v="349"/>
    <x v="809"/>
    <n v="14951.53"/>
    <x v="0"/>
    <x v="1"/>
    <x v="2"/>
  </r>
  <r>
    <x v="0"/>
    <x v="4"/>
    <x v="4"/>
    <x v="0"/>
    <x v="0"/>
    <x v="349"/>
    <x v="809"/>
    <n v="1103418.1800000002"/>
    <x v="0"/>
    <x v="1"/>
    <x v="2"/>
  </r>
  <r>
    <x v="0"/>
    <x v="0"/>
    <x v="0"/>
    <x v="0"/>
    <x v="0"/>
    <x v="350"/>
    <x v="810"/>
    <n v="32950.42"/>
    <x v="0"/>
    <x v="1"/>
    <x v="3"/>
  </r>
  <r>
    <x v="0"/>
    <x v="1"/>
    <x v="1"/>
    <x v="0"/>
    <x v="0"/>
    <x v="350"/>
    <x v="810"/>
    <n v="0"/>
    <x v="0"/>
    <x v="1"/>
    <x v="3"/>
  </r>
  <r>
    <x v="0"/>
    <x v="2"/>
    <x v="2"/>
    <x v="0"/>
    <x v="0"/>
    <x v="350"/>
    <x v="810"/>
    <n v="304899.12"/>
    <x v="0"/>
    <x v="1"/>
    <x v="3"/>
  </r>
  <r>
    <x v="0"/>
    <x v="3"/>
    <x v="3"/>
    <x v="0"/>
    <x v="0"/>
    <x v="350"/>
    <x v="810"/>
    <n v="5084.24"/>
    <x v="0"/>
    <x v="1"/>
    <x v="3"/>
  </r>
  <r>
    <x v="0"/>
    <x v="4"/>
    <x v="4"/>
    <x v="0"/>
    <x v="0"/>
    <x v="350"/>
    <x v="810"/>
    <n v="342933.78"/>
    <x v="0"/>
    <x v="1"/>
    <x v="3"/>
  </r>
  <r>
    <x v="0"/>
    <x v="0"/>
    <x v="0"/>
    <x v="0"/>
    <x v="0"/>
    <x v="351"/>
    <x v="811"/>
    <n v="107749.83"/>
    <x v="0"/>
    <x v="1"/>
    <x v="3"/>
  </r>
  <r>
    <x v="0"/>
    <x v="1"/>
    <x v="1"/>
    <x v="0"/>
    <x v="0"/>
    <x v="351"/>
    <x v="811"/>
    <n v="0"/>
    <x v="0"/>
    <x v="1"/>
    <x v="3"/>
  </r>
  <r>
    <x v="0"/>
    <x v="2"/>
    <x v="2"/>
    <x v="0"/>
    <x v="0"/>
    <x v="351"/>
    <x v="811"/>
    <n v="642867.28"/>
    <x v="0"/>
    <x v="1"/>
    <x v="3"/>
  </r>
  <r>
    <x v="0"/>
    <x v="3"/>
    <x v="3"/>
    <x v="0"/>
    <x v="0"/>
    <x v="351"/>
    <x v="811"/>
    <n v="9867.2900000000009"/>
    <x v="0"/>
    <x v="1"/>
    <x v="3"/>
  </r>
  <r>
    <x v="0"/>
    <x v="4"/>
    <x v="4"/>
    <x v="0"/>
    <x v="0"/>
    <x v="351"/>
    <x v="811"/>
    <n v="760484.4"/>
    <x v="0"/>
    <x v="1"/>
    <x v="3"/>
  </r>
  <r>
    <x v="0"/>
    <x v="0"/>
    <x v="0"/>
    <x v="0"/>
    <x v="0"/>
    <x v="352"/>
    <x v="812"/>
    <n v="939721.72"/>
    <x v="0"/>
    <x v="1"/>
    <x v="2"/>
  </r>
  <r>
    <x v="0"/>
    <x v="1"/>
    <x v="1"/>
    <x v="0"/>
    <x v="0"/>
    <x v="352"/>
    <x v="812"/>
    <n v="123772.31"/>
    <x v="0"/>
    <x v="1"/>
    <x v="2"/>
  </r>
  <r>
    <x v="0"/>
    <x v="2"/>
    <x v="2"/>
    <x v="0"/>
    <x v="0"/>
    <x v="352"/>
    <x v="812"/>
    <n v="1647576.63"/>
    <x v="0"/>
    <x v="1"/>
    <x v="2"/>
  </r>
  <r>
    <x v="0"/>
    <x v="3"/>
    <x v="3"/>
    <x v="0"/>
    <x v="0"/>
    <x v="352"/>
    <x v="812"/>
    <n v="62.62"/>
    <x v="0"/>
    <x v="1"/>
    <x v="2"/>
  </r>
  <r>
    <x v="0"/>
    <x v="4"/>
    <x v="4"/>
    <x v="0"/>
    <x v="0"/>
    <x v="352"/>
    <x v="812"/>
    <n v="2711133.2800000003"/>
    <x v="0"/>
    <x v="1"/>
    <x v="2"/>
  </r>
  <r>
    <x v="0"/>
    <x v="0"/>
    <x v="0"/>
    <x v="0"/>
    <x v="0"/>
    <x v="353"/>
    <x v="813"/>
    <n v="641813.14"/>
    <x v="0"/>
    <x v="1"/>
    <x v="3"/>
  </r>
  <r>
    <x v="0"/>
    <x v="1"/>
    <x v="1"/>
    <x v="0"/>
    <x v="0"/>
    <x v="353"/>
    <x v="813"/>
    <n v="87629.3"/>
    <x v="0"/>
    <x v="1"/>
    <x v="3"/>
  </r>
  <r>
    <x v="0"/>
    <x v="2"/>
    <x v="2"/>
    <x v="0"/>
    <x v="0"/>
    <x v="353"/>
    <x v="813"/>
    <n v="1259025.82"/>
    <x v="0"/>
    <x v="1"/>
    <x v="3"/>
  </r>
  <r>
    <x v="0"/>
    <x v="3"/>
    <x v="3"/>
    <x v="0"/>
    <x v="0"/>
    <x v="353"/>
    <x v="813"/>
    <n v="62.62"/>
    <x v="0"/>
    <x v="1"/>
    <x v="3"/>
  </r>
  <r>
    <x v="0"/>
    <x v="4"/>
    <x v="4"/>
    <x v="0"/>
    <x v="0"/>
    <x v="353"/>
    <x v="813"/>
    <n v="1988530.8800000001"/>
    <x v="0"/>
    <x v="1"/>
    <x v="3"/>
  </r>
  <r>
    <x v="0"/>
    <x v="0"/>
    <x v="0"/>
    <x v="0"/>
    <x v="0"/>
    <x v="354"/>
    <x v="814"/>
    <n v="0"/>
    <x v="0"/>
    <x v="1"/>
    <x v="3"/>
  </r>
  <r>
    <x v="0"/>
    <x v="1"/>
    <x v="1"/>
    <x v="0"/>
    <x v="0"/>
    <x v="354"/>
    <x v="814"/>
    <n v="0"/>
    <x v="0"/>
    <x v="1"/>
    <x v="3"/>
  </r>
  <r>
    <x v="0"/>
    <x v="2"/>
    <x v="2"/>
    <x v="0"/>
    <x v="0"/>
    <x v="354"/>
    <x v="814"/>
    <n v="0"/>
    <x v="0"/>
    <x v="1"/>
    <x v="3"/>
  </r>
  <r>
    <x v="0"/>
    <x v="3"/>
    <x v="3"/>
    <x v="0"/>
    <x v="0"/>
    <x v="354"/>
    <x v="814"/>
    <n v="0"/>
    <x v="0"/>
    <x v="1"/>
    <x v="3"/>
  </r>
  <r>
    <x v="0"/>
    <x v="4"/>
    <x v="4"/>
    <x v="0"/>
    <x v="0"/>
    <x v="354"/>
    <x v="814"/>
    <n v="0"/>
    <x v="0"/>
    <x v="1"/>
    <x v="3"/>
  </r>
  <r>
    <x v="0"/>
    <x v="0"/>
    <x v="0"/>
    <x v="0"/>
    <x v="0"/>
    <x v="355"/>
    <x v="815"/>
    <n v="297908.58"/>
    <x v="0"/>
    <x v="1"/>
    <x v="3"/>
  </r>
  <r>
    <x v="0"/>
    <x v="1"/>
    <x v="1"/>
    <x v="0"/>
    <x v="0"/>
    <x v="355"/>
    <x v="815"/>
    <n v="36143.01"/>
    <x v="0"/>
    <x v="1"/>
    <x v="3"/>
  </r>
  <r>
    <x v="0"/>
    <x v="2"/>
    <x v="2"/>
    <x v="0"/>
    <x v="0"/>
    <x v="355"/>
    <x v="815"/>
    <n v="388550.81"/>
    <x v="0"/>
    <x v="1"/>
    <x v="3"/>
  </r>
  <r>
    <x v="0"/>
    <x v="3"/>
    <x v="3"/>
    <x v="0"/>
    <x v="0"/>
    <x v="355"/>
    <x v="815"/>
    <n v="0"/>
    <x v="0"/>
    <x v="1"/>
    <x v="3"/>
  </r>
  <r>
    <x v="0"/>
    <x v="4"/>
    <x v="4"/>
    <x v="0"/>
    <x v="0"/>
    <x v="355"/>
    <x v="815"/>
    <n v="722602.4"/>
    <x v="0"/>
    <x v="1"/>
    <x v="3"/>
  </r>
  <r>
    <x v="0"/>
    <x v="0"/>
    <x v="0"/>
    <x v="0"/>
    <x v="0"/>
    <x v="356"/>
    <x v="816"/>
    <n v="30807.35"/>
    <x v="0"/>
    <x v="1"/>
    <x v="2"/>
  </r>
  <r>
    <x v="0"/>
    <x v="1"/>
    <x v="1"/>
    <x v="0"/>
    <x v="0"/>
    <x v="356"/>
    <x v="816"/>
    <n v="76013.919999999998"/>
    <x v="0"/>
    <x v="1"/>
    <x v="2"/>
  </r>
  <r>
    <x v="0"/>
    <x v="2"/>
    <x v="2"/>
    <x v="0"/>
    <x v="0"/>
    <x v="356"/>
    <x v="816"/>
    <n v="1058274.3899999999"/>
    <x v="0"/>
    <x v="1"/>
    <x v="2"/>
  </r>
  <r>
    <x v="0"/>
    <x v="3"/>
    <x v="3"/>
    <x v="0"/>
    <x v="0"/>
    <x v="356"/>
    <x v="816"/>
    <n v="25758.84"/>
    <x v="0"/>
    <x v="1"/>
    <x v="2"/>
  </r>
  <r>
    <x v="0"/>
    <x v="4"/>
    <x v="4"/>
    <x v="0"/>
    <x v="0"/>
    <x v="356"/>
    <x v="816"/>
    <n v="1190854.5"/>
    <x v="0"/>
    <x v="1"/>
    <x v="2"/>
  </r>
  <r>
    <x v="0"/>
    <x v="0"/>
    <x v="0"/>
    <x v="0"/>
    <x v="0"/>
    <x v="357"/>
    <x v="817"/>
    <n v="0"/>
    <x v="0"/>
    <x v="1"/>
    <x v="2"/>
  </r>
  <r>
    <x v="0"/>
    <x v="1"/>
    <x v="1"/>
    <x v="0"/>
    <x v="0"/>
    <x v="357"/>
    <x v="817"/>
    <n v="0"/>
    <x v="0"/>
    <x v="1"/>
    <x v="2"/>
  </r>
  <r>
    <x v="0"/>
    <x v="2"/>
    <x v="2"/>
    <x v="0"/>
    <x v="0"/>
    <x v="357"/>
    <x v="817"/>
    <n v="0"/>
    <x v="0"/>
    <x v="1"/>
    <x v="2"/>
  </r>
  <r>
    <x v="0"/>
    <x v="3"/>
    <x v="3"/>
    <x v="0"/>
    <x v="0"/>
    <x v="357"/>
    <x v="817"/>
    <n v="0"/>
    <x v="0"/>
    <x v="1"/>
    <x v="2"/>
  </r>
  <r>
    <x v="0"/>
    <x v="4"/>
    <x v="4"/>
    <x v="0"/>
    <x v="0"/>
    <x v="357"/>
    <x v="817"/>
    <n v="0"/>
    <x v="0"/>
    <x v="1"/>
    <x v="2"/>
  </r>
  <r>
    <x v="0"/>
    <x v="0"/>
    <x v="0"/>
    <x v="0"/>
    <x v="0"/>
    <x v="358"/>
    <x v="818"/>
    <n v="0"/>
    <x v="0"/>
    <x v="1"/>
    <x v="2"/>
  </r>
  <r>
    <x v="0"/>
    <x v="1"/>
    <x v="1"/>
    <x v="0"/>
    <x v="0"/>
    <x v="358"/>
    <x v="818"/>
    <n v="0"/>
    <x v="0"/>
    <x v="1"/>
    <x v="2"/>
  </r>
  <r>
    <x v="0"/>
    <x v="2"/>
    <x v="2"/>
    <x v="0"/>
    <x v="0"/>
    <x v="358"/>
    <x v="818"/>
    <n v="0"/>
    <x v="0"/>
    <x v="1"/>
    <x v="2"/>
  </r>
  <r>
    <x v="0"/>
    <x v="3"/>
    <x v="3"/>
    <x v="0"/>
    <x v="0"/>
    <x v="358"/>
    <x v="818"/>
    <n v="0"/>
    <x v="0"/>
    <x v="1"/>
    <x v="2"/>
  </r>
  <r>
    <x v="0"/>
    <x v="4"/>
    <x v="4"/>
    <x v="0"/>
    <x v="0"/>
    <x v="358"/>
    <x v="818"/>
    <n v="0"/>
    <x v="0"/>
    <x v="1"/>
    <x v="2"/>
  </r>
  <r>
    <x v="0"/>
    <x v="0"/>
    <x v="0"/>
    <x v="0"/>
    <x v="0"/>
    <x v="359"/>
    <x v="819"/>
    <n v="0"/>
    <x v="0"/>
    <x v="1"/>
    <x v="3"/>
  </r>
  <r>
    <x v="0"/>
    <x v="1"/>
    <x v="1"/>
    <x v="0"/>
    <x v="0"/>
    <x v="359"/>
    <x v="819"/>
    <n v="0"/>
    <x v="0"/>
    <x v="1"/>
    <x v="3"/>
  </r>
  <r>
    <x v="0"/>
    <x v="2"/>
    <x v="2"/>
    <x v="0"/>
    <x v="0"/>
    <x v="359"/>
    <x v="819"/>
    <n v="0"/>
    <x v="0"/>
    <x v="1"/>
    <x v="3"/>
  </r>
  <r>
    <x v="0"/>
    <x v="3"/>
    <x v="3"/>
    <x v="0"/>
    <x v="0"/>
    <x v="359"/>
    <x v="819"/>
    <n v="0"/>
    <x v="0"/>
    <x v="1"/>
    <x v="3"/>
  </r>
  <r>
    <x v="0"/>
    <x v="4"/>
    <x v="4"/>
    <x v="0"/>
    <x v="0"/>
    <x v="359"/>
    <x v="819"/>
    <n v="0"/>
    <x v="0"/>
    <x v="1"/>
    <x v="3"/>
  </r>
  <r>
    <x v="0"/>
    <x v="0"/>
    <x v="0"/>
    <x v="0"/>
    <x v="0"/>
    <x v="360"/>
    <x v="820"/>
    <n v="0"/>
    <x v="0"/>
    <x v="1"/>
    <x v="3"/>
  </r>
  <r>
    <x v="0"/>
    <x v="1"/>
    <x v="1"/>
    <x v="0"/>
    <x v="0"/>
    <x v="360"/>
    <x v="820"/>
    <n v="0"/>
    <x v="0"/>
    <x v="1"/>
    <x v="3"/>
  </r>
  <r>
    <x v="0"/>
    <x v="2"/>
    <x v="2"/>
    <x v="0"/>
    <x v="0"/>
    <x v="360"/>
    <x v="820"/>
    <n v="0"/>
    <x v="0"/>
    <x v="1"/>
    <x v="3"/>
  </r>
  <r>
    <x v="0"/>
    <x v="3"/>
    <x v="3"/>
    <x v="0"/>
    <x v="0"/>
    <x v="360"/>
    <x v="820"/>
    <n v="0"/>
    <x v="0"/>
    <x v="1"/>
    <x v="3"/>
  </r>
  <r>
    <x v="0"/>
    <x v="4"/>
    <x v="4"/>
    <x v="0"/>
    <x v="0"/>
    <x v="360"/>
    <x v="820"/>
    <n v="0"/>
    <x v="0"/>
    <x v="1"/>
    <x v="3"/>
  </r>
  <r>
    <x v="0"/>
    <x v="0"/>
    <x v="0"/>
    <x v="0"/>
    <x v="0"/>
    <x v="361"/>
    <x v="821"/>
    <n v="294.16000000000003"/>
    <x v="0"/>
    <x v="1"/>
    <x v="2"/>
  </r>
  <r>
    <x v="0"/>
    <x v="1"/>
    <x v="1"/>
    <x v="0"/>
    <x v="0"/>
    <x v="361"/>
    <x v="821"/>
    <n v="0"/>
    <x v="0"/>
    <x v="1"/>
    <x v="2"/>
  </r>
  <r>
    <x v="0"/>
    <x v="2"/>
    <x v="2"/>
    <x v="0"/>
    <x v="0"/>
    <x v="361"/>
    <x v="821"/>
    <n v="0"/>
    <x v="0"/>
    <x v="1"/>
    <x v="2"/>
  </r>
  <r>
    <x v="0"/>
    <x v="3"/>
    <x v="3"/>
    <x v="0"/>
    <x v="0"/>
    <x v="361"/>
    <x v="821"/>
    <n v="0"/>
    <x v="0"/>
    <x v="1"/>
    <x v="2"/>
  </r>
  <r>
    <x v="0"/>
    <x v="4"/>
    <x v="4"/>
    <x v="0"/>
    <x v="0"/>
    <x v="361"/>
    <x v="821"/>
    <n v="294.16000000000003"/>
    <x v="0"/>
    <x v="1"/>
    <x v="2"/>
  </r>
  <r>
    <x v="0"/>
    <x v="0"/>
    <x v="0"/>
    <x v="0"/>
    <x v="0"/>
    <x v="362"/>
    <x v="822"/>
    <n v="0"/>
    <x v="0"/>
    <x v="1"/>
    <x v="2"/>
  </r>
  <r>
    <x v="0"/>
    <x v="1"/>
    <x v="1"/>
    <x v="0"/>
    <x v="0"/>
    <x v="362"/>
    <x v="822"/>
    <n v="0"/>
    <x v="0"/>
    <x v="1"/>
    <x v="2"/>
  </r>
  <r>
    <x v="0"/>
    <x v="2"/>
    <x v="2"/>
    <x v="0"/>
    <x v="0"/>
    <x v="362"/>
    <x v="822"/>
    <n v="66278.91"/>
    <x v="0"/>
    <x v="1"/>
    <x v="2"/>
  </r>
  <r>
    <x v="0"/>
    <x v="3"/>
    <x v="3"/>
    <x v="0"/>
    <x v="0"/>
    <x v="362"/>
    <x v="822"/>
    <n v="0"/>
    <x v="0"/>
    <x v="1"/>
    <x v="2"/>
  </r>
  <r>
    <x v="0"/>
    <x v="4"/>
    <x v="4"/>
    <x v="0"/>
    <x v="0"/>
    <x v="362"/>
    <x v="822"/>
    <n v="66278.91"/>
    <x v="0"/>
    <x v="1"/>
    <x v="2"/>
  </r>
  <r>
    <x v="0"/>
    <x v="0"/>
    <x v="0"/>
    <x v="0"/>
    <x v="0"/>
    <x v="363"/>
    <x v="823"/>
    <n v="366041.26"/>
    <x v="0"/>
    <x v="1"/>
    <x v="2"/>
  </r>
  <r>
    <x v="0"/>
    <x v="1"/>
    <x v="1"/>
    <x v="0"/>
    <x v="0"/>
    <x v="363"/>
    <x v="823"/>
    <n v="1209.0999999999999"/>
    <x v="0"/>
    <x v="1"/>
    <x v="2"/>
  </r>
  <r>
    <x v="0"/>
    <x v="2"/>
    <x v="2"/>
    <x v="0"/>
    <x v="0"/>
    <x v="363"/>
    <x v="823"/>
    <n v="312326.15999999997"/>
    <x v="0"/>
    <x v="1"/>
    <x v="2"/>
  </r>
  <r>
    <x v="0"/>
    <x v="3"/>
    <x v="3"/>
    <x v="0"/>
    <x v="0"/>
    <x v="363"/>
    <x v="823"/>
    <n v="4189.87"/>
    <x v="0"/>
    <x v="1"/>
    <x v="2"/>
  </r>
  <r>
    <x v="0"/>
    <x v="4"/>
    <x v="4"/>
    <x v="0"/>
    <x v="0"/>
    <x v="363"/>
    <x v="823"/>
    <n v="683766.39"/>
    <x v="0"/>
    <x v="1"/>
    <x v="2"/>
  </r>
  <r>
    <x v="0"/>
    <x v="0"/>
    <x v="0"/>
    <x v="0"/>
    <x v="0"/>
    <x v="364"/>
    <x v="824"/>
    <n v="0"/>
    <x v="0"/>
    <x v="1"/>
    <x v="3"/>
  </r>
  <r>
    <x v="0"/>
    <x v="1"/>
    <x v="1"/>
    <x v="0"/>
    <x v="0"/>
    <x v="364"/>
    <x v="824"/>
    <n v="0"/>
    <x v="0"/>
    <x v="1"/>
    <x v="3"/>
  </r>
  <r>
    <x v="0"/>
    <x v="2"/>
    <x v="2"/>
    <x v="0"/>
    <x v="0"/>
    <x v="364"/>
    <x v="824"/>
    <n v="0"/>
    <x v="0"/>
    <x v="1"/>
    <x v="3"/>
  </r>
  <r>
    <x v="0"/>
    <x v="3"/>
    <x v="3"/>
    <x v="0"/>
    <x v="0"/>
    <x v="364"/>
    <x v="824"/>
    <n v="0"/>
    <x v="0"/>
    <x v="1"/>
    <x v="3"/>
  </r>
  <r>
    <x v="0"/>
    <x v="4"/>
    <x v="4"/>
    <x v="0"/>
    <x v="0"/>
    <x v="364"/>
    <x v="824"/>
    <n v="0"/>
    <x v="0"/>
    <x v="1"/>
    <x v="3"/>
  </r>
  <r>
    <x v="0"/>
    <x v="0"/>
    <x v="0"/>
    <x v="0"/>
    <x v="0"/>
    <x v="365"/>
    <x v="825"/>
    <n v="789.94"/>
    <x v="0"/>
    <x v="1"/>
    <x v="3"/>
  </r>
  <r>
    <x v="0"/>
    <x v="1"/>
    <x v="1"/>
    <x v="0"/>
    <x v="0"/>
    <x v="365"/>
    <x v="825"/>
    <n v="0"/>
    <x v="0"/>
    <x v="1"/>
    <x v="3"/>
  </r>
  <r>
    <x v="0"/>
    <x v="2"/>
    <x v="2"/>
    <x v="0"/>
    <x v="0"/>
    <x v="365"/>
    <x v="825"/>
    <n v="237696.63"/>
    <x v="0"/>
    <x v="1"/>
    <x v="3"/>
  </r>
  <r>
    <x v="0"/>
    <x v="3"/>
    <x v="3"/>
    <x v="0"/>
    <x v="0"/>
    <x v="365"/>
    <x v="825"/>
    <n v="0"/>
    <x v="0"/>
    <x v="1"/>
    <x v="3"/>
  </r>
  <r>
    <x v="0"/>
    <x v="4"/>
    <x v="4"/>
    <x v="0"/>
    <x v="0"/>
    <x v="365"/>
    <x v="825"/>
    <n v="238486.57"/>
    <x v="0"/>
    <x v="1"/>
    <x v="3"/>
  </r>
  <r>
    <x v="0"/>
    <x v="0"/>
    <x v="0"/>
    <x v="0"/>
    <x v="0"/>
    <x v="366"/>
    <x v="826"/>
    <n v="365251.32"/>
    <x v="0"/>
    <x v="1"/>
    <x v="3"/>
  </r>
  <r>
    <x v="0"/>
    <x v="1"/>
    <x v="1"/>
    <x v="0"/>
    <x v="0"/>
    <x v="366"/>
    <x v="826"/>
    <n v="1209.0999999999999"/>
    <x v="0"/>
    <x v="1"/>
    <x v="3"/>
  </r>
  <r>
    <x v="0"/>
    <x v="2"/>
    <x v="2"/>
    <x v="0"/>
    <x v="0"/>
    <x v="366"/>
    <x v="826"/>
    <n v="74629.53"/>
    <x v="0"/>
    <x v="1"/>
    <x v="3"/>
  </r>
  <r>
    <x v="0"/>
    <x v="3"/>
    <x v="3"/>
    <x v="0"/>
    <x v="0"/>
    <x v="366"/>
    <x v="826"/>
    <n v="4189.87"/>
    <x v="0"/>
    <x v="1"/>
    <x v="3"/>
  </r>
  <r>
    <x v="0"/>
    <x v="4"/>
    <x v="4"/>
    <x v="0"/>
    <x v="0"/>
    <x v="366"/>
    <x v="826"/>
    <n v="445279.82"/>
    <x v="0"/>
    <x v="1"/>
    <x v="3"/>
  </r>
  <r>
    <x v="0"/>
    <x v="0"/>
    <x v="0"/>
    <x v="0"/>
    <x v="0"/>
    <x v="340"/>
    <x v="827"/>
    <n v="0"/>
    <x v="0"/>
    <x v="1"/>
    <x v="1"/>
  </r>
  <r>
    <x v="0"/>
    <x v="1"/>
    <x v="1"/>
    <x v="0"/>
    <x v="0"/>
    <x v="340"/>
    <x v="827"/>
    <n v="2166632.69"/>
    <x v="0"/>
    <x v="1"/>
    <x v="1"/>
  </r>
  <r>
    <x v="0"/>
    <x v="2"/>
    <x v="2"/>
    <x v="0"/>
    <x v="0"/>
    <x v="340"/>
    <x v="827"/>
    <n v="38138765.579999998"/>
    <x v="0"/>
    <x v="1"/>
    <x v="1"/>
  </r>
  <r>
    <x v="0"/>
    <x v="3"/>
    <x v="3"/>
    <x v="0"/>
    <x v="0"/>
    <x v="340"/>
    <x v="827"/>
    <n v="536417.03"/>
    <x v="0"/>
    <x v="1"/>
    <x v="1"/>
  </r>
  <r>
    <x v="0"/>
    <x v="4"/>
    <x v="4"/>
    <x v="0"/>
    <x v="0"/>
    <x v="340"/>
    <x v="827"/>
    <n v="40841815.299999997"/>
    <x v="0"/>
    <x v="1"/>
    <x v="1"/>
  </r>
  <r>
    <x v="0"/>
    <x v="0"/>
    <x v="0"/>
    <x v="0"/>
    <x v="0"/>
    <x v="367"/>
    <x v="828"/>
    <n v="0"/>
    <x v="0"/>
    <x v="1"/>
    <x v="2"/>
  </r>
  <r>
    <x v="0"/>
    <x v="1"/>
    <x v="1"/>
    <x v="0"/>
    <x v="0"/>
    <x v="367"/>
    <x v="828"/>
    <n v="0"/>
    <x v="0"/>
    <x v="1"/>
    <x v="2"/>
  </r>
  <r>
    <x v="0"/>
    <x v="2"/>
    <x v="2"/>
    <x v="0"/>
    <x v="0"/>
    <x v="367"/>
    <x v="828"/>
    <n v="0"/>
    <x v="0"/>
    <x v="1"/>
    <x v="2"/>
  </r>
  <r>
    <x v="0"/>
    <x v="3"/>
    <x v="3"/>
    <x v="0"/>
    <x v="0"/>
    <x v="367"/>
    <x v="828"/>
    <n v="0"/>
    <x v="0"/>
    <x v="1"/>
    <x v="2"/>
  </r>
  <r>
    <x v="0"/>
    <x v="4"/>
    <x v="4"/>
    <x v="0"/>
    <x v="0"/>
    <x v="367"/>
    <x v="828"/>
    <n v="0"/>
    <x v="0"/>
    <x v="1"/>
    <x v="2"/>
  </r>
  <r>
    <x v="0"/>
    <x v="0"/>
    <x v="0"/>
    <x v="0"/>
    <x v="0"/>
    <x v="368"/>
    <x v="829"/>
    <n v="0"/>
    <x v="0"/>
    <x v="1"/>
    <x v="2"/>
  </r>
  <r>
    <x v="0"/>
    <x v="1"/>
    <x v="1"/>
    <x v="0"/>
    <x v="0"/>
    <x v="368"/>
    <x v="829"/>
    <n v="0"/>
    <x v="0"/>
    <x v="1"/>
    <x v="2"/>
  </r>
  <r>
    <x v="0"/>
    <x v="2"/>
    <x v="2"/>
    <x v="0"/>
    <x v="0"/>
    <x v="368"/>
    <x v="829"/>
    <n v="0"/>
    <x v="0"/>
    <x v="1"/>
    <x v="2"/>
  </r>
  <r>
    <x v="0"/>
    <x v="3"/>
    <x v="3"/>
    <x v="0"/>
    <x v="0"/>
    <x v="368"/>
    <x v="829"/>
    <n v="0"/>
    <x v="0"/>
    <x v="1"/>
    <x v="2"/>
  </r>
  <r>
    <x v="0"/>
    <x v="4"/>
    <x v="4"/>
    <x v="0"/>
    <x v="0"/>
    <x v="368"/>
    <x v="829"/>
    <n v="0"/>
    <x v="0"/>
    <x v="1"/>
    <x v="2"/>
  </r>
  <r>
    <x v="0"/>
    <x v="0"/>
    <x v="0"/>
    <x v="0"/>
    <x v="0"/>
    <x v="39"/>
    <x v="830"/>
    <n v="0"/>
    <x v="0"/>
    <x v="1"/>
    <x v="3"/>
  </r>
  <r>
    <x v="0"/>
    <x v="1"/>
    <x v="1"/>
    <x v="0"/>
    <x v="0"/>
    <x v="39"/>
    <x v="830"/>
    <n v="0"/>
    <x v="0"/>
    <x v="1"/>
    <x v="3"/>
  </r>
  <r>
    <x v="0"/>
    <x v="2"/>
    <x v="2"/>
    <x v="0"/>
    <x v="0"/>
    <x v="39"/>
    <x v="830"/>
    <n v="0"/>
    <x v="0"/>
    <x v="1"/>
    <x v="3"/>
  </r>
  <r>
    <x v="0"/>
    <x v="3"/>
    <x v="3"/>
    <x v="0"/>
    <x v="0"/>
    <x v="39"/>
    <x v="830"/>
    <n v="0"/>
    <x v="0"/>
    <x v="1"/>
    <x v="3"/>
  </r>
  <r>
    <x v="0"/>
    <x v="4"/>
    <x v="4"/>
    <x v="0"/>
    <x v="0"/>
    <x v="39"/>
    <x v="830"/>
    <n v="0"/>
    <x v="0"/>
    <x v="1"/>
    <x v="3"/>
  </r>
  <r>
    <x v="0"/>
    <x v="0"/>
    <x v="0"/>
    <x v="0"/>
    <x v="0"/>
    <x v="40"/>
    <x v="831"/>
    <n v="0"/>
    <x v="0"/>
    <x v="1"/>
    <x v="3"/>
  </r>
  <r>
    <x v="0"/>
    <x v="1"/>
    <x v="1"/>
    <x v="0"/>
    <x v="0"/>
    <x v="40"/>
    <x v="831"/>
    <n v="0"/>
    <x v="0"/>
    <x v="1"/>
    <x v="3"/>
  </r>
  <r>
    <x v="0"/>
    <x v="2"/>
    <x v="2"/>
    <x v="0"/>
    <x v="0"/>
    <x v="40"/>
    <x v="831"/>
    <n v="0"/>
    <x v="0"/>
    <x v="1"/>
    <x v="3"/>
  </r>
  <r>
    <x v="0"/>
    <x v="3"/>
    <x v="3"/>
    <x v="0"/>
    <x v="0"/>
    <x v="40"/>
    <x v="831"/>
    <n v="0"/>
    <x v="0"/>
    <x v="1"/>
    <x v="3"/>
  </r>
  <r>
    <x v="0"/>
    <x v="4"/>
    <x v="4"/>
    <x v="0"/>
    <x v="0"/>
    <x v="40"/>
    <x v="831"/>
    <n v="0"/>
    <x v="0"/>
    <x v="1"/>
    <x v="3"/>
  </r>
  <r>
    <x v="0"/>
    <x v="0"/>
    <x v="0"/>
    <x v="0"/>
    <x v="0"/>
    <x v="41"/>
    <x v="832"/>
    <n v="0"/>
    <x v="0"/>
    <x v="1"/>
    <x v="3"/>
  </r>
  <r>
    <x v="0"/>
    <x v="1"/>
    <x v="1"/>
    <x v="0"/>
    <x v="0"/>
    <x v="41"/>
    <x v="832"/>
    <n v="0"/>
    <x v="0"/>
    <x v="1"/>
    <x v="3"/>
  </r>
  <r>
    <x v="0"/>
    <x v="2"/>
    <x v="2"/>
    <x v="0"/>
    <x v="0"/>
    <x v="41"/>
    <x v="832"/>
    <n v="0"/>
    <x v="0"/>
    <x v="1"/>
    <x v="3"/>
  </r>
  <r>
    <x v="0"/>
    <x v="3"/>
    <x v="3"/>
    <x v="0"/>
    <x v="0"/>
    <x v="41"/>
    <x v="832"/>
    <n v="0"/>
    <x v="0"/>
    <x v="1"/>
    <x v="3"/>
  </r>
  <r>
    <x v="0"/>
    <x v="4"/>
    <x v="4"/>
    <x v="0"/>
    <x v="0"/>
    <x v="41"/>
    <x v="832"/>
    <n v="0"/>
    <x v="0"/>
    <x v="1"/>
    <x v="3"/>
  </r>
  <r>
    <x v="0"/>
    <x v="0"/>
    <x v="0"/>
    <x v="0"/>
    <x v="0"/>
    <x v="42"/>
    <x v="833"/>
    <n v="0"/>
    <x v="0"/>
    <x v="1"/>
    <x v="3"/>
  </r>
  <r>
    <x v="0"/>
    <x v="1"/>
    <x v="1"/>
    <x v="0"/>
    <x v="0"/>
    <x v="42"/>
    <x v="833"/>
    <n v="0"/>
    <x v="0"/>
    <x v="1"/>
    <x v="3"/>
  </r>
  <r>
    <x v="0"/>
    <x v="2"/>
    <x v="2"/>
    <x v="0"/>
    <x v="0"/>
    <x v="42"/>
    <x v="833"/>
    <n v="0"/>
    <x v="0"/>
    <x v="1"/>
    <x v="3"/>
  </r>
  <r>
    <x v="0"/>
    <x v="3"/>
    <x v="3"/>
    <x v="0"/>
    <x v="0"/>
    <x v="42"/>
    <x v="833"/>
    <n v="0"/>
    <x v="0"/>
    <x v="1"/>
    <x v="3"/>
  </r>
  <r>
    <x v="0"/>
    <x v="4"/>
    <x v="4"/>
    <x v="0"/>
    <x v="0"/>
    <x v="42"/>
    <x v="833"/>
    <n v="0"/>
    <x v="0"/>
    <x v="1"/>
    <x v="3"/>
  </r>
  <r>
    <x v="0"/>
    <x v="0"/>
    <x v="0"/>
    <x v="0"/>
    <x v="0"/>
    <x v="43"/>
    <x v="834"/>
    <n v="0"/>
    <x v="0"/>
    <x v="1"/>
    <x v="3"/>
  </r>
  <r>
    <x v="0"/>
    <x v="1"/>
    <x v="1"/>
    <x v="0"/>
    <x v="0"/>
    <x v="43"/>
    <x v="834"/>
    <n v="0"/>
    <x v="0"/>
    <x v="1"/>
    <x v="3"/>
  </r>
  <r>
    <x v="0"/>
    <x v="2"/>
    <x v="2"/>
    <x v="0"/>
    <x v="0"/>
    <x v="43"/>
    <x v="834"/>
    <n v="0"/>
    <x v="0"/>
    <x v="1"/>
    <x v="3"/>
  </r>
  <r>
    <x v="0"/>
    <x v="3"/>
    <x v="3"/>
    <x v="0"/>
    <x v="0"/>
    <x v="43"/>
    <x v="834"/>
    <n v="0"/>
    <x v="0"/>
    <x v="1"/>
    <x v="3"/>
  </r>
  <r>
    <x v="0"/>
    <x v="4"/>
    <x v="4"/>
    <x v="0"/>
    <x v="0"/>
    <x v="43"/>
    <x v="834"/>
    <n v="0"/>
    <x v="0"/>
    <x v="1"/>
    <x v="3"/>
  </r>
  <r>
    <x v="0"/>
    <x v="0"/>
    <x v="0"/>
    <x v="0"/>
    <x v="0"/>
    <x v="369"/>
    <x v="835"/>
    <n v="0"/>
    <x v="0"/>
    <x v="1"/>
    <x v="2"/>
  </r>
  <r>
    <x v="0"/>
    <x v="1"/>
    <x v="1"/>
    <x v="0"/>
    <x v="0"/>
    <x v="369"/>
    <x v="835"/>
    <n v="0"/>
    <x v="0"/>
    <x v="1"/>
    <x v="2"/>
  </r>
  <r>
    <x v="0"/>
    <x v="2"/>
    <x v="2"/>
    <x v="0"/>
    <x v="0"/>
    <x v="369"/>
    <x v="835"/>
    <n v="14000000"/>
    <x v="0"/>
    <x v="1"/>
    <x v="2"/>
  </r>
  <r>
    <x v="0"/>
    <x v="3"/>
    <x v="3"/>
    <x v="0"/>
    <x v="0"/>
    <x v="369"/>
    <x v="835"/>
    <n v="0"/>
    <x v="0"/>
    <x v="1"/>
    <x v="2"/>
  </r>
  <r>
    <x v="0"/>
    <x v="4"/>
    <x v="4"/>
    <x v="0"/>
    <x v="0"/>
    <x v="369"/>
    <x v="835"/>
    <n v="14000000"/>
    <x v="0"/>
    <x v="1"/>
    <x v="2"/>
  </r>
  <r>
    <x v="0"/>
    <x v="0"/>
    <x v="0"/>
    <x v="0"/>
    <x v="0"/>
    <x v="39"/>
    <x v="836"/>
    <n v="0"/>
    <x v="0"/>
    <x v="1"/>
    <x v="3"/>
  </r>
  <r>
    <x v="0"/>
    <x v="1"/>
    <x v="1"/>
    <x v="0"/>
    <x v="0"/>
    <x v="39"/>
    <x v="836"/>
    <n v="0"/>
    <x v="0"/>
    <x v="1"/>
    <x v="3"/>
  </r>
  <r>
    <x v="0"/>
    <x v="2"/>
    <x v="2"/>
    <x v="0"/>
    <x v="0"/>
    <x v="39"/>
    <x v="836"/>
    <n v="0"/>
    <x v="0"/>
    <x v="1"/>
    <x v="3"/>
  </r>
  <r>
    <x v="0"/>
    <x v="3"/>
    <x v="3"/>
    <x v="0"/>
    <x v="0"/>
    <x v="39"/>
    <x v="836"/>
    <n v="0"/>
    <x v="0"/>
    <x v="1"/>
    <x v="3"/>
  </r>
  <r>
    <x v="0"/>
    <x v="4"/>
    <x v="4"/>
    <x v="0"/>
    <x v="0"/>
    <x v="39"/>
    <x v="836"/>
    <n v="0"/>
    <x v="0"/>
    <x v="1"/>
    <x v="3"/>
  </r>
  <r>
    <x v="0"/>
    <x v="0"/>
    <x v="0"/>
    <x v="0"/>
    <x v="0"/>
    <x v="40"/>
    <x v="837"/>
    <n v="0"/>
    <x v="0"/>
    <x v="1"/>
    <x v="3"/>
  </r>
  <r>
    <x v="0"/>
    <x v="1"/>
    <x v="1"/>
    <x v="0"/>
    <x v="0"/>
    <x v="40"/>
    <x v="837"/>
    <n v="0"/>
    <x v="0"/>
    <x v="1"/>
    <x v="3"/>
  </r>
  <r>
    <x v="0"/>
    <x v="2"/>
    <x v="2"/>
    <x v="0"/>
    <x v="0"/>
    <x v="40"/>
    <x v="837"/>
    <n v="0"/>
    <x v="0"/>
    <x v="1"/>
    <x v="3"/>
  </r>
  <r>
    <x v="0"/>
    <x v="3"/>
    <x v="3"/>
    <x v="0"/>
    <x v="0"/>
    <x v="40"/>
    <x v="837"/>
    <n v="0"/>
    <x v="0"/>
    <x v="1"/>
    <x v="3"/>
  </r>
  <r>
    <x v="0"/>
    <x v="4"/>
    <x v="4"/>
    <x v="0"/>
    <x v="0"/>
    <x v="40"/>
    <x v="837"/>
    <n v="0"/>
    <x v="0"/>
    <x v="1"/>
    <x v="3"/>
  </r>
  <r>
    <x v="0"/>
    <x v="0"/>
    <x v="0"/>
    <x v="0"/>
    <x v="0"/>
    <x v="41"/>
    <x v="838"/>
    <n v="0"/>
    <x v="0"/>
    <x v="1"/>
    <x v="3"/>
  </r>
  <r>
    <x v="0"/>
    <x v="1"/>
    <x v="1"/>
    <x v="0"/>
    <x v="0"/>
    <x v="41"/>
    <x v="838"/>
    <n v="0"/>
    <x v="0"/>
    <x v="1"/>
    <x v="3"/>
  </r>
  <r>
    <x v="0"/>
    <x v="2"/>
    <x v="2"/>
    <x v="0"/>
    <x v="0"/>
    <x v="41"/>
    <x v="838"/>
    <n v="0"/>
    <x v="0"/>
    <x v="1"/>
    <x v="3"/>
  </r>
  <r>
    <x v="0"/>
    <x v="3"/>
    <x v="3"/>
    <x v="0"/>
    <x v="0"/>
    <x v="41"/>
    <x v="838"/>
    <n v="0"/>
    <x v="0"/>
    <x v="1"/>
    <x v="3"/>
  </r>
  <r>
    <x v="0"/>
    <x v="4"/>
    <x v="4"/>
    <x v="0"/>
    <x v="0"/>
    <x v="41"/>
    <x v="838"/>
    <n v="0"/>
    <x v="0"/>
    <x v="1"/>
    <x v="3"/>
  </r>
  <r>
    <x v="0"/>
    <x v="0"/>
    <x v="0"/>
    <x v="0"/>
    <x v="0"/>
    <x v="42"/>
    <x v="839"/>
    <n v="0"/>
    <x v="0"/>
    <x v="1"/>
    <x v="3"/>
  </r>
  <r>
    <x v="0"/>
    <x v="1"/>
    <x v="1"/>
    <x v="0"/>
    <x v="0"/>
    <x v="42"/>
    <x v="839"/>
    <n v="0"/>
    <x v="0"/>
    <x v="1"/>
    <x v="3"/>
  </r>
  <r>
    <x v="0"/>
    <x v="2"/>
    <x v="2"/>
    <x v="0"/>
    <x v="0"/>
    <x v="42"/>
    <x v="839"/>
    <n v="0"/>
    <x v="0"/>
    <x v="1"/>
    <x v="3"/>
  </r>
  <r>
    <x v="0"/>
    <x v="3"/>
    <x v="3"/>
    <x v="0"/>
    <x v="0"/>
    <x v="42"/>
    <x v="839"/>
    <n v="0"/>
    <x v="0"/>
    <x v="1"/>
    <x v="3"/>
  </r>
  <r>
    <x v="0"/>
    <x v="4"/>
    <x v="4"/>
    <x v="0"/>
    <x v="0"/>
    <x v="42"/>
    <x v="839"/>
    <n v="0"/>
    <x v="0"/>
    <x v="1"/>
    <x v="3"/>
  </r>
  <r>
    <x v="0"/>
    <x v="0"/>
    <x v="0"/>
    <x v="0"/>
    <x v="0"/>
    <x v="43"/>
    <x v="840"/>
    <n v="0"/>
    <x v="0"/>
    <x v="1"/>
    <x v="3"/>
  </r>
  <r>
    <x v="0"/>
    <x v="1"/>
    <x v="1"/>
    <x v="0"/>
    <x v="0"/>
    <x v="43"/>
    <x v="840"/>
    <n v="0"/>
    <x v="0"/>
    <x v="1"/>
    <x v="3"/>
  </r>
  <r>
    <x v="0"/>
    <x v="2"/>
    <x v="2"/>
    <x v="0"/>
    <x v="0"/>
    <x v="43"/>
    <x v="840"/>
    <n v="14000000"/>
    <x v="0"/>
    <x v="1"/>
    <x v="3"/>
  </r>
  <r>
    <x v="0"/>
    <x v="3"/>
    <x v="3"/>
    <x v="0"/>
    <x v="0"/>
    <x v="43"/>
    <x v="840"/>
    <n v="0"/>
    <x v="0"/>
    <x v="1"/>
    <x v="3"/>
  </r>
  <r>
    <x v="0"/>
    <x v="4"/>
    <x v="4"/>
    <x v="0"/>
    <x v="0"/>
    <x v="43"/>
    <x v="840"/>
    <n v="14000000"/>
    <x v="0"/>
    <x v="1"/>
    <x v="3"/>
  </r>
  <r>
    <x v="0"/>
    <x v="0"/>
    <x v="0"/>
    <x v="0"/>
    <x v="0"/>
    <x v="370"/>
    <x v="841"/>
    <n v="0"/>
    <x v="0"/>
    <x v="1"/>
    <x v="2"/>
  </r>
  <r>
    <x v="0"/>
    <x v="1"/>
    <x v="1"/>
    <x v="0"/>
    <x v="0"/>
    <x v="370"/>
    <x v="841"/>
    <n v="2166632.69"/>
    <x v="0"/>
    <x v="1"/>
    <x v="2"/>
  </r>
  <r>
    <x v="0"/>
    <x v="2"/>
    <x v="2"/>
    <x v="0"/>
    <x v="0"/>
    <x v="370"/>
    <x v="841"/>
    <n v="18863765.579999998"/>
    <x v="0"/>
    <x v="1"/>
    <x v="2"/>
  </r>
  <r>
    <x v="0"/>
    <x v="3"/>
    <x v="3"/>
    <x v="0"/>
    <x v="0"/>
    <x v="370"/>
    <x v="841"/>
    <n v="536417.03"/>
    <x v="0"/>
    <x v="1"/>
    <x v="2"/>
  </r>
  <r>
    <x v="0"/>
    <x v="4"/>
    <x v="4"/>
    <x v="0"/>
    <x v="0"/>
    <x v="370"/>
    <x v="841"/>
    <n v="21566815.300000001"/>
    <x v="0"/>
    <x v="1"/>
    <x v="2"/>
  </r>
  <r>
    <x v="0"/>
    <x v="0"/>
    <x v="0"/>
    <x v="0"/>
    <x v="0"/>
    <x v="39"/>
    <x v="842"/>
    <n v="0"/>
    <x v="0"/>
    <x v="1"/>
    <x v="3"/>
  </r>
  <r>
    <x v="0"/>
    <x v="1"/>
    <x v="1"/>
    <x v="0"/>
    <x v="0"/>
    <x v="39"/>
    <x v="842"/>
    <n v="56776.25"/>
    <x v="0"/>
    <x v="1"/>
    <x v="3"/>
  </r>
  <r>
    <x v="0"/>
    <x v="2"/>
    <x v="2"/>
    <x v="0"/>
    <x v="0"/>
    <x v="39"/>
    <x v="842"/>
    <n v="0"/>
    <x v="0"/>
    <x v="1"/>
    <x v="3"/>
  </r>
  <r>
    <x v="0"/>
    <x v="3"/>
    <x v="3"/>
    <x v="0"/>
    <x v="0"/>
    <x v="39"/>
    <x v="842"/>
    <n v="15552.87"/>
    <x v="0"/>
    <x v="1"/>
    <x v="3"/>
  </r>
  <r>
    <x v="0"/>
    <x v="4"/>
    <x v="4"/>
    <x v="0"/>
    <x v="0"/>
    <x v="39"/>
    <x v="842"/>
    <n v="72329.119999999995"/>
    <x v="0"/>
    <x v="1"/>
    <x v="3"/>
  </r>
  <r>
    <x v="0"/>
    <x v="0"/>
    <x v="0"/>
    <x v="0"/>
    <x v="0"/>
    <x v="40"/>
    <x v="843"/>
    <n v="0"/>
    <x v="0"/>
    <x v="1"/>
    <x v="3"/>
  </r>
  <r>
    <x v="0"/>
    <x v="1"/>
    <x v="1"/>
    <x v="0"/>
    <x v="0"/>
    <x v="40"/>
    <x v="843"/>
    <n v="114362.36"/>
    <x v="0"/>
    <x v="1"/>
    <x v="3"/>
  </r>
  <r>
    <x v="0"/>
    <x v="2"/>
    <x v="2"/>
    <x v="0"/>
    <x v="0"/>
    <x v="40"/>
    <x v="843"/>
    <n v="0"/>
    <x v="0"/>
    <x v="1"/>
    <x v="3"/>
  </r>
  <r>
    <x v="0"/>
    <x v="3"/>
    <x v="3"/>
    <x v="0"/>
    <x v="0"/>
    <x v="40"/>
    <x v="843"/>
    <n v="31101.22"/>
    <x v="0"/>
    <x v="1"/>
    <x v="3"/>
  </r>
  <r>
    <x v="0"/>
    <x v="4"/>
    <x v="4"/>
    <x v="0"/>
    <x v="0"/>
    <x v="40"/>
    <x v="843"/>
    <n v="145463.57999999999"/>
    <x v="0"/>
    <x v="1"/>
    <x v="3"/>
  </r>
  <r>
    <x v="0"/>
    <x v="0"/>
    <x v="0"/>
    <x v="0"/>
    <x v="0"/>
    <x v="41"/>
    <x v="844"/>
    <n v="0"/>
    <x v="0"/>
    <x v="1"/>
    <x v="3"/>
  </r>
  <r>
    <x v="0"/>
    <x v="1"/>
    <x v="1"/>
    <x v="0"/>
    <x v="0"/>
    <x v="41"/>
    <x v="844"/>
    <n v="172950.66"/>
    <x v="0"/>
    <x v="1"/>
    <x v="3"/>
  </r>
  <r>
    <x v="0"/>
    <x v="2"/>
    <x v="2"/>
    <x v="0"/>
    <x v="0"/>
    <x v="41"/>
    <x v="844"/>
    <n v="0"/>
    <x v="0"/>
    <x v="1"/>
    <x v="3"/>
  </r>
  <r>
    <x v="0"/>
    <x v="3"/>
    <x v="3"/>
    <x v="0"/>
    <x v="0"/>
    <x v="41"/>
    <x v="844"/>
    <n v="46103.58"/>
    <x v="0"/>
    <x v="1"/>
    <x v="3"/>
  </r>
  <r>
    <x v="0"/>
    <x v="4"/>
    <x v="4"/>
    <x v="0"/>
    <x v="0"/>
    <x v="41"/>
    <x v="844"/>
    <n v="219054.24"/>
    <x v="0"/>
    <x v="1"/>
    <x v="3"/>
  </r>
  <r>
    <x v="0"/>
    <x v="0"/>
    <x v="0"/>
    <x v="0"/>
    <x v="0"/>
    <x v="42"/>
    <x v="845"/>
    <n v="0"/>
    <x v="0"/>
    <x v="1"/>
    <x v="3"/>
  </r>
  <r>
    <x v="0"/>
    <x v="1"/>
    <x v="1"/>
    <x v="0"/>
    <x v="0"/>
    <x v="42"/>
    <x v="845"/>
    <n v="351554.49"/>
    <x v="0"/>
    <x v="1"/>
    <x v="3"/>
  </r>
  <r>
    <x v="0"/>
    <x v="2"/>
    <x v="2"/>
    <x v="0"/>
    <x v="0"/>
    <x v="42"/>
    <x v="845"/>
    <n v="0"/>
    <x v="0"/>
    <x v="1"/>
    <x v="3"/>
  </r>
  <r>
    <x v="0"/>
    <x v="3"/>
    <x v="3"/>
    <x v="0"/>
    <x v="0"/>
    <x v="42"/>
    <x v="845"/>
    <n v="33173.29"/>
    <x v="0"/>
    <x v="1"/>
    <x v="3"/>
  </r>
  <r>
    <x v="0"/>
    <x v="4"/>
    <x v="4"/>
    <x v="0"/>
    <x v="0"/>
    <x v="42"/>
    <x v="845"/>
    <n v="384727.78"/>
    <x v="0"/>
    <x v="1"/>
    <x v="3"/>
  </r>
  <r>
    <x v="0"/>
    <x v="0"/>
    <x v="0"/>
    <x v="0"/>
    <x v="0"/>
    <x v="43"/>
    <x v="846"/>
    <n v="0"/>
    <x v="0"/>
    <x v="1"/>
    <x v="3"/>
  </r>
  <r>
    <x v="0"/>
    <x v="1"/>
    <x v="1"/>
    <x v="0"/>
    <x v="0"/>
    <x v="43"/>
    <x v="846"/>
    <n v="1470988.93"/>
    <x v="0"/>
    <x v="1"/>
    <x v="3"/>
  </r>
  <r>
    <x v="0"/>
    <x v="2"/>
    <x v="2"/>
    <x v="0"/>
    <x v="0"/>
    <x v="43"/>
    <x v="846"/>
    <n v="18863765.579999998"/>
    <x v="0"/>
    <x v="1"/>
    <x v="3"/>
  </r>
  <r>
    <x v="0"/>
    <x v="3"/>
    <x v="3"/>
    <x v="0"/>
    <x v="0"/>
    <x v="43"/>
    <x v="846"/>
    <n v="410486.07"/>
    <x v="0"/>
    <x v="1"/>
    <x v="3"/>
  </r>
  <r>
    <x v="0"/>
    <x v="4"/>
    <x v="4"/>
    <x v="0"/>
    <x v="0"/>
    <x v="43"/>
    <x v="846"/>
    <n v="20745240.579999998"/>
    <x v="0"/>
    <x v="1"/>
    <x v="3"/>
  </r>
  <r>
    <x v="0"/>
    <x v="0"/>
    <x v="0"/>
    <x v="0"/>
    <x v="0"/>
    <x v="371"/>
    <x v="847"/>
    <n v="0"/>
    <x v="0"/>
    <x v="1"/>
    <x v="2"/>
  </r>
  <r>
    <x v="0"/>
    <x v="1"/>
    <x v="1"/>
    <x v="0"/>
    <x v="0"/>
    <x v="371"/>
    <x v="847"/>
    <n v="0"/>
    <x v="0"/>
    <x v="1"/>
    <x v="2"/>
  </r>
  <r>
    <x v="0"/>
    <x v="2"/>
    <x v="2"/>
    <x v="0"/>
    <x v="0"/>
    <x v="371"/>
    <x v="847"/>
    <n v="0"/>
    <x v="0"/>
    <x v="1"/>
    <x v="2"/>
  </r>
  <r>
    <x v="0"/>
    <x v="3"/>
    <x v="3"/>
    <x v="0"/>
    <x v="0"/>
    <x v="371"/>
    <x v="847"/>
    <n v="0"/>
    <x v="0"/>
    <x v="1"/>
    <x v="2"/>
  </r>
  <r>
    <x v="0"/>
    <x v="4"/>
    <x v="4"/>
    <x v="0"/>
    <x v="0"/>
    <x v="371"/>
    <x v="847"/>
    <n v="0"/>
    <x v="0"/>
    <x v="1"/>
    <x v="2"/>
  </r>
  <r>
    <x v="0"/>
    <x v="0"/>
    <x v="0"/>
    <x v="0"/>
    <x v="0"/>
    <x v="39"/>
    <x v="848"/>
    <n v="0"/>
    <x v="0"/>
    <x v="1"/>
    <x v="3"/>
  </r>
  <r>
    <x v="0"/>
    <x v="1"/>
    <x v="1"/>
    <x v="0"/>
    <x v="0"/>
    <x v="39"/>
    <x v="848"/>
    <n v="0"/>
    <x v="0"/>
    <x v="1"/>
    <x v="3"/>
  </r>
  <r>
    <x v="0"/>
    <x v="2"/>
    <x v="2"/>
    <x v="0"/>
    <x v="0"/>
    <x v="39"/>
    <x v="848"/>
    <n v="0"/>
    <x v="0"/>
    <x v="1"/>
    <x v="3"/>
  </r>
  <r>
    <x v="0"/>
    <x v="3"/>
    <x v="3"/>
    <x v="0"/>
    <x v="0"/>
    <x v="39"/>
    <x v="848"/>
    <n v="0"/>
    <x v="0"/>
    <x v="1"/>
    <x v="3"/>
  </r>
  <r>
    <x v="0"/>
    <x v="4"/>
    <x v="4"/>
    <x v="0"/>
    <x v="0"/>
    <x v="39"/>
    <x v="848"/>
    <n v="0"/>
    <x v="0"/>
    <x v="1"/>
    <x v="3"/>
  </r>
  <r>
    <x v="0"/>
    <x v="0"/>
    <x v="0"/>
    <x v="0"/>
    <x v="0"/>
    <x v="40"/>
    <x v="849"/>
    <n v="0"/>
    <x v="0"/>
    <x v="1"/>
    <x v="3"/>
  </r>
  <r>
    <x v="0"/>
    <x v="1"/>
    <x v="1"/>
    <x v="0"/>
    <x v="0"/>
    <x v="40"/>
    <x v="849"/>
    <n v="0"/>
    <x v="0"/>
    <x v="1"/>
    <x v="3"/>
  </r>
  <r>
    <x v="0"/>
    <x v="2"/>
    <x v="2"/>
    <x v="0"/>
    <x v="0"/>
    <x v="40"/>
    <x v="849"/>
    <n v="0"/>
    <x v="0"/>
    <x v="1"/>
    <x v="3"/>
  </r>
  <r>
    <x v="0"/>
    <x v="3"/>
    <x v="3"/>
    <x v="0"/>
    <x v="0"/>
    <x v="40"/>
    <x v="849"/>
    <n v="0"/>
    <x v="0"/>
    <x v="1"/>
    <x v="3"/>
  </r>
  <r>
    <x v="0"/>
    <x v="4"/>
    <x v="4"/>
    <x v="0"/>
    <x v="0"/>
    <x v="40"/>
    <x v="849"/>
    <n v="0"/>
    <x v="0"/>
    <x v="1"/>
    <x v="3"/>
  </r>
  <r>
    <x v="0"/>
    <x v="0"/>
    <x v="0"/>
    <x v="0"/>
    <x v="0"/>
    <x v="41"/>
    <x v="850"/>
    <n v="0"/>
    <x v="0"/>
    <x v="1"/>
    <x v="3"/>
  </r>
  <r>
    <x v="0"/>
    <x v="1"/>
    <x v="1"/>
    <x v="0"/>
    <x v="0"/>
    <x v="41"/>
    <x v="850"/>
    <n v="0"/>
    <x v="0"/>
    <x v="1"/>
    <x v="3"/>
  </r>
  <r>
    <x v="0"/>
    <x v="2"/>
    <x v="2"/>
    <x v="0"/>
    <x v="0"/>
    <x v="41"/>
    <x v="850"/>
    <n v="0"/>
    <x v="0"/>
    <x v="1"/>
    <x v="3"/>
  </r>
  <r>
    <x v="0"/>
    <x v="3"/>
    <x v="3"/>
    <x v="0"/>
    <x v="0"/>
    <x v="41"/>
    <x v="850"/>
    <n v="0"/>
    <x v="0"/>
    <x v="1"/>
    <x v="3"/>
  </r>
  <r>
    <x v="0"/>
    <x v="4"/>
    <x v="4"/>
    <x v="0"/>
    <x v="0"/>
    <x v="41"/>
    <x v="850"/>
    <n v="0"/>
    <x v="0"/>
    <x v="1"/>
    <x v="3"/>
  </r>
  <r>
    <x v="0"/>
    <x v="0"/>
    <x v="0"/>
    <x v="0"/>
    <x v="0"/>
    <x v="42"/>
    <x v="851"/>
    <n v="0"/>
    <x v="0"/>
    <x v="1"/>
    <x v="3"/>
  </r>
  <r>
    <x v="0"/>
    <x v="1"/>
    <x v="1"/>
    <x v="0"/>
    <x v="0"/>
    <x v="42"/>
    <x v="851"/>
    <n v="0"/>
    <x v="0"/>
    <x v="1"/>
    <x v="3"/>
  </r>
  <r>
    <x v="0"/>
    <x v="2"/>
    <x v="2"/>
    <x v="0"/>
    <x v="0"/>
    <x v="42"/>
    <x v="851"/>
    <n v="0"/>
    <x v="0"/>
    <x v="1"/>
    <x v="3"/>
  </r>
  <r>
    <x v="0"/>
    <x v="3"/>
    <x v="3"/>
    <x v="0"/>
    <x v="0"/>
    <x v="42"/>
    <x v="851"/>
    <n v="0"/>
    <x v="0"/>
    <x v="1"/>
    <x v="3"/>
  </r>
  <r>
    <x v="0"/>
    <x v="4"/>
    <x v="4"/>
    <x v="0"/>
    <x v="0"/>
    <x v="42"/>
    <x v="851"/>
    <n v="0"/>
    <x v="0"/>
    <x v="1"/>
    <x v="3"/>
  </r>
  <r>
    <x v="0"/>
    <x v="0"/>
    <x v="0"/>
    <x v="0"/>
    <x v="0"/>
    <x v="43"/>
    <x v="852"/>
    <n v="0"/>
    <x v="0"/>
    <x v="1"/>
    <x v="3"/>
  </r>
  <r>
    <x v="0"/>
    <x v="1"/>
    <x v="1"/>
    <x v="0"/>
    <x v="0"/>
    <x v="43"/>
    <x v="852"/>
    <n v="0"/>
    <x v="0"/>
    <x v="1"/>
    <x v="3"/>
  </r>
  <r>
    <x v="0"/>
    <x v="2"/>
    <x v="2"/>
    <x v="0"/>
    <x v="0"/>
    <x v="43"/>
    <x v="852"/>
    <n v="0"/>
    <x v="0"/>
    <x v="1"/>
    <x v="3"/>
  </r>
  <r>
    <x v="0"/>
    <x v="3"/>
    <x v="3"/>
    <x v="0"/>
    <x v="0"/>
    <x v="43"/>
    <x v="852"/>
    <n v="0"/>
    <x v="0"/>
    <x v="1"/>
    <x v="3"/>
  </r>
  <r>
    <x v="0"/>
    <x v="4"/>
    <x v="4"/>
    <x v="0"/>
    <x v="0"/>
    <x v="43"/>
    <x v="852"/>
    <n v="0"/>
    <x v="0"/>
    <x v="1"/>
    <x v="3"/>
  </r>
  <r>
    <x v="0"/>
    <x v="0"/>
    <x v="0"/>
    <x v="0"/>
    <x v="0"/>
    <x v="372"/>
    <x v="853"/>
    <n v="0"/>
    <x v="0"/>
    <x v="1"/>
    <x v="2"/>
  </r>
  <r>
    <x v="0"/>
    <x v="1"/>
    <x v="1"/>
    <x v="0"/>
    <x v="0"/>
    <x v="372"/>
    <x v="853"/>
    <n v="0"/>
    <x v="0"/>
    <x v="1"/>
    <x v="2"/>
  </r>
  <r>
    <x v="0"/>
    <x v="2"/>
    <x v="2"/>
    <x v="0"/>
    <x v="0"/>
    <x v="372"/>
    <x v="853"/>
    <n v="5275000"/>
    <x v="0"/>
    <x v="1"/>
    <x v="2"/>
  </r>
  <r>
    <x v="0"/>
    <x v="3"/>
    <x v="3"/>
    <x v="0"/>
    <x v="0"/>
    <x v="372"/>
    <x v="853"/>
    <n v="0"/>
    <x v="0"/>
    <x v="1"/>
    <x v="2"/>
  </r>
  <r>
    <x v="0"/>
    <x v="4"/>
    <x v="4"/>
    <x v="0"/>
    <x v="0"/>
    <x v="372"/>
    <x v="853"/>
    <n v="5275000"/>
    <x v="0"/>
    <x v="1"/>
    <x v="2"/>
  </r>
  <r>
    <x v="0"/>
    <x v="0"/>
    <x v="0"/>
    <x v="0"/>
    <x v="0"/>
    <x v="39"/>
    <x v="854"/>
    <n v="0"/>
    <x v="0"/>
    <x v="1"/>
    <x v="3"/>
  </r>
  <r>
    <x v="0"/>
    <x v="1"/>
    <x v="1"/>
    <x v="0"/>
    <x v="0"/>
    <x v="39"/>
    <x v="854"/>
    <n v="0"/>
    <x v="0"/>
    <x v="1"/>
    <x v="3"/>
  </r>
  <r>
    <x v="0"/>
    <x v="2"/>
    <x v="2"/>
    <x v="0"/>
    <x v="0"/>
    <x v="39"/>
    <x v="854"/>
    <n v="0"/>
    <x v="0"/>
    <x v="1"/>
    <x v="3"/>
  </r>
  <r>
    <x v="0"/>
    <x v="3"/>
    <x v="3"/>
    <x v="0"/>
    <x v="0"/>
    <x v="39"/>
    <x v="854"/>
    <n v="0"/>
    <x v="0"/>
    <x v="1"/>
    <x v="3"/>
  </r>
  <r>
    <x v="0"/>
    <x v="4"/>
    <x v="4"/>
    <x v="0"/>
    <x v="0"/>
    <x v="39"/>
    <x v="854"/>
    <n v="0"/>
    <x v="0"/>
    <x v="1"/>
    <x v="3"/>
  </r>
  <r>
    <x v="0"/>
    <x v="0"/>
    <x v="0"/>
    <x v="0"/>
    <x v="0"/>
    <x v="40"/>
    <x v="855"/>
    <n v="0"/>
    <x v="0"/>
    <x v="1"/>
    <x v="3"/>
  </r>
  <r>
    <x v="0"/>
    <x v="1"/>
    <x v="1"/>
    <x v="0"/>
    <x v="0"/>
    <x v="40"/>
    <x v="855"/>
    <n v="0"/>
    <x v="0"/>
    <x v="1"/>
    <x v="3"/>
  </r>
  <r>
    <x v="0"/>
    <x v="2"/>
    <x v="2"/>
    <x v="0"/>
    <x v="0"/>
    <x v="40"/>
    <x v="855"/>
    <n v="0"/>
    <x v="0"/>
    <x v="1"/>
    <x v="3"/>
  </r>
  <r>
    <x v="0"/>
    <x v="3"/>
    <x v="3"/>
    <x v="0"/>
    <x v="0"/>
    <x v="40"/>
    <x v="855"/>
    <n v="0"/>
    <x v="0"/>
    <x v="1"/>
    <x v="3"/>
  </r>
  <r>
    <x v="0"/>
    <x v="4"/>
    <x v="4"/>
    <x v="0"/>
    <x v="0"/>
    <x v="40"/>
    <x v="855"/>
    <n v="0"/>
    <x v="0"/>
    <x v="1"/>
    <x v="3"/>
  </r>
  <r>
    <x v="0"/>
    <x v="0"/>
    <x v="0"/>
    <x v="0"/>
    <x v="0"/>
    <x v="41"/>
    <x v="856"/>
    <n v="0"/>
    <x v="0"/>
    <x v="1"/>
    <x v="3"/>
  </r>
  <r>
    <x v="0"/>
    <x v="1"/>
    <x v="1"/>
    <x v="0"/>
    <x v="0"/>
    <x v="41"/>
    <x v="856"/>
    <n v="0"/>
    <x v="0"/>
    <x v="1"/>
    <x v="3"/>
  </r>
  <r>
    <x v="0"/>
    <x v="2"/>
    <x v="2"/>
    <x v="0"/>
    <x v="0"/>
    <x v="41"/>
    <x v="856"/>
    <n v="0"/>
    <x v="0"/>
    <x v="1"/>
    <x v="3"/>
  </r>
  <r>
    <x v="0"/>
    <x v="3"/>
    <x v="3"/>
    <x v="0"/>
    <x v="0"/>
    <x v="41"/>
    <x v="856"/>
    <n v="0"/>
    <x v="0"/>
    <x v="1"/>
    <x v="3"/>
  </r>
  <r>
    <x v="0"/>
    <x v="4"/>
    <x v="4"/>
    <x v="0"/>
    <x v="0"/>
    <x v="41"/>
    <x v="856"/>
    <n v="0"/>
    <x v="0"/>
    <x v="1"/>
    <x v="3"/>
  </r>
  <r>
    <x v="0"/>
    <x v="0"/>
    <x v="0"/>
    <x v="0"/>
    <x v="0"/>
    <x v="42"/>
    <x v="857"/>
    <n v="0"/>
    <x v="0"/>
    <x v="1"/>
    <x v="3"/>
  </r>
  <r>
    <x v="0"/>
    <x v="1"/>
    <x v="1"/>
    <x v="0"/>
    <x v="0"/>
    <x v="42"/>
    <x v="857"/>
    <n v="0"/>
    <x v="0"/>
    <x v="1"/>
    <x v="3"/>
  </r>
  <r>
    <x v="0"/>
    <x v="2"/>
    <x v="2"/>
    <x v="0"/>
    <x v="0"/>
    <x v="42"/>
    <x v="857"/>
    <n v="0"/>
    <x v="0"/>
    <x v="1"/>
    <x v="3"/>
  </r>
  <r>
    <x v="0"/>
    <x v="3"/>
    <x v="3"/>
    <x v="0"/>
    <x v="0"/>
    <x v="42"/>
    <x v="857"/>
    <n v="0"/>
    <x v="0"/>
    <x v="1"/>
    <x v="3"/>
  </r>
  <r>
    <x v="0"/>
    <x v="4"/>
    <x v="4"/>
    <x v="0"/>
    <x v="0"/>
    <x v="42"/>
    <x v="857"/>
    <n v="0"/>
    <x v="0"/>
    <x v="1"/>
    <x v="3"/>
  </r>
  <r>
    <x v="0"/>
    <x v="0"/>
    <x v="0"/>
    <x v="0"/>
    <x v="0"/>
    <x v="43"/>
    <x v="858"/>
    <n v="0"/>
    <x v="0"/>
    <x v="1"/>
    <x v="3"/>
  </r>
  <r>
    <x v="0"/>
    <x v="1"/>
    <x v="1"/>
    <x v="0"/>
    <x v="0"/>
    <x v="43"/>
    <x v="858"/>
    <n v="0"/>
    <x v="0"/>
    <x v="1"/>
    <x v="3"/>
  </r>
  <r>
    <x v="0"/>
    <x v="2"/>
    <x v="2"/>
    <x v="0"/>
    <x v="0"/>
    <x v="43"/>
    <x v="858"/>
    <n v="5275000"/>
    <x v="0"/>
    <x v="1"/>
    <x v="3"/>
  </r>
  <r>
    <x v="0"/>
    <x v="3"/>
    <x v="3"/>
    <x v="0"/>
    <x v="0"/>
    <x v="43"/>
    <x v="858"/>
    <n v="0"/>
    <x v="0"/>
    <x v="1"/>
    <x v="3"/>
  </r>
  <r>
    <x v="0"/>
    <x v="4"/>
    <x v="4"/>
    <x v="0"/>
    <x v="0"/>
    <x v="43"/>
    <x v="858"/>
    <n v="5275000"/>
    <x v="0"/>
    <x v="1"/>
    <x v="3"/>
  </r>
  <r>
    <x v="0"/>
    <x v="0"/>
    <x v="0"/>
    <x v="0"/>
    <x v="0"/>
    <x v="373"/>
    <x v="859"/>
    <n v="0"/>
    <x v="0"/>
    <x v="1"/>
    <x v="2"/>
  </r>
  <r>
    <x v="0"/>
    <x v="1"/>
    <x v="1"/>
    <x v="0"/>
    <x v="0"/>
    <x v="373"/>
    <x v="859"/>
    <n v="0"/>
    <x v="0"/>
    <x v="1"/>
    <x v="2"/>
  </r>
  <r>
    <x v="0"/>
    <x v="2"/>
    <x v="2"/>
    <x v="0"/>
    <x v="0"/>
    <x v="373"/>
    <x v="859"/>
    <n v="0"/>
    <x v="0"/>
    <x v="1"/>
    <x v="2"/>
  </r>
  <r>
    <x v="0"/>
    <x v="3"/>
    <x v="3"/>
    <x v="0"/>
    <x v="0"/>
    <x v="373"/>
    <x v="859"/>
    <n v="0"/>
    <x v="0"/>
    <x v="1"/>
    <x v="2"/>
  </r>
  <r>
    <x v="0"/>
    <x v="4"/>
    <x v="4"/>
    <x v="0"/>
    <x v="0"/>
    <x v="373"/>
    <x v="859"/>
    <n v="0"/>
    <x v="0"/>
    <x v="1"/>
    <x v="2"/>
  </r>
  <r>
    <x v="0"/>
    <x v="0"/>
    <x v="0"/>
    <x v="0"/>
    <x v="0"/>
    <x v="374"/>
    <x v="860"/>
    <n v="0"/>
    <x v="0"/>
    <x v="1"/>
    <x v="3"/>
  </r>
  <r>
    <x v="0"/>
    <x v="1"/>
    <x v="1"/>
    <x v="0"/>
    <x v="0"/>
    <x v="374"/>
    <x v="860"/>
    <n v="0"/>
    <x v="0"/>
    <x v="1"/>
    <x v="3"/>
  </r>
  <r>
    <x v="0"/>
    <x v="2"/>
    <x v="2"/>
    <x v="0"/>
    <x v="0"/>
    <x v="374"/>
    <x v="860"/>
    <n v="0"/>
    <x v="0"/>
    <x v="1"/>
    <x v="3"/>
  </r>
  <r>
    <x v="0"/>
    <x v="3"/>
    <x v="3"/>
    <x v="0"/>
    <x v="0"/>
    <x v="374"/>
    <x v="860"/>
    <n v="0"/>
    <x v="0"/>
    <x v="1"/>
    <x v="3"/>
  </r>
  <r>
    <x v="0"/>
    <x v="4"/>
    <x v="4"/>
    <x v="0"/>
    <x v="0"/>
    <x v="374"/>
    <x v="860"/>
    <n v="0"/>
    <x v="0"/>
    <x v="1"/>
    <x v="3"/>
  </r>
  <r>
    <x v="0"/>
    <x v="0"/>
    <x v="0"/>
    <x v="0"/>
    <x v="0"/>
    <x v="375"/>
    <x v="861"/>
    <n v="0"/>
    <x v="0"/>
    <x v="1"/>
    <x v="3"/>
  </r>
  <r>
    <x v="0"/>
    <x v="1"/>
    <x v="1"/>
    <x v="0"/>
    <x v="0"/>
    <x v="375"/>
    <x v="861"/>
    <n v="0"/>
    <x v="0"/>
    <x v="1"/>
    <x v="3"/>
  </r>
  <r>
    <x v="0"/>
    <x v="2"/>
    <x v="2"/>
    <x v="0"/>
    <x v="0"/>
    <x v="375"/>
    <x v="861"/>
    <n v="0"/>
    <x v="0"/>
    <x v="1"/>
    <x v="3"/>
  </r>
  <r>
    <x v="0"/>
    <x v="3"/>
    <x v="3"/>
    <x v="0"/>
    <x v="0"/>
    <x v="375"/>
    <x v="861"/>
    <n v="0"/>
    <x v="0"/>
    <x v="1"/>
    <x v="3"/>
  </r>
  <r>
    <x v="0"/>
    <x v="4"/>
    <x v="4"/>
    <x v="0"/>
    <x v="0"/>
    <x v="375"/>
    <x v="861"/>
    <n v="0"/>
    <x v="0"/>
    <x v="1"/>
    <x v="3"/>
  </r>
  <r>
    <x v="0"/>
    <x v="0"/>
    <x v="0"/>
    <x v="0"/>
    <x v="0"/>
    <x v="376"/>
    <x v="862"/>
    <n v="0"/>
    <x v="0"/>
    <x v="1"/>
    <x v="3"/>
  </r>
  <r>
    <x v="0"/>
    <x v="1"/>
    <x v="1"/>
    <x v="0"/>
    <x v="0"/>
    <x v="376"/>
    <x v="862"/>
    <n v="0"/>
    <x v="0"/>
    <x v="1"/>
    <x v="3"/>
  </r>
  <r>
    <x v="0"/>
    <x v="2"/>
    <x v="2"/>
    <x v="0"/>
    <x v="0"/>
    <x v="376"/>
    <x v="862"/>
    <n v="0"/>
    <x v="0"/>
    <x v="1"/>
    <x v="3"/>
  </r>
  <r>
    <x v="0"/>
    <x v="3"/>
    <x v="3"/>
    <x v="0"/>
    <x v="0"/>
    <x v="376"/>
    <x v="862"/>
    <n v="0"/>
    <x v="0"/>
    <x v="1"/>
    <x v="3"/>
  </r>
  <r>
    <x v="0"/>
    <x v="4"/>
    <x v="4"/>
    <x v="0"/>
    <x v="0"/>
    <x v="376"/>
    <x v="862"/>
    <n v="0"/>
    <x v="0"/>
    <x v="1"/>
    <x v="3"/>
  </r>
  <r>
    <x v="0"/>
    <x v="0"/>
    <x v="0"/>
    <x v="0"/>
    <x v="0"/>
    <x v="377"/>
    <x v="863"/>
    <n v="0"/>
    <x v="0"/>
    <x v="1"/>
    <x v="2"/>
  </r>
  <r>
    <x v="0"/>
    <x v="1"/>
    <x v="1"/>
    <x v="0"/>
    <x v="0"/>
    <x v="377"/>
    <x v="863"/>
    <n v="0"/>
    <x v="0"/>
    <x v="1"/>
    <x v="2"/>
  </r>
  <r>
    <x v="0"/>
    <x v="2"/>
    <x v="2"/>
    <x v="0"/>
    <x v="0"/>
    <x v="377"/>
    <x v="863"/>
    <n v="0"/>
    <x v="0"/>
    <x v="1"/>
    <x v="2"/>
  </r>
  <r>
    <x v="0"/>
    <x v="3"/>
    <x v="3"/>
    <x v="0"/>
    <x v="0"/>
    <x v="377"/>
    <x v="863"/>
    <n v="0"/>
    <x v="0"/>
    <x v="1"/>
    <x v="2"/>
  </r>
  <r>
    <x v="0"/>
    <x v="4"/>
    <x v="4"/>
    <x v="0"/>
    <x v="0"/>
    <x v="377"/>
    <x v="863"/>
    <n v="0"/>
    <x v="0"/>
    <x v="1"/>
    <x v="2"/>
  </r>
  <r>
    <x v="0"/>
    <x v="0"/>
    <x v="0"/>
    <x v="0"/>
    <x v="0"/>
    <x v="39"/>
    <x v="864"/>
    <n v="0"/>
    <x v="0"/>
    <x v="1"/>
    <x v="3"/>
  </r>
  <r>
    <x v="0"/>
    <x v="1"/>
    <x v="1"/>
    <x v="0"/>
    <x v="0"/>
    <x v="39"/>
    <x v="864"/>
    <n v="0"/>
    <x v="0"/>
    <x v="1"/>
    <x v="3"/>
  </r>
  <r>
    <x v="0"/>
    <x v="2"/>
    <x v="2"/>
    <x v="0"/>
    <x v="0"/>
    <x v="39"/>
    <x v="864"/>
    <n v="0"/>
    <x v="0"/>
    <x v="1"/>
    <x v="3"/>
  </r>
  <r>
    <x v="0"/>
    <x v="3"/>
    <x v="3"/>
    <x v="0"/>
    <x v="0"/>
    <x v="39"/>
    <x v="864"/>
    <n v="0"/>
    <x v="0"/>
    <x v="1"/>
    <x v="3"/>
  </r>
  <r>
    <x v="0"/>
    <x v="4"/>
    <x v="4"/>
    <x v="0"/>
    <x v="0"/>
    <x v="39"/>
    <x v="864"/>
    <n v="0"/>
    <x v="0"/>
    <x v="1"/>
    <x v="3"/>
  </r>
  <r>
    <x v="0"/>
    <x v="0"/>
    <x v="0"/>
    <x v="0"/>
    <x v="0"/>
    <x v="40"/>
    <x v="865"/>
    <n v="0"/>
    <x v="0"/>
    <x v="1"/>
    <x v="3"/>
  </r>
  <r>
    <x v="0"/>
    <x v="1"/>
    <x v="1"/>
    <x v="0"/>
    <x v="0"/>
    <x v="40"/>
    <x v="865"/>
    <n v="0"/>
    <x v="0"/>
    <x v="1"/>
    <x v="3"/>
  </r>
  <r>
    <x v="0"/>
    <x v="2"/>
    <x v="2"/>
    <x v="0"/>
    <x v="0"/>
    <x v="40"/>
    <x v="865"/>
    <n v="0"/>
    <x v="0"/>
    <x v="1"/>
    <x v="3"/>
  </r>
  <r>
    <x v="0"/>
    <x v="3"/>
    <x v="3"/>
    <x v="0"/>
    <x v="0"/>
    <x v="40"/>
    <x v="865"/>
    <n v="0"/>
    <x v="0"/>
    <x v="1"/>
    <x v="3"/>
  </r>
  <r>
    <x v="0"/>
    <x v="4"/>
    <x v="4"/>
    <x v="0"/>
    <x v="0"/>
    <x v="40"/>
    <x v="865"/>
    <n v="0"/>
    <x v="0"/>
    <x v="1"/>
    <x v="3"/>
  </r>
  <r>
    <x v="0"/>
    <x v="0"/>
    <x v="0"/>
    <x v="0"/>
    <x v="0"/>
    <x v="41"/>
    <x v="866"/>
    <n v="0"/>
    <x v="0"/>
    <x v="1"/>
    <x v="3"/>
  </r>
  <r>
    <x v="0"/>
    <x v="1"/>
    <x v="1"/>
    <x v="0"/>
    <x v="0"/>
    <x v="41"/>
    <x v="866"/>
    <n v="0"/>
    <x v="0"/>
    <x v="1"/>
    <x v="3"/>
  </r>
  <r>
    <x v="0"/>
    <x v="2"/>
    <x v="2"/>
    <x v="0"/>
    <x v="0"/>
    <x v="41"/>
    <x v="866"/>
    <n v="0"/>
    <x v="0"/>
    <x v="1"/>
    <x v="3"/>
  </r>
  <r>
    <x v="0"/>
    <x v="3"/>
    <x v="3"/>
    <x v="0"/>
    <x v="0"/>
    <x v="41"/>
    <x v="866"/>
    <n v="0"/>
    <x v="0"/>
    <x v="1"/>
    <x v="3"/>
  </r>
  <r>
    <x v="0"/>
    <x v="4"/>
    <x v="4"/>
    <x v="0"/>
    <x v="0"/>
    <x v="41"/>
    <x v="866"/>
    <n v="0"/>
    <x v="0"/>
    <x v="1"/>
    <x v="3"/>
  </r>
  <r>
    <x v="0"/>
    <x v="0"/>
    <x v="0"/>
    <x v="0"/>
    <x v="0"/>
    <x v="42"/>
    <x v="867"/>
    <n v="0"/>
    <x v="0"/>
    <x v="1"/>
    <x v="3"/>
  </r>
  <r>
    <x v="0"/>
    <x v="1"/>
    <x v="1"/>
    <x v="0"/>
    <x v="0"/>
    <x v="42"/>
    <x v="867"/>
    <n v="0"/>
    <x v="0"/>
    <x v="1"/>
    <x v="3"/>
  </r>
  <r>
    <x v="0"/>
    <x v="2"/>
    <x v="2"/>
    <x v="0"/>
    <x v="0"/>
    <x v="42"/>
    <x v="867"/>
    <n v="0"/>
    <x v="0"/>
    <x v="1"/>
    <x v="3"/>
  </r>
  <r>
    <x v="0"/>
    <x v="3"/>
    <x v="3"/>
    <x v="0"/>
    <x v="0"/>
    <x v="42"/>
    <x v="867"/>
    <n v="0"/>
    <x v="0"/>
    <x v="1"/>
    <x v="3"/>
  </r>
  <r>
    <x v="0"/>
    <x v="4"/>
    <x v="4"/>
    <x v="0"/>
    <x v="0"/>
    <x v="42"/>
    <x v="867"/>
    <n v="0"/>
    <x v="0"/>
    <x v="1"/>
    <x v="3"/>
  </r>
  <r>
    <x v="0"/>
    <x v="0"/>
    <x v="0"/>
    <x v="0"/>
    <x v="0"/>
    <x v="43"/>
    <x v="868"/>
    <n v="0"/>
    <x v="0"/>
    <x v="1"/>
    <x v="3"/>
  </r>
  <r>
    <x v="0"/>
    <x v="1"/>
    <x v="1"/>
    <x v="0"/>
    <x v="0"/>
    <x v="43"/>
    <x v="868"/>
    <n v="0"/>
    <x v="0"/>
    <x v="1"/>
    <x v="3"/>
  </r>
  <r>
    <x v="0"/>
    <x v="2"/>
    <x v="2"/>
    <x v="0"/>
    <x v="0"/>
    <x v="43"/>
    <x v="868"/>
    <n v="0"/>
    <x v="0"/>
    <x v="1"/>
    <x v="3"/>
  </r>
  <r>
    <x v="0"/>
    <x v="3"/>
    <x v="3"/>
    <x v="0"/>
    <x v="0"/>
    <x v="43"/>
    <x v="868"/>
    <n v="0"/>
    <x v="0"/>
    <x v="1"/>
    <x v="3"/>
  </r>
  <r>
    <x v="0"/>
    <x v="4"/>
    <x v="4"/>
    <x v="0"/>
    <x v="0"/>
    <x v="43"/>
    <x v="868"/>
    <n v="0"/>
    <x v="0"/>
    <x v="1"/>
    <x v="3"/>
  </r>
  <r>
    <x v="0"/>
    <x v="0"/>
    <x v="0"/>
    <x v="0"/>
    <x v="0"/>
    <x v="378"/>
    <x v="869"/>
    <n v="0"/>
    <x v="0"/>
    <x v="1"/>
    <x v="1"/>
  </r>
  <r>
    <x v="0"/>
    <x v="1"/>
    <x v="1"/>
    <x v="0"/>
    <x v="0"/>
    <x v="378"/>
    <x v="869"/>
    <n v="0"/>
    <x v="0"/>
    <x v="1"/>
    <x v="1"/>
  </r>
  <r>
    <x v="0"/>
    <x v="2"/>
    <x v="2"/>
    <x v="0"/>
    <x v="0"/>
    <x v="378"/>
    <x v="869"/>
    <n v="0"/>
    <x v="0"/>
    <x v="1"/>
    <x v="1"/>
  </r>
  <r>
    <x v="0"/>
    <x v="3"/>
    <x v="3"/>
    <x v="0"/>
    <x v="0"/>
    <x v="378"/>
    <x v="869"/>
    <n v="2317.48"/>
    <x v="0"/>
    <x v="1"/>
    <x v="1"/>
  </r>
  <r>
    <x v="0"/>
    <x v="4"/>
    <x v="4"/>
    <x v="0"/>
    <x v="0"/>
    <x v="378"/>
    <x v="869"/>
    <n v="2317.48"/>
    <x v="0"/>
    <x v="1"/>
    <x v="1"/>
  </r>
  <r>
    <x v="0"/>
    <x v="0"/>
    <x v="0"/>
    <x v="0"/>
    <x v="0"/>
    <x v="333"/>
    <x v="870"/>
    <n v="0"/>
    <x v="0"/>
    <x v="1"/>
    <x v="2"/>
  </r>
  <r>
    <x v="0"/>
    <x v="1"/>
    <x v="1"/>
    <x v="0"/>
    <x v="0"/>
    <x v="333"/>
    <x v="870"/>
    <n v="0"/>
    <x v="0"/>
    <x v="1"/>
    <x v="2"/>
  </r>
  <r>
    <x v="0"/>
    <x v="2"/>
    <x v="2"/>
    <x v="0"/>
    <x v="0"/>
    <x v="333"/>
    <x v="870"/>
    <n v="0"/>
    <x v="0"/>
    <x v="1"/>
    <x v="2"/>
  </r>
  <r>
    <x v="0"/>
    <x v="3"/>
    <x v="3"/>
    <x v="0"/>
    <x v="0"/>
    <x v="333"/>
    <x v="870"/>
    <n v="0"/>
    <x v="0"/>
    <x v="1"/>
    <x v="2"/>
  </r>
  <r>
    <x v="0"/>
    <x v="4"/>
    <x v="4"/>
    <x v="0"/>
    <x v="0"/>
    <x v="333"/>
    <x v="870"/>
    <n v="0"/>
    <x v="0"/>
    <x v="1"/>
    <x v="2"/>
  </r>
  <r>
    <x v="0"/>
    <x v="0"/>
    <x v="0"/>
    <x v="0"/>
    <x v="0"/>
    <x v="379"/>
    <x v="871"/>
    <n v="0"/>
    <x v="0"/>
    <x v="1"/>
    <x v="3"/>
  </r>
  <r>
    <x v="0"/>
    <x v="1"/>
    <x v="1"/>
    <x v="0"/>
    <x v="0"/>
    <x v="379"/>
    <x v="871"/>
    <n v="0"/>
    <x v="0"/>
    <x v="1"/>
    <x v="3"/>
  </r>
  <r>
    <x v="0"/>
    <x v="2"/>
    <x v="2"/>
    <x v="0"/>
    <x v="0"/>
    <x v="379"/>
    <x v="871"/>
    <n v="0"/>
    <x v="0"/>
    <x v="1"/>
    <x v="3"/>
  </r>
  <r>
    <x v="0"/>
    <x v="3"/>
    <x v="3"/>
    <x v="0"/>
    <x v="0"/>
    <x v="379"/>
    <x v="871"/>
    <n v="0"/>
    <x v="0"/>
    <x v="1"/>
    <x v="3"/>
  </r>
  <r>
    <x v="0"/>
    <x v="4"/>
    <x v="4"/>
    <x v="0"/>
    <x v="0"/>
    <x v="379"/>
    <x v="871"/>
    <n v="0"/>
    <x v="0"/>
    <x v="1"/>
    <x v="3"/>
  </r>
  <r>
    <x v="0"/>
    <x v="0"/>
    <x v="0"/>
    <x v="0"/>
    <x v="0"/>
    <x v="334"/>
    <x v="872"/>
    <n v="0"/>
    <x v="0"/>
    <x v="1"/>
    <x v="2"/>
  </r>
  <r>
    <x v="0"/>
    <x v="1"/>
    <x v="1"/>
    <x v="0"/>
    <x v="0"/>
    <x v="334"/>
    <x v="872"/>
    <n v="0"/>
    <x v="0"/>
    <x v="1"/>
    <x v="2"/>
  </r>
  <r>
    <x v="0"/>
    <x v="2"/>
    <x v="2"/>
    <x v="0"/>
    <x v="0"/>
    <x v="334"/>
    <x v="872"/>
    <n v="0"/>
    <x v="0"/>
    <x v="1"/>
    <x v="2"/>
  </r>
  <r>
    <x v="0"/>
    <x v="3"/>
    <x v="3"/>
    <x v="0"/>
    <x v="0"/>
    <x v="334"/>
    <x v="872"/>
    <n v="0"/>
    <x v="0"/>
    <x v="1"/>
    <x v="2"/>
  </r>
  <r>
    <x v="0"/>
    <x v="4"/>
    <x v="4"/>
    <x v="0"/>
    <x v="0"/>
    <x v="334"/>
    <x v="872"/>
    <n v="0"/>
    <x v="0"/>
    <x v="1"/>
    <x v="2"/>
  </r>
  <r>
    <x v="0"/>
    <x v="0"/>
    <x v="0"/>
    <x v="0"/>
    <x v="0"/>
    <x v="380"/>
    <x v="873"/>
    <n v="0"/>
    <x v="0"/>
    <x v="1"/>
    <x v="3"/>
  </r>
  <r>
    <x v="0"/>
    <x v="1"/>
    <x v="1"/>
    <x v="0"/>
    <x v="0"/>
    <x v="380"/>
    <x v="873"/>
    <n v="0"/>
    <x v="0"/>
    <x v="1"/>
    <x v="3"/>
  </r>
  <r>
    <x v="0"/>
    <x v="2"/>
    <x v="2"/>
    <x v="0"/>
    <x v="0"/>
    <x v="380"/>
    <x v="873"/>
    <n v="0"/>
    <x v="0"/>
    <x v="1"/>
    <x v="3"/>
  </r>
  <r>
    <x v="0"/>
    <x v="3"/>
    <x v="3"/>
    <x v="0"/>
    <x v="0"/>
    <x v="380"/>
    <x v="873"/>
    <n v="0"/>
    <x v="0"/>
    <x v="1"/>
    <x v="3"/>
  </r>
  <r>
    <x v="0"/>
    <x v="4"/>
    <x v="4"/>
    <x v="0"/>
    <x v="0"/>
    <x v="380"/>
    <x v="873"/>
    <n v="0"/>
    <x v="0"/>
    <x v="1"/>
    <x v="3"/>
  </r>
  <r>
    <x v="0"/>
    <x v="0"/>
    <x v="0"/>
    <x v="0"/>
    <x v="0"/>
    <x v="335"/>
    <x v="874"/>
    <n v="0"/>
    <x v="0"/>
    <x v="1"/>
    <x v="2"/>
  </r>
  <r>
    <x v="0"/>
    <x v="1"/>
    <x v="1"/>
    <x v="0"/>
    <x v="0"/>
    <x v="335"/>
    <x v="874"/>
    <n v="0"/>
    <x v="0"/>
    <x v="1"/>
    <x v="2"/>
  </r>
  <r>
    <x v="0"/>
    <x v="2"/>
    <x v="2"/>
    <x v="0"/>
    <x v="0"/>
    <x v="335"/>
    <x v="874"/>
    <n v="0"/>
    <x v="0"/>
    <x v="1"/>
    <x v="2"/>
  </r>
  <r>
    <x v="0"/>
    <x v="3"/>
    <x v="3"/>
    <x v="0"/>
    <x v="0"/>
    <x v="335"/>
    <x v="874"/>
    <n v="0"/>
    <x v="0"/>
    <x v="1"/>
    <x v="2"/>
  </r>
  <r>
    <x v="0"/>
    <x v="4"/>
    <x v="4"/>
    <x v="0"/>
    <x v="0"/>
    <x v="335"/>
    <x v="874"/>
    <n v="0"/>
    <x v="0"/>
    <x v="1"/>
    <x v="2"/>
  </r>
  <r>
    <x v="0"/>
    <x v="0"/>
    <x v="0"/>
    <x v="0"/>
    <x v="0"/>
    <x v="335"/>
    <x v="875"/>
    <n v="0"/>
    <x v="0"/>
    <x v="1"/>
    <x v="3"/>
  </r>
  <r>
    <x v="0"/>
    <x v="1"/>
    <x v="1"/>
    <x v="0"/>
    <x v="0"/>
    <x v="335"/>
    <x v="875"/>
    <n v="0"/>
    <x v="0"/>
    <x v="1"/>
    <x v="3"/>
  </r>
  <r>
    <x v="0"/>
    <x v="2"/>
    <x v="2"/>
    <x v="0"/>
    <x v="0"/>
    <x v="335"/>
    <x v="875"/>
    <n v="0"/>
    <x v="0"/>
    <x v="1"/>
    <x v="3"/>
  </r>
  <r>
    <x v="0"/>
    <x v="3"/>
    <x v="3"/>
    <x v="0"/>
    <x v="0"/>
    <x v="335"/>
    <x v="875"/>
    <n v="0"/>
    <x v="0"/>
    <x v="1"/>
    <x v="3"/>
  </r>
  <r>
    <x v="0"/>
    <x v="4"/>
    <x v="4"/>
    <x v="0"/>
    <x v="0"/>
    <x v="335"/>
    <x v="875"/>
    <n v="0"/>
    <x v="0"/>
    <x v="1"/>
    <x v="3"/>
  </r>
  <r>
    <x v="0"/>
    <x v="0"/>
    <x v="0"/>
    <x v="0"/>
    <x v="0"/>
    <x v="381"/>
    <x v="876"/>
    <n v="0"/>
    <x v="0"/>
    <x v="1"/>
    <x v="2"/>
  </r>
  <r>
    <x v="0"/>
    <x v="1"/>
    <x v="1"/>
    <x v="0"/>
    <x v="0"/>
    <x v="381"/>
    <x v="876"/>
    <n v="0"/>
    <x v="0"/>
    <x v="1"/>
    <x v="2"/>
  </r>
  <r>
    <x v="0"/>
    <x v="2"/>
    <x v="2"/>
    <x v="0"/>
    <x v="0"/>
    <x v="381"/>
    <x v="876"/>
    <n v="0"/>
    <x v="0"/>
    <x v="1"/>
    <x v="2"/>
  </r>
  <r>
    <x v="0"/>
    <x v="3"/>
    <x v="3"/>
    <x v="0"/>
    <x v="0"/>
    <x v="381"/>
    <x v="876"/>
    <n v="2317.48"/>
    <x v="0"/>
    <x v="1"/>
    <x v="2"/>
  </r>
  <r>
    <x v="0"/>
    <x v="4"/>
    <x v="4"/>
    <x v="0"/>
    <x v="0"/>
    <x v="381"/>
    <x v="876"/>
    <n v="2317.48"/>
    <x v="0"/>
    <x v="1"/>
    <x v="2"/>
  </r>
  <r>
    <x v="0"/>
    <x v="0"/>
    <x v="0"/>
    <x v="0"/>
    <x v="0"/>
    <x v="382"/>
    <x v="877"/>
    <n v="77758.899999999994"/>
    <x v="0"/>
    <x v="1"/>
    <x v="1"/>
  </r>
  <r>
    <x v="0"/>
    <x v="1"/>
    <x v="1"/>
    <x v="0"/>
    <x v="0"/>
    <x v="382"/>
    <x v="877"/>
    <n v="9326.68"/>
    <x v="0"/>
    <x v="1"/>
    <x v="1"/>
  </r>
  <r>
    <x v="0"/>
    <x v="2"/>
    <x v="2"/>
    <x v="0"/>
    <x v="0"/>
    <x v="382"/>
    <x v="877"/>
    <n v="3351241.88"/>
    <x v="0"/>
    <x v="1"/>
    <x v="1"/>
  </r>
  <r>
    <x v="0"/>
    <x v="3"/>
    <x v="3"/>
    <x v="0"/>
    <x v="0"/>
    <x v="382"/>
    <x v="877"/>
    <n v="567681.35"/>
    <x v="0"/>
    <x v="1"/>
    <x v="1"/>
  </r>
  <r>
    <x v="0"/>
    <x v="4"/>
    <x v="4"/>
    <x v="0"/>
    <x v="0"/>
    <x v="382"/>
    <x v="877"/>
    <n v="4006008.81"/>
    <x v="0"/>
    <x v="1"/>
    <x v="1"/>
  </r>
  <r>
    <x v="0"/>
    <x v="0"/>
    <x v="0"/>
    <x v="0"/>
    <x v="0"/>
    <x v="383"/>
    <x v="878"/>
    <n v="0"/>
    <x v="0"/>
    <x v="1"/>
    <x v="2"/>
  </r>
  <r>
    <x v="0"/>
    <x v="1"/>
    <x v="1"/>
    <x v="0"/>
    <x v="0"/>
    <x v="383"/>
    <x v="878"/>
    <n v="0"/>
    <x v="0"/>
    <x v="1"/>
    <x v="2"/>
  </r>
  <r>
    <x v="0"/>
    <x v="2"/>
    <x v="2"/>
    <x v="0"/>
    <x v="0"/>
    <x v="383"/>
    <x v="878"/>
    <n v="346885.77"/>
    <x v="0"/>
    <x v="1"/>
    <x v="2"/>
  </r>
  <r>
    <x v="0"/>
    <x v="3"/>
    <x v="3"/>
    <x v="0"/>
    <x v="0"/>
    <x v="383"/>
    <x v="878"/>
    <n v="0"/>
    <x v="0"/>
    <x v="1"/>
    <x v="2"/>
  </r>
  <r>
    <x v="0"/>
    <x v="4"/>
    <x v="4"/>
    <x v="0"/>
    <x v="0"/>
    <x v="383"/>
    <x v="878"/>
    <n v="346885.77"/>
    <x v="0"/>
    <x v="1"/>
    <x v="2"/>
  </r>
  <r>
    <x v="0"/>
    <x v="0"/>
    <x v="0"/>
    <x v="0"/>
    <x v="0"/>
    <x v="384"/>
    <x v="879"/>
    <n v="0"/>
    <x v="0"/>
    <x v="1"/>
    <x v="3"/>
  </r>
  <r>
    <x v="0"/>
    <x v="1"/>
    <x v="1"/>
    <x v="0"/>
    <x v="0"/>
    <x v="384"/>
    <x v="879"/>
    <n v="0"/>
    <x v="0"/>
    <x v="1"/>
    <x v="3"/>
  </r>
  <r>
    <x v="0"/>
    <x v="2"/>
    <x v="2"/>
    <x v="0"/>
    <x v="0"/>
    <x v="384"/>
    <x v="879"/>
    <n v="0"/>
    <x v="0"/>
    <x v="1"/>
    <x v="3"/>
  </r>
  <r>
    <x v="0"/>
    <x v="3"/>
    <x v="3"/>
    <x v="0"/>
    <x v="0"/>
    <x v="384"/>
    <x v="879"/>
    <n v="0"/>
    <x v="0"/>
    <x v="1"/>
    <x v="3"/>
  </r>
  <r>
    <x v="0"/>
    <x v="4"/>
    <x v="4"/>
    <x v="0"/>
    <x v="0"/>
    <x v="384"/>
    <x v="879"/>
    <n v="0"/>
    <x v="0"/>
    <x v="1"/>
    <x v="3"/>
  </r>
  <r>
    <x v="0"/>
    <x v="0"/>
    <x v="0"/>
    <x v="0"/>
    <x v="0"/>
    <x v="385"/>
    <x v="880"/>
    <n v="0"/>
    <x v="0"/>
    <x v="1"/>
    <x v="3"/>
  </r>
  <r>
    <x v="0"/>
    <x v="1"/>
    <x v="1"/>
    <x v="0"/>
    <x v="0"/>
    <x v="385"/>
    <x v="880"/>
    <n v="0"/>
    <x v="0"/>
    <x v="1"/>
    <x v="3"/>
  </r>
  <r>
    <x v="0"/>
    <x v="2"/>
    <x v="2"/>
    <x v="0"/>
    <x v="0"/>
    <x v="385"/>
    <x v="880"/>
    <n v="0"/>
    <x v="0"/>
    <x v="1"/>
    <x v="3"/>
  </r>
  <r>
    <x v="0"/>
    <x v="3"/>
    <x v="3"/>
    <x v="0"/>
    <x v="0"/>
    <x v="385"/>
    <x v="880"/>
    <n v="0"/>
    <x v="0"/>
    <x v="1"/>
    <x v="3"/>
  </r>
  <r>
    <x v="0"/>
    <x v="4"/>
    <x v="4"/>
    <x v="0"/>
    <x v="0"/>
    <x v="385"/>
    <x v="880"/>
    <n v="0"/>
    <x v="0"/>
    <x v="1"/>
    <x v="3"/>
  </r>
  <r>
    <x v="0"/>
    <x v="0"/>
    <x v="0"/>
    <x v="0"/>
    <x v="0"/>
    <x v="68"/>
    <x v="881"/>
    <n v="0"/>
    <x v="0"/>
    <x v="1"/>
    <x v="3"/>
  </r>
  <r>
    <x v="0"/>
    <x v="1"/>
    <x v="1"/>
    <x v="0"/>
    <x v="0"/>
    <x v="68"/>
    <x v="881"/>
    <n v="0"/>
    <x v="0"/>
    <x v="1"/>
    <x v="3"/>
  </r>
  <r>
    <x v="0"/>
    <x v="2"/>
    <x v="2"/>
    <x v="0"/>
    <x v="0"/>
    <x v="68"/>
    <x v="881"/>
    <n v="346885.77"/>
    <x v="0"/>
    <x v="1"/>
    <x v="3"/>
  </r>
  <r>
    <x v="0"/>
    <x v="3"/>
    <x v="3"/>
    <x v="0"/>
    <x v="0"/>
    <x v="68"/>
    <x v="881"/>
    <n v="0"/>
    <x v="0"/>
    <x v="1"/>
    <x v="3"/>
  </r>
  <r>
    <x v="0"/>
    <x v="4"/>
    <x v="4"/>
    <x v="0"/>
    <x v="0"/>
    <x v="68"/>
    <x v="881"/>
    <n v="346885.77"/>
    <x v="0"/>
    <x v="1"/>
    <x v="3"/>
  </r>
  <r>
    <x v="0"/>
    <x v="0"/>
    <x v="0"/>
    <x v="0"/>
    <x v="0"/>
    <x v="386"/>
    <x v="882"/>
    <n v="0"/>
    <x v="0"/>
    <x v="1"/>
    <x v="2"/>
  </r>
  <r>
    <x v="0"/>
    <x v="1"/>
    <x v="1"/>
    <x v="0"/>
    <x v="0"/>
    <x v="386"/>
    <x v="882"/>
    <n v="0"/>
    <x v="0"/>
    <x v="1"/>
    <x v="2"/>
  </r>
  <r>
    <x v="0"/>
    <x v="2"/>
    <x v="2"/>
    <x v="0"/>
    <x v="0"/>
    <x v="386"/>
    <x v="882"/>
    <n v="0"/>
    <x v="0"/>
    <x v="1"/>
    <x v="2"/>
  </r>
  <r>
    <x v="0"/>
    <x v="3"/>
    <x v="3"/>
    <x v="0"/>
    <x v="0"/>
    <x v="386"/>
    <x v="882"/>
    <n v="0"/>
    <x v="0"/>
    <x v="1"/>
    <x v="2"/>
  </r>
  <r>
    <x v="0"/>
    <x v="4"/>
    <x v="4"/>
    <x v="0"/>
    <x v="0"/>
    <x v="386"/>
    <x v="882"/>
    <n v="0"/>
    <x v="0"/>
    <x v="1"/>
    <x v="2"/>
  </r>
  <r>
    <x v="0"/>
    <x v="0"/>
    <x v="0"/>
    <x v="0"/>
    <x v="0"/>
    <x v="387"/>
    <x v="883"/>
    <n v="0"/>
    <x v="0"/>
    <x v="1"/>
    <x v="2"/>
  </r>
  <r>
    <x v="0"/>
    <x v="1"/>
    <x v="1"/>
    <x v="0"/>
    <x v="0"/>
    <x v="387"/>
    <x v="883"/>
    <n v="0"/>
    <x v="0"/>
    <x v="1"/>
    <x v="2"/>
  </r>
  <r>
    <x v="0"/>
    <x v="2"/>
    <x v="2"/>
    <x v="0"/>
    <x v="0"/>
    <x v="387"/>
    <x v="883"/>
    <n v="169865.31"/>
    <x v="0"/>
    <x v="1"/>
    <x v="2"/>
  </r>
  <r>
    <x v="0"/>
    <x v="3"/>
    <x v="3"/>
    <x v="0"/>
    <x v="0"/>
    <x v="387"/>
    <x v="883"/>
    <n v="0"/>
    <x v="0"/>
    <x v="1"/>
    <x v="2"/>
  </r>
  <r>
    <x v="0"/>
    <x v="4"/>
    <x v="4"/>
    <x v="0"/>
    <x v="0"/>
    <x v="387"/>
    <x v="883"/>
    <n v="169865.31"/>
    <x v="0"/>
    <x v="1"/>
    <x v="2"/>
  </r>
  <r>
    <x v="0"/>
    <x v="0"/>
    <x v="0"/>
    <x v="0"/>
    <x v="0"/>
    <x v="297"/>
    <x v="884"/>
    <n v="0"/>
    <x v="0"/>
    <x v="1"/>
    <x v="2"/>
  </r>
  <r>
    <x v="0"/>
    <x v="1"/>
    <x v="1"/>
    <x v="0"/>
    <x v="0"/>
    <x v="297"/>
    <x v="884"/>
    <n v="0"/>
    <x v="0"/>
    <x v="1"/>
    <x v="2"/>
  </r>
  <r>
    <x v="0"/>
    <x v="2"/>
    <x v="2"/>
    <x v="0"/>
    <x v="0"/>
    <x v="297"/>
    <x v="884"/>
    <n v="0"/>
    <x v="0"/>
    <x v="1"/>
    <x v="2"/>
  </r>
  <r>
    <x v="0"/>
    <x v="3"/>
    <x v="3"/>
    <x v="0"/>
    <x v="0"/>
    <x v="297"/>
    <x v="884"/>
    <n v="0"/>
    <x v="0"/>
    <x v="1"/>
    <x v="2"/>
  </r>
  <r>
    <x v="0"/>
    <x v="4"/>
    <x v="4"/>
    <x v="0"/>
    <x v="0"/>
    <x v="297"/>
    <x v="884"/>
    <n v="0"/>
    <x v="0"/>
    <x v="1"/>
    <x v="2"/>
  </r>
  <r>
    <x v="0"/>
    <x v="0"/>
    <x v="0"/>
    <x v="0"/>
    <x v="0"/>
    <x v="388"/>
    <x v="885"/>
    <n v="0"/>
    <x v="0"/>
    <x v="1"/>
    <x v="2"/>
  </r>
  <r>
    <x v="0"/>
    <x v="1"/>
    <x v="1"/>
    <x v="0"/>
    <x v="0"/>
    <x v="388"/>
    <x v="885"/>
    <n v="0"/>
    <x v="0"/>
    <x v="1"/>
    <x v="2"/>
  </r>
  <r>
    <x v="0"/>
    <x v="2"/>
    <x v="2"/>
    <x v="0"/>
    <x v="0"/>
    <x v="388"/>
    <x v="885"/>
    <n v="0"/>
    <x v="0"/>
    <x v="1"/>
    <x v="2"/>
  </r>
  <r>
    <x v="0"/>
    <x v="3"/>
    <x v="3"/>
    <x v="0"/>
    <x v="0"/>
    <x v="388"/>
    <x v="885"/>
    <n v="0"/>
    <x v="0"/>
    <x v="1"/>
    <x v="2"/>
  </r>
  <r>
    <x v="0"/>
    <x v="4"/>
    <x v="4"/>
    <x v="0"/>
    <x v="0"/>
    <x v="388"/>
    <x v="885"/>
    <n v="0"/>
    <x v="0"/>
    <x v="1"/>
    <x v="2"/>
  </r>
  <r>
    <x v="0"/>
    <x v="0"/>
    <x v="0"/>
    <x v="0"/>
    <x v="0"/>
    <x v="68"/>
    <x v="886"/>
    <n v="77758.899999999994"/>
    <x v="0"/>
    <x v="1"/>
    <x v="2"/>
  </r>
  <r>
    <x v="0"/>
    <x v="1"/>
    <x v="1"/>
    <x v="0"/>
    <x v="0"/>
    <x v="68"/>
    <x v="886"/>
    <n v="9326.68"/>
    <x v="0"/>
    <x v="1"/>
    <x v="2"/>
  </r>
  <r>
    <x v="0"/>
    <x v="2"/>
    <x v="2"/>
    <x v="0"/>
    <x v="0"/>
    <x v="68"/>
    <x v="886"/>
    <n v="2834490.8"/>
    <x v="0"/>
    <x v="1"/>
    <x v="2"/>
  </r>
  <r>
    <x v="0"/>
    <x v="3"/>
    <x v="3"/>
    <x v="0"/>
    <x v="0"/>
    <x v="68"/>
    <x v="886"/>
    <n v="567681.35"/>
    <x v="0"/>
    <x v="1"/>
    <x v="2"/>
  </r>
  <r>
    <x v="0"/>
    <x v="4"/>
    <x v="4"/>
    <x v="0"/>
    <x v="0"/>
    <x v="68"/>
    <x v="886"/>
    <n v="3489257.7299999995"/>
    <x v="0"/>
    <x v="1"/>
    <x v="2"/>
  </r>
  <r>
    <x v="0"/>
    <x v="0"/>
    <x v="0"/>
    <x v="0"/>
    <x v="0"/>
    <x v="389"/>
    <x v="887"/>
    <n v="5590.03"/>
    <x v="0"/>
    <x v="1"/>
    <x v="3"/>
  </r>
  <r>
    <x v="0"/>
    <x v="1"/>
    <x v="1"/>
    <x v="0"/>
    <x v="0"/>
    <x v="389"/>
    <x v="887"/>
    <n v="666.59"/>
    <x v="0"/>
    <x v="1"/>
    <x v="3"/>
  </r>
  <r>
    <x v="0"/>
    <x v="2"/>
    <x v="2"/>
    <x v="0"/>
    <x v="0"/>
    <x v="389"/>
    <x v="887"/>
    <n v="18308.29"/>
    <x v="0"/>
    <x v="1"/>
    <x v="3"/>
  </r>
  <r>
    <x v="0"/>
    <x v="3"/>
    <x v="3"/>
    <x v="0"/>
    <x v="0"/>
    <x v="389"/>
    <x v="887"/>
    <n v="1008.01"/>
    <x v="0"/>
    <x v="1"/>
    <x v="3"/>
  </r>
  <r>
    <x v="0"/>
    <x v="4"/>
    <x v="4"/>
    <x v="0"/>
    <x v="0"/>
    <x v="389"/>
    <x v="887"/>
    <n v="25572.92"/>
    <x v="0"/>
    <x v="1"/>
    <x v="3"/>
  </r>
  <r>
    <x v="0"/>
    <x v="0"/>
    <x v="0"/>
    <x v="0"/>
    <x v="0"/>
    <x v="390"/>
    <x v="888"/>
    <n v="72168.87"/>
    <x v="0"/>
    <x v="1"/>
    <x v="3"/>
  </r>
  <r>
    <x v="0"/>
    <x v="1"/>
    <x v="1"/>
    <x v="0"/>
    <x v="0"/>
    <x v="390"/>
    <x v="888"/>
    <n v="8660.09"/>
    <x v="0"/>
    <x v="1"/>
    <x v="3"/>
  </r>
  <r>
    <x v="0"/>
    <x v="2"/>
    <x v="2"/>
    <x v="0"/>
    <x v="0"/>
    <x v="390"/>
    <x v="888"/>
    <n v="2816182.51"/>
    <x v="0"/>
    <x v="1"/>
    <x v="3"/>
  </r>
  <r>
    <x v="0"/>
    <x v="3"/>
    <x v="3"/>
    <x v="0"/>
    <x v="0"/>
    <x v="390"/>
    <x v="888"/>
    <n v="566673.34"/>
    <x v="0"/>
    <x v="1"/>
    <x v="3"/>
  </r>
  <r>
    <x v="0"/>
    <x v="4"/>
    <x v="4"/>
    <x v="0"/>
    <x v="0"/>
    <x v="390"/>
    <x v="888"/>
    <n v="3463684.81"/>
    <x v="0"/>
    <x v="1"/>
    <x v="3"/>
  </r>
  <r>
    <x v="0"/>
    <x v="0"/>
    <x v="0"/>
    <x v="0"/>
    <x v="0"/>
    <x v="391"/>
    <x v="889"/>
    <n v="21000216.640000001"/>
    <x v="0"/>
    <x v="2"/>
    <x v="0"/>
  </r>
  <r>
    <x v="0"/>
    <x v="1"/>
    <x v="1"/>
    <x v="0"/>
    <x v="0"/>
    <x v="391"/>
    <x v="889"/>
    <n v="4762585.41"/>
    <x v="0"/>
    <x v="2"/>
    <x v="0"/>
  </r>
  <r>
    <x v="0"/>
    <x v="2"/>
    <x v="2"/>
    <x v="0"/>
    <x v="0"/>
    <x v="391"/>
    <x v="889"/>
    <n v="55723314.399999999"/>
    <x v="0"/>
    <x v="2"/>
    <x v="0"/>
  </r>
  <r>
    <x v="0"/>
    <x v="3"/>
    <x v="3"/>
    <x v="0"/>
    <x v="0"/>
    <x v="391"/>
    <x v="889"/>
    <n v="2287927.66"/>
    <x v="0"/>
    <x v="2"/>
    <x v="0"/>
  </r>
  <r>
    <x v="0"/>
    <x v="4"/>
    <x v="4"/>
    <x v="0"/>
    <x v="0"/>
    <x v="391"/>
    <x v="889"/>
    <n v="83774044.109999999"/>
    <x v="0"/>
    <x v="2"/>
    <x v="0"/>
  </r>
  <r>
    <x v="0"/>
    <x v="0"/>
    <x v="0"/>
    <x v="0"/>
    <x v="0"/>
    <x v="392"/>
    <x v="890"/>
    <n v="300000"/>
    <x v="0"/>
    <x v="2"/>
    <x v="1"/>
  </r>
  <r>
    <x v="0"/>
    <x v="1"/>
    <x v="1"/>
    <x v="0"/>
    <x v="0"/>
    <x v="392"/>
    <x v="890"/>
    <n v="995700"/>
    <x v="0"/>
    <x v="2"/>
    <x v="1"/>
  </r>
  <r>
    <x v="0"/>
    <x v="2"/>
    <x v="2"/>
    <x v="0"/>
    <x v="0"/>
    <x v="392"/>
    <x v="890"/>
    <n v="7288200"/>
    <x v="0"/>
    <x v="2"/>
    <x v="1"/>
  </r>
  <r>
    <x v="0"/>
    <x v="3"/>
    <x v="3"/>
    <x v="0"/>
    <x v="0"/>
    <x v="392"/>
    <x v="890"/>
    <n v="821006"/>
    <x v="0"/>
    <x v="2"/>
    <x v="1"/>
  </r>
  <r>
    <x v="0"/>
    <x v="4"/>
    <x v="4"/>
    <x v="0"/>
    <x v="0"/>
    <x v="392"/>
    <x v="890"/>
    <n v="9404906"/>
    <x v="0"/>
    <x v="2"/>
    <x v="1"/>
  </r>
  <r>
    <x v="0"/>
    <x v="0"/>
    <x v="0"/>
    <x v="0"/>
    <x v="0"/>
    <x v="393"/>
    <x v="891"/>
    <n v="300000"/>
    <x v="0"/>
    <x v="2"/>
    <x v="2"/>
  </r>
  <r>
    <x v="0"/>
    <x v="1"/>
    <x v="1"/>
    <x v="0"/>
    <x v="0"/>
    <x v="393"/>
    <x v="891"/>
    <n v="995700"/>
    <x v="0"/>
    <x v="2"/>
    <x v="2"/>
  </r>
  <r>
    <x v="0"/>
    <x v="2"/>
    <x v="2"/>
    <x v="0"/>
    <x v="0"/>
    <x v="393"/>
    <x v="891"/>
    <n v="7288200"/>
    <x v="0"/>
    <x v="2"/>
    <x v="2"/>
  </r>
  <r>
    <x v="0"/>
    <x v="3"/>
    <x v="3"/>
    <x v="0"/>
    <x v="0"/>
    <x v="393"/>
    <x v="891"/>
    <n v="821006"/>
    <x v="0"/>
    <x v="2"/>
    <x v="2"/>
  </r>
  <r>
    <x v="0"/>
    <x v="4"/>
    <x v="4"/>
    <x v="0"/>
    <x v="0"/>
    <x v="393"/>
    <x v="891"/>
    <n v="9404906"/>
    <x v="0"/>
    <x v="2"/>
    <x v="2"/>
  </r>
  <r>
    <x v="0"/>
    <x v="0"/>
    <x v="0"/>
    <x v="0"/>
    <x v="0"/>
    <x v="394"/>
    <x v="892"/>
    <n v="0"/>
    <x v="0"/>
    <x v="2"/>
    <x v="1"/>
  </r>
  <r>
    <x v="0"/>
    <x v="1"/>
    <x v="1"/>
    <x v="0"/>
    <x v="0"/>
    <x v="394"/>
    <x v="892"/>
    <n v="0"/>
    <x v="0"/>
    <x v="2"/>
    <x v="1"/>
  </r>
  <r>
    <x v="0"/>
    <x v="2"/>
    <x v="2"/>
    <x v="0"/>
    <x v="0"/>
    <x v="394"/>
    <x v="892"/>
    <n v="0"/>
    <x v="0"/>
    <x v="2"/>
    <x v="1"/>
  </r>
  <r>
    <x v="0"/>
    <x v="3"/>
    <x v="3"/>
    <x v="0"/>
    <x v="0"/>
    <x v="394"/>
    <x v="892"/>
    <n v="0"/>
    <x v="0"/>
    <x v="2"/>
    <x v="1"/>
  </r>
  <r>
    <x v="0"/>
    <x v="4"/>
    <x v="4"/>
    <x v="0"/>
    <x v="0"/>
    <x v="394"/>
    <x v="892"/>
    <n v="0"/>
    <x v="0"/>
    <x v="2"/>
    <x v="1"/>
  </r>
  <r>
    <x v="0"/>
    <x v="0"/>
    <x v="0"/>
    <x v="0"/>
    <x v="0"/>
    <x v="394"/>
    <x v="893"/>
    <n v="0"/>
    <x v="0"/>
    <x v="2"/>
    <x v="2"/>
  </r>
  <r>
    <x v="0"/>
    <x v="1"/>
    <x v="1"/>
    <x v="0"/>
    <x v="0"/>
    <x v="394"/>
    <x v="893"/>
    <n v="0"/>
    <x v="0"/>
    <x v="2"/>
    <x v="2"/>
  </r>
  <r>
    <x v="0"/>
    <x v="2"/>
    <x v="2"/>
    <x v="0"/>
    <x v="0"/>
    <x v="394"/>
    <x v="893"/>
    <n v="0"/>
    <x v="0"/>
    <x v="2"/>
    <x v="2"/>
  </r>
  <r>
    <x v="0"/>
    <x v="3"/>
    <x v="3"/>
    <x v="0"/>
    <x v="0"/>
    <x v="394"/>
    <x v="893"/>
    <n v="0"/>
    <x v="0"/>
    <x v="2"/>
    <x v="2"/>
  </r>
  <r>
    <x v="0"/>
    <x v="4"/>
    <x v="4"/>
    <x v="0"/>
    <x v="0"/>
    <x v="394"/>
    <x v="893"/>
    <n v="0"/>
    <x v="0"/>
    <x v="2"/>
    <x v="2"/>
  </r>
  <r>
    <x v="0"/>
    <x v="0"/>
    <x v="0"/>
    <x v="0"/>
    <x v="0"/>
    <x v="395"/>
    <x v="894"/>
    <n v="18565765.559999999"/>
    <x v="0"/>
    <x v="2"/>
    <x v="1"/>
  </r>
  <r>
    <x v="0"/>
    <x v="1"/>
    <x v="1"/>
    <x v="0"/>
    <x v="0"/>
    <x v="395"/>
    <x v="894"/>
    <n v="3880168"/>
    <x v="0"/>
    <x v="2"/>
    <x v="1"/>
  </r>
  <r>
    <x v="0"/>
    <x v="2"/>
    <x v="2"/>
    <x v="0"/>
    <x v="0"/>
    <x v="395"/>
    <x v="894"/>
    <n v="46349271.329999998"/>
    <x v="0"/>
    <x v="2"/>
    <x v="1"/>
  </r>
  <r>
    <x v="0"/>
    <x v="3"/>
    <x v="3"/>
    <x v="0"/>
    <x v="0"/>
    <x v="395"/>
    <x v="894"/>
    <n v="1551161.23"/>
    <x v="0"/>
    <x v="2"/>
    <x v="1"/>
  </r>
  <r>
    <x v="0"/>
    <x v="4"/>
    <x v="4"/>
    <x v="0"/>
    <x v="0"/>
    <x v="395"/>
    <x v="894"/>
    <n v="70346366.120000005"/>
    <x v="0"/>
    <x v="2"/>
    <x v="1"/>
  </r>
  <r>
    <x v="0"/>
    <x v="0"/>
    <x v="0"/>
    <x v="0"/>
    <x v="0"/>
    <x v="396"/>
    <x v="895"/>
    <n v="18564161.289999999"/>
    <x v="0"/>
    <x v="2"/>
    <x v="2"/>
  </r>
  <r>
    <x v="0"/>
    <x v="1"/>
    <x v="1"/>
    <x v="0"/>
    <x v="0"/>
    <x v="396"/>
    <x v="895"/>
    <n v="3880168"/>
    <x v="0"/>
    <x v="2"/>
    <x v="2"/>
  </r>
  <r>
    <x v="0"/>
    <x v="2"/>
    <x v="2"/>
    <x v="0"/>
    <x v="0"/>
    <x v="396"/>
    <x v="895"/>
    <n v="45887425"/>
    <x v="0"/>
    <x v="2"/>
    <x v="2"/>
  </r>
  <r>
    <x v="0"/>
    <x v="3"/>
    <x v="3"/>
    <x v="0"/>
    <x v="0"/>
    <x v="396"/>
    <x v="895"/>
    <n v="1548755.25"/>
    <x v="0"/>
    <x v="2"/>
    <x v="2"/>
  </r>
  <r>
    <x v="0"/>
    <x v="4"/>
    <x v="4"/>
    <x v="0"/>
    <x v="0"/>
    <x v="396"/>
    <x v="895"/>
    <n v="69880509.540000007"/>
    <x v="0"/>
    <x v="2"/>
    <x v="2"/>
  </r>
  <r>
    <x v="0"/>
    <x v="0"/>
    <x v="0"/>
    <x v="0"/>
    <x v="0"/>
    <x v="397"/>
    <x v="896"/>
    <n v="10333755.220000001"/>
    <x v="0"/>
    <x v="2"/>
    <x v="3"/>
  </r>
  <r>
    <x v="0"/>
    <x v="1"/>
    <x v="1"/>
    <x v="0"/>
    <x v="0"/>
    <x v="397"/>
    <x v="896"/>
    <n v="3807626.53"/>
    <x v="0"/>
    <x v="2"/>
    <x v="3"/>
  </r>
  <r>
    <x v="0"/>
    <x v="2"/>
    <x v="2"/>
    <x v="0"/>
    <x v="0"/>
    <x v="397"/>
    <x v="896"/>
    <n v="45870792.18"/>
    <x v="0"/>
    <x v="2"/>
    <x v="3"/>
  </r>
  <r>
    <x v="0"/>
    <x v="3"/>
    <x v="3"/>
    <x v="0"/>
    <x v="0"/>
    <x v="397"/>
    <x v="896"/>
    <n v="1468066.55"/>
    <x v="0"/>
    <x v="2"/>
    <x v="3"/>
  </r>
  <r>
    <x v="0"/>
    <x v="4"/>
    <x v="4"/>
    <x v="0"/>
    <x v="0"/>
    <x v="397"/>
    <x v="896"/>
    <n v="61480240.479999997"/>
    <x v="0"/>
    <x v="2"/>
    <x v="3"/>
  </r>
  <r>
    <x v="0"/>
    <x v="0"/>
    <x v="0"/>
    <x v="0"/>
    <x v="0"/>
    <x v="398"/>
    <x v="897"/>
    <n v="0.37"/>
    <x v="0"/>
    <x v="2"/>
    <x v="3"/>
  </r>
  <r>
    <x v="0"/>
    <x v="1"/>
    <x v="1"/>
    <x v="0"/>
    <x v="0"/>
    <x v="398"/>
    <x v="897"/>
    <n v="0"/>
    <x v="0"/>
    <x v="2"/>
    <x v="3"/>
  </r>
  <r>
    <x v="0"/>
    <x v="2"/>
    <x v="2"/>
    <x v="0"/>
    <x v="0"/>
    <x v="398"/>
    <x v="897"/>
    <n v="16632.82"/>
    <x v="0"/>
    <x v="2"/>
    <x v="3"/>
  </r>
  <r>
    <x v="0"/>
    <x v="3"/>
    <x v="3"/>
    <x v="0"/>
    <x v="0"/>
    <x v="398"/>
    <x v="897"/>
    <n v="0"/>
    <x v="0"/>
    <x v="2"/>
    <x v="3"/>
  </r>
  <r>
    <x v="0"/>
    <x v="4"/>
    <x v="4"/>
    <x v="0"/>
    <x v="0"/>
    <x v="398"/>
    <x v="897"/>
    <n v="16633.189999999999"/>
    <x v="0"/>
    <x v="2"/>
    <x v="3"/>
  </r>
  <r>
    <x v="0"/>
    <x v="0"/>
    <x v="0"/>
    <x v="0"/>
    <x v="0"/>
    <x v="399"/>
    <x v="898"/>
    <n v="8230405.7000000002"/>
    <x v="0"/>
    <x v="2"/>
    <x v="3"/>
  </r>
  <r>
    <x v="0"/>
    <x v="1"/>
    <x v="1"/>
    <x v="0"/>
    <x v="0"/>
    <x v="399"/>
    <x v="898"/>
    <n v="72541.47"/>
    <x v="0"/>
    <x v="2"/>
    <x v="3"/>
  </r>
  <r>
    <x v="0"/>
    <x v="2"/>
    <x v="2"/>
    <x v="0"/>
    <x v="0"/>
    <x v="399"/>
    <x v="898"/>
    <n v="0"/>
    <x v="0"/>
    <x v="2"/>
    <x v="3"/>
  </r>
  <r>
    <x v="0"/>
    <x v="3"/>
    <x v="3"/>
    <x v="0"/>
    <x v="0"/>
    <x v="399"/>
    <x v="898"/>
    <n v="80688.7"/>
    <x v="0"/>
    <x v="2"/>
    <x v="3"/>
  </r>
  <r>
    <x v="0"/>
    <x v="4"/>
    <x v="4"/>
    <x v="0"/>
    <x v="0"/>
    <x v="399"/>
    <x v="898"/>
    <n v="8383635.8700000001"/>
    <x v="0"/>
    <x v="2"/>
    <x v="3"/>
  </r>
  <r>
    <x v="0"/>
    <x v="0"/>
    <x v="0"/>
    <x v="0"/>
    <x v="0"/>
    <x v="400"/>
    <x v="899"/>
    <n v="0"/>
    <x v="0"/>
    <x v="2"/>
    <x v="2"/>
  </r>
  <r>
    <x v="0"/>
    <x v="1"/>
    <x v="1"/>
    <x v="0"/>
    <x v="0"/>
    <x v="400"/>
    <x v="899"/>
    <n v="0"/>
    <x v="0"/>
    <x v="2"/>
    <x v="2"/>
  </r>
  <r>
    <x v="0"/>
    <x v="2"/>
    <x v="2"/>
    <x v="0"/>
    <x v="0"/>
    <x v="400"/>
    <x v="899"/>
    <n v="461846.33"/>
    <x v="0"/>
    <x v="2"/>
    <x v="2"/>
  </r>
  <r>
    <x v="0"/>
    <x v="3"/>
    <x v="3"/>
    <x v="0"/>
    <x v="0"/>
    <x v="400"/>
    <x v="899"/>
    <n v="0"/>
    <x v="0"/>
    <x v="2"/>
    <x v="2"/>
  </r>
  <r>
    <x v="0"/>
    <x v="4"/>
    <x v="4"/>
    <x v="0"/>
    <x v="0"/>
    <x v="400"/>
    <x v="899"/>
    <n v="461846.33"/>
    <x v="0"/>
    <x v="2"/>
    <x v="2"/>
  </r>
  <r>
    <x v="0"/>
    <x v="0"/>
    <x v="0"/>
    <x v="0"/>
    <x v="0"/>
    <x v="401"/>
    <x v="900"/>
    <n v="1604.27"/>
    <x v="0"/>
    <x v="2"/>
    <x v="2"/>
  </r>
  <r>
    <x v="0"/>
    <x v="1"/>
    <x v="1"/>
    <x v="0"/>
    <x v="0"/>
    <x v="401"/>
    <x v="900"/>
    <n v="0"/>
    <x v="0"/>
    <x v="2"/>
    <x v="2"/>
  </r>
  <r>
    <x v="0"/>
    <x v="2"/>
    <x v="2"/>
    <x v="0"/>
    <x v="0"/>
    <x v="401"/>
    <x v="900"/>
    <n v="0"/>
    <x v="0"/>
    <x v="2"/>
    <x v="2"/>
  </r>
  <r>
    <x v="0"/>
    <x v="3"/>
    <x v="3"/>
    <x v="0"/>
    <x v="0"/>
    <x v="401"/>
    <x v="900"/>
    <n v="2405.98"/>
    <x v="0"/>
    <x v="2"/>
    <x v="2"/>
  </r>
  <r>
    <x v="0"/>
    <x v="4"/>
    <x v="4"/>
    <x v="0"/>
    <x v="0"/>
    <x v="401"/>
    <x v="900"/>
    <n v="4010.25"/>
    <x v="0"/>
    <x v="2"/>
    <x v="2"/>
  </r>
  <r>
    <x v="0"/>
    <x v="0"/>
    <x v="0"/>
    <x v="0"/>
    <x v="0"/>
    <x v="402"/>
    <x v="901"/>
    <n v="0"/>
    <x v="0"/>
    <x v="2"/>
    <x v="2"/>
  </r>
  <r>
    <x v="0"/>
    <x v="1"/>
    <x v="1"/>
    <x v="0"/>
    <x v="0"/>
    <x v="402"/>
    <x v="901"/>
    <n v="0"/>
    <x v="0"/>
    <x v="2"/>
    <x v="2"/>
  </r>
  <r>
    <x v="0"/>
    <x v="2"/>
    <x v="2"/>
    <x v="0"/>
    <x v="0"/>
    <x v="402"/>
    <x v="901"/>
    <n v="0"/>
    <x v="0"/>
    <x v="2"/>
    <x v="2"/>
  </r>
  <r>
    <x v="0"/>
    <x v="3"/>
    <x v="3"/>
    <x v="0"/>
    <x v="0"/>
    <x v="402"/>
    <x v="901"/>
    <n v="0"/>
    <x v="0"/>
    <x v="2"/>
    <x v="2"/>
  </r>
  <r>
    <x v="0"/>
    <x v="4"/>
    <x v="4"/>
    <x v="0"/>
    <x v="0"/>
    <x v="402"/>
    <x v="901"/>
    <n v="0"/>
    <x v="0"/>
    <x v="2"/>
    <x v="2"/>
  </r>
  <r>
    <x v="0"/>
    <x v="0"/>
    <x v="0"/>
    <x v="0"/>
    <x v="0"/>
    <x v="403"/>
    <x v="902"/>
    <n v="0"/>
    <x v="0"/>
    <x v="2"/>
    <x v="2"/>
  </r>
  <r>
    <x v="0"/>
    <x v="1"/>
    <x v="1"/>
    <x v="0"/>
    <x v="0"/>
    <x v="403"/>
    <x v="902"/>
    <n v="0"/>
    <x v="0"/>
    <x v="2"/>
    <x v="2"/>
  </r>
  <r>
    <x v="0"/>
    <x v="2"/>
    <x v="2"/>
    <x v="0"/>
    <x v="0"/>
    <x v="403"/>
    <x v="902"/>
    <n v="0"/>
    <x v="0"/>
    <x v="2"/>
    <x v="2"/>
  </r>
  <r>
    <x v="0"/>
    <x v="3"/>
    <x v="3"/>
    <x v="0"/>
    <x v="0"/>
    <x v="403"/>
    <x v="902"/>
    <n v="0"/>
    <x v="0"/>
    <x v="2"/>
    <x v="2"/>
  </r>
  <r>
    <x v="0"/>
    <x v="4"/>
    <x v="4"/>
    <x v="0"/>
    <x v="0"/>
    <x v="403"/>
    <x v="902"/>
    <n v="0"/>
    <x v="0"/>
    <x v="2"/>
    <x v="2"/>
  </r>
  <r>
    <x v="0"/>
    <x v="0"/>
    <x v="0"/>
    <x v="0"/>
    <x v="0"/>
    <x v="404"/>
    <x v="903"/>
    <n v="0"/>
    <x v="0"/>
    <x v="2"/>
    <x v="1"/>
  </r>
  <r>
    <x v="0"/>
    <x v="1"/>
    <x v="1"/>
    <x v="0"/>
    <x v="0"/>
    <x v="404"/>
    <x v="903"/>
    <n v="0"/>
    <x v="0"/>
    <x v="2"/>
    <x v="1"/>
  </r>
  <r>
    <x v="0"/>
    <x v="2"/>
    <x v="2"/>
    <x v="0"/>
    <x v="0"/>
    <x v="404"/>
    <x v="903"/>
    <n v="0"/>
    <x v="0"/>
    <x v="2"/>
    <x v="1"/>
  </r>
  <r>
    <x v="0"/>
    <x v="3"/>
    <x v="3"/>
    <x v="0"/>
    <x v="0"/>
    <x v="404"/>
    <x v="903"/>
    <n v="0"/>
    <x v="0"/>
    <x v="2"/>
    <x v="1"/>
  </r>
  <r>
    <x v="0"/>
    <x v="4"/>
    <x v="4"/>
    <x v="0"/>
    <x v="0"/>
    <x v="404"/>
    <x v="903"/>
    <n v="0"/>
    <x v="0"/>
    <x v="2"/>
    <x v="1"/>
  </r>
  <r>
    <x v="0"/>
    <x v="0"/>
    <x v="0"/>
    <x v="0"/>
    <x v="0"/>
    <x v="404"/>
    <x v="904"/>
    <n v="0"/>
    <x v="0"/>
    <x v="2"/>
    <x v="2"/>
  </r>
  <r>
    <x v="0"/>
    <x v="1"/>
    <x v="1"/>
    <x v="0"/>
    <x v="0"/>
    <x v="404"/>
    <x v="904"/>
    <n v="0"/>
    <x v="0"/>
    <x v="2"/>
    <x v="2"/>
  </r>
  <r>
    <x v="0"/>
    <x v="2"/>
    <x v="2"/>
    <x v="0"/>
    <x v="0"/>
    <x v="404"/>
    <x v="904"/>
    <n v="0"/>
    <x v="0"/>
    <x v="2"/>
    <x v="2"/>
  </r>
  <r>
    <x v="0"/>
    <x v="3"/>
    <x v="3"/>
    <x v="0"/>
    <x v="0"/>
    <x v="404"/>
    <x v="904"/>
    <n v="0"/>
    <x v="0"/>
    <x v="2"/>
    <x v="2"/>
  </r>
  <r>
    <x v="0"/>
    <x v="4"/>
    <x v="4"/>
    <x v="0"/>
    <x v="0"/>
    <x v="404"/>
    <x v="904"/>
    <n v="0"/>
    <x v="0"/>
    <x v="2"/>
    <x v="2"/>
  </r>
  <r>
    <x v="0"/>
    <x v="0"/>
    <x v="0"/>
    <x v="0"/>
    <x v="0"/>
    <x v="405"/>
    <x v="905"/>
    <n v="98931.36"/>
    <x v="0"/>
    <x v="2"/>
    <x v="1"/>
  </r>
  <r>
    <x v="0"/>
    <x v="1"/>
    <x v="1"/>
    <x v="0"/>
    <x v="0"/>
    <x v="405"/>
    <x v="905"/>
    <n v="0"/>
    <x v="0"/>
    <x v="2"/>
    <x v="1"/>
  </r>
  <r>
    <x v="0"/>
    <x v="2"/>
    <x v="2"/>
    <x v="0"/>
    <x v="0"/>
    <x v="405"/>
    <x v="905"/>
    <n v="3454234.84"/>
    <x v="0"/>
    <x v="2"/>
    <x v="1"/>
  </r>
  <r>
    <x v="0"/>
    <x v="3"/>
    <x v="3"/>
    <x v="0"/>
    <x v="0"/>
    <x v="405"/>
    <x v="905"/>
    <n v="79302.25"/>
    <x v="0"/>
    <x v="2"/>
    <x v="1"/>
  </r>
  <r>
    <x v="0"/>
    <x v="4"/>
    <x v="4"/>
    <x v="0"/>
    <x v="0"/>
    <x v="405"/>
    <x v="905"/>
    <n v="3632468.45"/>
    <x v="0"/>
    <x v="2"/>
    <x v="1"/>
  </r>
  <r>
    <x v="0"/>
    <x v="0"/>
    <x v="0"/>
    <x v="0"/>
    <x v="0"/>
    <x v="406"/>
    <x v="906"/>
    <n v="98931.36"/>
    <x v="0"/>
    <x v="2"/>
    <x v="2"/>
  </r>
  <r>
    <x v="0"/>
    <x v="1"/>
    <x v="1"/>
    <x v="0"/>
    <x v="0"/>
    <x v="406"/>
    <x v="906"/>
    <n v="0"/>
    <x v="0"/>
    <x v="2"/>
    <x v="2"/>
  </r>
  <r>
    <x v="0"/>
    <x v="2"/>
    <x v="2"/>
    <x v="0"/>
    <x v="0"/>
    <x v="406"/>
    <x v="906"/>
    <n v="3453862.81"/>
    <x v="0"/>
    <x v="2"/>
    <x v="2"/>
  </r>
  <r>
    <x v="0"/>
    <x v="3"/>
    <x v="3"/>
    <x v="0"/>
    <x v="0"/>
    <x v="406"/>
    <x v="906"/>
    <n v="79302.25"/>
    <x v="0"/>
    <x v="2"/>
    <x v="2"/>
  </r>
  <r>
    <x v="0"/>
    <x v="4"/>
    <x v="4"/>
    <x v="0"/>
    <x v="0"/>
    <x v="406"/>
    <x v="906"/>
    <n v="3632096.4200000004"/>
    <x v="0"/>
    <x v="2"/>
    <x v="2"/>
  </r>
  <r>
    <x v="0"/>
    <x v="0"/>
    <x v="0"/>
    <x v="0"/>
    <x v="0"/>
    <x v="407"/>
    <x v="907"/>
    <n v="0"/>
    <x v="0"/>
    <x v="2"/>
    <x v="2"/>
  </r>
  <r>
    <x v="0"/>
    <x v="1"/>
    <x v="1"/>
    <x v="0"/>
    <x v="0"/>
    <x v="407"/>
    <x v="907"/>
    <n v="0"/>
    <x v="0"/>
    <x v="2"/>
    <x v="2"/>
  </r>
  <r>
    <x v="0"/>
    <x v="2"/>
    <x v="2"/>
    <x v="0"/>
    <x v="0"/>
    <x v="407"/>
    <x v="907"/>
    <n v="0"/>
    <x v="0"/>
    <x v="2"/>
    <x v="2"/>
  </r>
  <r>
    <x v="0"/>
    <x v="3"/>
    <x v="3"/>
    <x v="0"/>
    <x v="0"/>
    <x v="407"/>
    <x v="907"/>
    <n v="0"/>
    <x v="0"/>
    <x v="2"/>
    <x v="2"/>
  </r>
  <r>
    <x v="0"/>
    <x v="4"/>
    <x v="4"/>
    <x v="0"/>
    <x v="0"/>
    <x v="407"/>
    <x v="907"/>
    <n v="0"/>
    <x v="0"/>
    <x v="2"/>
    <x v="2"/>
  </r>
  <r>
    <x v="0"/>
    <x v="0"/>
    <x v="0"/>
    <x v="0"/>
    <x v="0"/>
    <x v="408"/>
    <x v="908"/>
    <n v="0"/>
    <x v="0"/>
    <x v="2"/>
    <x v="2"/>
  </r>
  <r>
    <x v="0"/>
    <x v="1"/>
    <x v="1"/>
    <x v="0"/>
    <x v="0"/>
    <x v="408"/>
    <x v="908"/>
    <n v="0"/>
    <x v="0"/>
    <x v="2"/>
    <x v="2"/>
  </r>
  <r>
    <x v="0"/>
    <x v="2"/>
    <x v="2"/>
    <x v="0"/>
    <x v="0"/>
    <x v="408"/>
    <x v="908"/>
    <n v="372.03"/>
    <x v="0"/>
    <x v="2"/>
    <x v="2"/>
  </r>
  <r>
    <x v="0"/>
    <x v="3"/>
    <x v="3"/>
    <x v="0"/>
    <x v="0"/>
    <x v="408"/>
    <x v="908"/>
    <n v="0"/>
    <x v="0"/>
    <x v="2"/>
    <x v="2"/>
  </r>
  <r>
    <x v="0"/>
    <x v="4"/>
    <x v="4"/>
    <x v="0"/>
    <x v="0"/>
    <x v="408"/>
    <x v="908"/>
    <n v="372.03"/>
    <x v="0"/>
    <x v="2"/>
    <x v="2"/>
  </r>
  <r>
    <x v="0"/>
    <x v="0"/>
    <x v="0"/>
    <x v="0"/>
    <x v="0"/>
    <x v="409"/>
    <x v="909"/>
    <n v="2035519.72"/>
    <x v="0"/>
    <x v="2"/>
    <x v="1"/>
  </r>
  <r>
    <x v="0"/>
    <x v="1"/>
    <x v="1"/>
    <x v="0"/>
    <x v="0"/>
    <x v="409"/>
    <x v="909"/>
    <n v="-113282.59"/>
    <x v="0"/>
    <x v="2"/>
    <x v="1"/>
  </r>
  <r>
    <x v="0"/>
    <x v="2"/>
    <x v="2"/>
    <x v="0"/>
    <x v="0"/>
    <x v="409"/>
    <x v="909"/>
    <n v="-1368391.77"/>
    <x v="0"/>
    <x v="2"/>
    <x v="1"/>
  </r>
  <r>
    <x v="0"/>
    <x v="3"/>
    <x v="3"/>
    <x v="0"/>
    <x v="0"/>
    <x v="409"/>
    <x v="909"/>
    <n v="-163541.82"/>
    <x v="0"/>
    <x v="2"/>
    <x v="1"/>
  </r>
  <r>
    <x v="0"/>
    <x v="4"/>
    <x v="4"/>
    <x v="0"/>
    <x v="0"/>
    <x v="409"/>
    <x v="909"/>
    <n v="390303.54"/>
    <x v="0"/>
    <x v="2"/>
    <x v="1"/>
  </r>
  <r>
    <x v="0"/>
    <x v="0"/>
    <x v="0"/>
    <x v="0"/>
    <x v="0"/>
    <x v="410"/>
    <x v="910"/>
    <n v="2035519.72"/>
    <x v="0"/>
    <x v="2"/>
    <x v="2"/>
  </r>
  <r>
    <x v="0"/>
    <x v="1"/>
    <x v="1"/>
    <x v="0"/>
    <x v="0"/>
    <x v="410"/>
    <x v="910"/>
    <n v="293285.06"/>
    <x v="0"/>
    <x v="2"/>
    <x v="2"/>
  </r>
  <r>
    <x v="0"/>
    <x v="2"/>
    <x v="2"/>
    <x v="0"/>
    <x v="0"/>
    <x v="410"/>
    <x v="910"/>
    <n v="2151112.92"/>
    <x v="0"/>
    <x v="2"/>
    <x v="2"/>
  </r>
  <r>
    <x v="0"/>
    <x v="3"/>
    <x v="3"/>
    <x v="0"/>
    <x v="0"/>
    <x v="410"/>
    <x v="910"/>
    <n v="0"/>
    <x v="0"/>
    <x v="2"/>
    <x v="2"/>
  </r>
  <r>
    <x v="0"/>
    <x v="4"/>
    <x v="4"/>
    <x v="0"/>
    <x v="0"/>
    <x v="410"/>
    <x v="910"/>
    <n v="4479917.7"/>
    <x v="0"/>
    <x v="2"/>
    <x v="2"/>
  </r>
  <r>
    <x v="0"/>
    <x v="0"/>
    <x v="0"/>
    <x v="0"/>
    <x v="0"/>
    <x v="411"/>
    <x v="911"/>
    <n v="0"/>
    <x v="0"/>
    <x v="2"/>
    <x v="2"/>
  </r>
  <r>
    <x v="0"/>
    <x v="1"/>
    <x v="1"/>
    <x v="0"/>
    <x v="0"/>
    <x v="411"/>
    <x v="911"/>
    <n v="-406567.65"/>
    <x v="0"/>
    <x v="2"/>
    <x v="2"/>
  </r>
  <r>
    <x v="0"/>
    <x v="2"/>
    <x v="2"/>
    <x v="0"/>
    <x v="0"/>
    <x v="411"/>
    <x v="911"/>
    <n v="-3519504.69"/>
    <x v="0"/>
    <x v="2"/>
    <x v="2"/>
  </r>
  <r>
    <x v="0"/>
    <x v="3"/>
    <x v="3"/>
    <x v="0"/>
    <x v="0"/>
    <x v="411"/>
    <x v="911"/>
    <n v="-163541.82"/>
    <x v="0"/>
    <x v="2"/>
    <x v="2"/>
  </r>
  <r>
    <x v="0"/>
    <x v="4"/>
    <x v="4"/>
    <x v="0"/>
    <x v="0"/>
    <x v="411"/>
    <x v="911"/>
    <n v="-4089614.16"/>
    <x v="0"/>
    <x v="2"/>
    <x v="2"/>
  </r>
  <r>
    <x v="0"/>
    <x v="0"/>
    <x v="0"/>
    <x v="0"/>
    <x v="0"/>
    <x v="412"/>
    <x v="912"/>
    <n v="0"/>
    <x v="0"/>
    <x v="2"/>
    <x v="2"/>
  </r>
  <r>
    <x v="0"/>
    <x v="1"/>
    <x v="1"/>
    <x v="0"/>
    <x v="0"/>
    <x v="412"/>
    <x v="912"/>
    <n v="0"/>
    <x v="0"/>
    <x v="2"/>
    <x v="2"/>
  </r>
  <r>
    <x v="0"/>
    <x v="2"/>
    <x v="2"/>
    <x v="0"/>
    <x v="0"/>
    <x v="412"/>
    <x v="912"/>
    <n v="0"/>
    <x v="0"/>
    <x v="2"/>
    <x v="2"/>
  </r>
  <r>
    <x v="0"/>
    <x v="3"/>
    <x v="3"/>
    <x v="0"/>
    <x v="0"/>
    <x v="412"/>
    <x v="912"/>
    <n v="0"/>
    <x v="0"/>
    <x v="2"/>
    <x v="2"/>
  </r>
  <r>
    <x v="0"/>
    <x v="4"/>
    <x v="4"/>
    <x v="0"/>
    <x v="0"/>
    <x v="412"/>
    <x v="912"/>
    <n v="0"/>
    <x v="0"/>
    <x v="2"/>
    <x v="2"/>
  </r>
  <r>
    <x v="0"/>
    <x v="0"/>
    <x v="0"/>
    <x v="0"/>
    <x v="0"/>
    <x v="413"/>
    <x v="913"/>
    <n v="0"/>
    <x v="0"/>
    <x v="2"/>
    <x v="2"/>
  </r>
  <r>
    <x v="0"/>
    <x v="1"/>
    <x v="1"/>
    <x v="0"/>
    <x v="0"/>
    <x v="413"/>
    <x v="913"/>
    <n v="0"/>
    <x v="0"/>
    <x v="2"/>
    <x v="2"/>
  </r>
  <r>
    <x v="0"/>
    <x v="2"/>
    <x v="2"/>
    <x v="0"/>
    <x v="0"/>
    <x v="413"/>
    <x v="913"/>
    <n v="0"/>
    <x v="0"/>
    <x v="2"/>
    <x v="2"/>
  </r>
  <r>
    <x v="0"/>
    <x v="3"/>
    <x v="3"/>
    <x v="0"/>
    <x v="0"/>
    <x v="413"/>
    <x v="913"/>
    <n v="0"/>
    <x v="0"/>
    <x v="2"/>
    <x v="2"/>
  </r>
  <r>
    <x v="0"/>
    <x v="4"/>
    <x v="4"/>
    <x v="0"/>
    <x v="0"/>
    <x v="413"/>
    <x v="913"/>
    <n v="0"/>
    <x v="0"/>
    <x v="2"/>
    <x v="2"/>
  </r>
  <r>
    <x v="0"/>
    <x v="0"/>
    <x v="0"/>
    <x v="0"/>
    <x v="0"/>
    <x v="414"/>
    <x v="914"/>
    <n v="1443317.74"/>
    <x v="0"/>
    <x v="3"/>
    <x v="0"/>
  </r>
  <r>
    <x v="0"/>
    <x v="1"/>
    <x v="1"/>
    <x v="0"/>
    <x v="0"/>
    <x v="414"/>
    <x v="914"/>
    <n v="526867.07999999996"/>
    <x v="0"/>
    <x v="3"/>
    <x v="0"/>
  </r>
  <r>
    <x v="0"/>
    <x v="2"/>
    <x v="2"/>
    <x v="0"/>
    <x v="0"/>
    <x v="414"/>
    <x v="914"/>
    <n v="7045207.3300000001"/>
    <x v="0"/>
    <x v="3"/>
    <x v="0"/>
  </r>
  <r>
    <x v="0"/>
    <x v="3"/>
    <x v="3"/>
    <x v="0"/>
    <x v="0"/>
    <x v="414"/>
    <x v="914"/>
    <n v="341649.67"/>
    <x v="0"/>
    <x v="3"/>
    <x v="0"/>
  </r>
  <r>
    <x v="0"/>
    <x v="4"/>
    <x v="4"/>
    <x v="0"/>
    <x v="0"/>
    <x v="414"/>
    <x v="914"/>
    <n v="9357041.8200000003"/>
    <x v="0"/>
    <x v="3"/>
    <x v="0"/>
  </r>
  <r>
    <x v="0"/>
    <x v="0"/>
    <x v="0"/>
    <x v="0"/>
    <x v="0"/>
    <x v="415"/>
    <x v="915"/>
    <n v="605427.80000000005"/>
    <x v="0"/>
    <x v="3"/>
    <x v="1"/>
  </r>
  <r>
    <x v="0"/>
    <x v="1"/>
    <x v="1"/>
    <x v="0"/>
    <x v="0"/>
    <x v="415"/>
    <x v="915"/>
    <n v="237733.72"/>
    <x v="0"/>
    <x v="3"/>
    <x v="1"/>
  </r>
  <r>
    <x v="0"/>
    <x v="2"/>
    <x v="2"/>
    <x v="0"/>
    <x v="0"/>
    <x v="415"/>
    <x v="915"/>
    <n v="2532984.84"/>
    <x v="0"/>
    <x v="3"/>
    <x v="1"/>
  </r>
  <r>
    <x v="0"/>
    <x v="3"/>
    <x v="3"/>
    <x v="0"/>
    <x v="0"/>
    <x v="415"/>
    <x v="915"/>
    <n v="139377.79"/>
    <x v="0"/>
    <x v="3"/>
    <x v="1"/>
  </r>
  <r>
    <x v="0"/>
    <x v="4"/>
    <x v="4"/>
    <x v="0"/>
    <x v="0"/>
    <x v="415"/>
    <x v="915"/>
    <n v="3515524.15"/>
    <x v="0"/>
    <x v="3"/>
    <x v="1"/>
  </r>
  <r>
    <x v="0"/>
    <x v="0"/>
    <x v="0"/>
    <x v="0"/>
    <x v="0"/>
    <x v="311"/>
    <x v="916"/>
    <n v="605427.80000000005"/>
    <x v="0"/>
    <x v="3"/>
    <x v="2"/>
  </r>
  <r>
    <x v="0"/>
    <x v="1"/>
    <x v="1"/>
    <x v="0"/>
    <x v="0"/>
    <x v="311"/>
    <x v="916"/>
    <n v="237733.72"/>
    <x v="0"/>
    <x v="3"/>
    <x v="2"/>
  </r>
  <r>
    <x v="0"/>
    <x v="2"/>
    <x v="2"/>
    <x v="0"/>
    <x v="0"/>
    <x v="311"/>
    <x v="916"/>
    <n v="2356104.27"/>
    <x v="0"/>
    <x v="3"/>
    <x v="2"/>
  </r>
  <r>
    <x v="0"/>
    <x v="3"/>
    <x v="3"/>
    <x v="0"/>
    <x v="0"/>
    <x v="311"/>
    <x v="916"/>
    <n v="136996.48000000001"/>
    <x v="0"/>
    <x v="3"/>
    <x v="2"/>
  </r>
  <r>
    <x v="0"/>
    <x v="4"/>
    <x v="4"/>
    <x v="0"/>
    <x v="0"/>
    <x v="311"/>
    <x v="916"/>
    <n v="3336262.27"/>
    <x v="0"/>
    <x v="3"/>
    <x v="2"/>
  </r>
  <r>
    <x v="0"/>
    <x v="0"/>
    <x v="0"/>
    <x v="0"/>
    <x v="0"/>
    <x v="313"/>
    <x v="917"/>
    <n v="40907.71"/>
    <x v="0"/>
    <x v="3"/>
    <x v="3"/>
  </r>
  <r>
    <x v="0"/>
    <x v="1"/>
    <x v="1"/>
    <x v="0"/>
    <x v="0"/>
    <x v="313"/>
    <x v="917"/>
    <n v="17256.38"/>
    <x v="0"/>
    <x v="3"/>
    <x v="3"/>
  </r>
  <r>
    <x v="0"/>
    <x v="2"/>
    <x v="2"/>
    <x v="0"/>
    <x v="0"/>
    <x v="313"/>
    <x v="917"/>
    <n v="161566.95000000001"/>
    <x v="0"/>
    <x v="3"/>
    <x v="3"/>
  </r>
  <r>
    <x v="0"/>
    <x v="3"/>
    <x v="3"/>
    <x v="0"/>
    <x v="0"/>
    <x v="313"/>
    <x v="917"/>
    <n v="3930.2"/>
    <x v="0"/>
    <x v="3"/>
    <x v="3"/>
  </r>
  <r>
    <x v="0"/>
    <x v="4"/>
    <x v="4"/>
    <x v="0"/>
    <x v="0"/>
    <x v="313"/>
    <x v="917"/>
    <n v="223661.24"/>
    <x v="0"/>
    <x v="3"/>
    <x v="3"/>
  </r>
  <r>
    <x v="0"/>
    <x v="0"/>
    <x v="0"/>
    <x v="0"/>
    <x v="0"/>
    <x v="315"/>
    <x v="918"/>
    <n v="0"/>
    <x v="0"/>
    <x v="3"/>
    <x v="3"/>
  </r>
  <r>
    <x v="0"/>
    <x v="1"/>
    <x v="1"/>
    <x v="0"/>
    <x v="0"/>
    <x v="315"/>
    <x v="918"/>
    <n v="0"/>
    <x v="0"/>
    <x v="3"/>
    <x v="3"/>
  </r>
  <r>
    <x v="0"/>
    <x v="2"/>
    <x v="2"/>
    <x v="0"/>
    <x v="0"/>
    <x v="315"/>
    <x v="918"/>
    <n v="10.58"/>
    <x v="0"/>
    <x v="3"/>
    <x v="3"/>
  </r>
  <r>
    <x v="0"/>
    <x v="3"/>
    <x v="3"/>
    <x v="0"/>
    <x v="0"/>
    <x v="315"/>
    <x v="918"/>
    <n v="0"/>
    <x v="0"/>
    <x v="3"/>
    <x v="3"/>
  </r>
  <r>
    <x v="0"/>
    <x v="4"/>
    <x v="4"/>
    <x v="0"/>
    <x v="0"/>
    <x v="315"/>
    <x v="918"/>
    <n v="10.58"/>
    <x v="0"/>
    <x v="3"/>
    <x v="3"/>
  </r>
  <r>
    <x v="0"/>
    <x v="0"/>
    <x v="0"/>
    <x v="0"/>
    <x v="0"/>
    <x v="318"/>
    <x v="919"/>
    <n v="0"/>
    <x v="0"/>
    <x v="3"/>
    <x v="3"/>
  </r>
  <r>
    <x v="0"/>
    <x v="1"/>
    <x v="1"/>
    <x v="0"/>
    <x v="0"/>
    <x v="318"/>
    <x v="919"/>
    <n v="0"/>
    <x v="0"/>
    <x v="3"/>
    <x v="3"/>
  </r>
  <r>
    <x v="0"/>
    <x v="2"/>
    <x v="2"/>
    <x v="0"/>
    <x v="0"/>
    <x v="318"/>
    <x v="919"/>
    <n v="0"/>
    <x v="0"/>
    <x v="3"/>
    <x v="3"/>
  </r>
  <r>
    <x v="0"/>
    <x v="3"/>
    <x v="3"/>
    <x v="0"/>
    <x v="0"/>
    <x v="318"/>
    <x v="919"/>
    <n v="0"/>
    <x v="0"/>
    <x v="3"/>
    <x v="3"/>
  </r>
  <r>
    <x v="0"/>
    <x v="4"/>
    <x v="4"/>
    <x v="0"/>
    <x v="0"/>
    <x v="318"/>
    <x v="919"/>
    <n v="0"/>
    <x v="0"/>
    <x v="3"/>
    <x v="3"/>
  </r>
  <r>
    <x v="0"/>
    <x v="0"/>
    <x v="0"/>
    <x v="0"/>
    <x v="0"/>
    <x v="322"/>
    <x v="920"/>
    <n v="564520.09"/>
    <x v="0"/>
    <x v="3"/>
    <x v="3"/>
  </r>
  <r>
    <x v="0"/>
    <x v="1"/>
    <x v="1"/>
    <x v="0"/>
    <x v="0"/>
    <x v="322"/>
    <x v="920"/>
    <n v="220477.34"/>
    <x v="0"/>
    <x v="3"/>
    <x v="3"/>
  </r>
  <r>
    <x v="0"/>
    <x v="2"/>
    <x v="2"/>
    <x v="0"/>
    <x v="0"/>
    <x v="322"/>
    <x v="920"/>
    <n v="2194526.7400000002"/>
    <x v="0"/>
    <x v="3"/>
    <x v="3"/>
  </r>
  <r>
    <x v="0"/>
    <x v="3"/>
    <x v="3"/>
    <x v="0"/>
    <x v="0"/>
    <x v="322"/>
    <x v="920"/>
    <n v="132961.4"/>
    <x v="0"/>
    <x v="3"/>
    <x v="3"/>
  </r>
  <r>
    <x v="0"/>
    <x v="4"/>
    <x v="4"/>
    <x v="0"/>
    <x v="0"/>
    <x v="322"/>
    <x v="920"/>
    <n v="3112485.57"/>
    <x v="0"/>
    <x v="3"/>
    <x v="3"/>
  </r>
  <r>
    <x v="0"/>
    <x v="0"/>
    <x v="0"/>
    <x v="0"/>
    <x v="0"/>
    <x v="324"/>
    <x v="921"/>
    <n v="0"/>
    <x v="0"/>
    <x v="3"/>
    <x v="3"/>
  </r>
  <r>
    <x v="0"/>
    <x v="1"/>
    <x v="1"/>
    <x v="0"/>
    <x v="0"/>
    <x v="324"/>
    <x v="921"/>
    <n v="0"/>
    <x v="0"/>
    <x v="3"/>
    <x v="3"/>
  </r>
  <r>
    <x v="0"/>
    <x v="2"/>
    <x v="2"/>
    <x v="0"/>
    <x v="0"/>
    <x v="324"/>
    <x v="921"/>
    <n v="0"/>
    <x v="0"/>
    <x v="3"/>
    <x v="3"/>
  </r>
  <r>
    <x v="0"/>
    <x v="3"/>
    <x v="3"/>
    <x v="0"/>
    <x v="0"/>
    <x v="324"/>
    <x v="921"/>
    <n v="0"/>
    <x v="0"/>
    <x v="3"/>
    <x v="3"/>
  </r>
  <r>
    <x v="0"/>
    <x v="4"/>
    <x v="4"/>
    <x v="0"/>
    <x v="0"/>
    <x v="324"/>
    <x v="921"/>
    <n v="0"/>
    <x v="0"/>
    <x v="3"/>
    <x v="3"/>
  </r>
  <r>
    <x v="0"/>
    <x v="0"/>
    <x v="0"/>
    <x v="0"/>
    <x v="0"/>
    <x v="317"/>
    <x v="922"/>
    <n v="0"/>
    <x v="0"/>
    <x v="3"/>
    <x v="3"/>
  </r>
  <r>
    <x v="0"/>
    <x v="1"/>
    <x v="1"/>
    <x v="0"/>
    <x v="0"/>
    <x v="317"/>
    <x v="922"/>
    <n v="0"/>
    <x v="0"/>
    <x v="3"/>
    <x v="3"/>
  </r>
  <r>
    <x v="0"/>
    <x v="2"/>
    <x v="2"/>
    <x v="0"/>
    <x v="0"/>
    <x v="317"/>
    <x v="922"/>
    <n v="0"/>
    <x v="0"/>
    <x v="3"/>
    <x v="3"/>
  </r>
  <r>
    <x v="0"/>
    <x v="3"/>
    <x v="3"/>
    <x v="0"/>
    <x v="0"/>
    <x v="317"/>
    <x v="922"/>
    <n v="0"/>
    <x v="0"/>
    <x v="3"/>
    <x v="3"/>
  </r>
  <r>
    <x v="0"/>
    <x v="4"/>
    <x v="4"/>
    <x v="0"/>
    <x v="0"/>
    <x v="317"/>
    <x v="922"/>
    <n v="0"/>
    <x v="0"/>
    <x v="3"/>
    <x v="3"/>
  </r>
  <r>
    <x v="0"/>
    <x v="0"/>
    <x v="0"/>
    <x v="0"/>
    <x v="0"/>
    <x v="68"/>
    <x v="923"/>
    <n v="0"/>
    <x v="0"/>
    <x v="3"/>
    <x v="3"/>
  </r>
  <r>
    <x v="0"/>
    <x v="1"/>
    <x v="1"/>
    <x v="0"/>
    <x v="0"/>
    <x v="68"/>
    <x v="923"/>
    <n v="0"/>
    <x v="0"/>
    <x v="3"/>
    <x v="3"/>
  </r>
  <r>
    <x v="0"/>
    <x v="2"/>
    <x v="2"/>
    <x v="0"/>
    <x v="0"/>
    <x v="68"/>
    <x v="923"/>
    <n v="0"/>
    <x v="0"/>
    <x v="3"/>
    <x v="3"/>
  </r>
  <r>
    <x v="0"/>
    <x v="3"/>
    <x v="3"/>
    <x v="0"/>
    <x v="0"/>
    <x v="68"/>
    <x v="923"/>
    <n v="104.88"/>
    <x v="0"/>
    <x v="3"/>
    <x v="3"/>
  </r>
  <r>
    <x v="0"/>
    <x v="4"/>
    <x v="4"/>
    <x v="0"/>
    <x v="0"/>
    <x v="68"/>
    <x v="923"/>
    <n v="104.88"/>
    <x v="0"/>
    <x v="3"/>
    <x v="3"/>
  </r>
  <r>
    <x v="0"/>
    <x v="0"/>
    <x v="0"/>
    <x v="0"/>
    <x v="0"/>
    <x v="17"/>
    <x v="924"/>
    <n v="0"/>
    <x v="0"/>
    <x v="3"/>
    <x v="2"/>
  </r>
  <r>
    <x v="0"/>
    <x v="1"/>
    <x v="1"/>
    <x v="0"/>
    <x v="0"/>
    <x v="17"/>
    <x v="924"/>
    <n v="0"/>
    <x v="0"/>
    <x v="3"/>
    <x v="2"/>
  </r>
  <r>
    <x v="0"/>
    <x v="2"/>
    <x v="2"/>
    <x v="0"/>
    <x v="0"/>
    <x v="17"/>
    <x v="924"/>
    <n v="0"/>
    <x v="0"/>
    <x v="3"/>
    <x v="2"/>
  </r>
  <r>
    <x v="0"/>
    <x v="3"/>
    <x v="3"/>
    <x v="0"/>
    <x v="0"/>
    <x v="17"/>
    <x v="924"/>
    <n v="0"/>
    <x v="0"/>
    <x v="3"/>
    <x v="2"/>
  </r>
  <r>
    <x v="0"/>
    <x v="4"/>
    <x v="4"/>
    <x v="0"/>
    <x v="0"/>
    <x v="17"/>
    <x v="924"/>
    <n v="0"/>
    <x v="0"/>
    <x v="3"/>
    <x v="2"/>
  </r>
  <r>
    <x v="0"/>
    <x v="0"/>
    <x v="0"/>
    <x v="0"/>
    <x v="0"/>
    <x v="416"/>
    <x v="925"/>
    <n v="0"/>
    <x v="0"/>
    <x v="3"/>
    <x v="3"/>
  </r>
  <r>
    <x v="0"/>
    <x v="1"/>
    <x v="1"/>
    <x v="0"/>
    <x v="0"/>
    <x v="416"/>
    <x v="925"/>
    <n v="0"/>
    <x v="0"/>
    <x v="3"/>
    <x v="3"/>
  </r>
  <r>
    <x v="0"/>
    <x v="2"/>
    <x v="2"/>
    <x v="0"/>
    <x v="0"/>
    <x v="416"/>
    <x v="925"/>
    <n v="0"/>
    <x v="0"/>
    <x v="3"/>
    <x v="3"/>
  </r>
  <r>
    <x v="0"/>
    <x v="3"/>
    <x v="3"/>
    <x v="0"/>
    <x v="0"/>
    <x v="416"/>
    <x v="925"/>
    <n v="0"/>
    <x v="0"/>
    <x v="3"/>
    <x v="3"/>
  </r>
  <r>
    <x v="0"/>
    <x v="4"/>
    <x v="4"/>
    <x v="0"/>
    <x v="0"/>
    <x v="416"/>
    <x v="925"/>
    <n v="0"/>
    <x v="0"/>
    <x v="3"/>
    <x v="3"/>
  </r>
  <r>
    <x v="0"/>
    <x v="0"/>
    <x v="0"/>
    <x v="0"/>
    <x v="0"/>
    <x v="21"/>
    <x v="926"/>
    <n v="0"/>
    <x v="0"/>
    <x v="3"/>
    <x v="3"/>
  </r>
  <r>
    <x v="0"/>
    <x v="1"/>
    <x v="1"/>
    <x v="0"/>
    <x v="0"/>
    <x v="21"/>
    <x v="926"/>
    <n v="0"/>
    <x v="0"/>
    <x v="3"/>
    <x v="3"/>
  </r>
  <r>
    <x v="0"/>
    <x v="2"/>
    <x v="2"/>
    <x v="0"/>
    <x v="0"/>
    <x v="21"/>
    <x v="926"/>
    <n v="0"/>
    <x v="0"/>
    <x v="3"/>
    <x v="3"/>
  </r>
  <r>
    <x v="0"/>
    <x v="3"/>
    <x v="3"/>
    <x v="0"/>
    <x v="0"/>
    <x v="21"/>
    <x v="926"/>
    <n v="0"/>
    <x v="0"/>
    <x v="3"/>
    <x v="3"/>
  </r>
  <r>
    <x v="0"/>
    <x v="4"/>
    <x v="4"/>
    <x v="0"/>
    <x v="0"/>
    <x v="21"/>
    <x v="926"/>
    <n v="0"/>
    <x v="0"/>
    <x v="3"/>
    <x v="3"/>
  </r>
  <r>
    <x v="0"/>
    <x v="0"/>
    <x v="0"/>
    <x v="0"/>
    <x v="0"/>
    <x v="340"/>
    <x v="927"/>
    <n v="0"/>
    <x v="0"/>
    <x v="3"/>
    <x v="2"/>
  </r>
  <r>
    <x v="0"/>
    <x v="1"/>
    <x v="1"/>
    <x v="0"/>
    <x v="0"/>
    <x v="340"/>
    <x v="927"/>
    <n v="0"/>
    <x v="0"/>
    <x v="3"/>
    <x v="2"/>
  </r>
  <r>
    <x v="0"/>
    <x v="2"/>
    <x v="2"/>
    <x v="0"/>
    <x v="0"/>
    <x v="340"/>
    <x v="927"/>
    <n v="176742.2"/>
    <x v="0"/>
    <x v="3"/>
    <x v="2"/>
  </r>
  <r>
    <x v="0"/>
    <x v="3"/>
    <x v="3"/>
    <x v="0"/>
    <x v="0"/>
    <x v="340"/>
    <x v="927"/>
    <n v="2381.31"/>
    <x v="0"/>
    <x v="3"/>
    <x v="2"/>
  </r>
  <r>
    <x v="0"/>
    <x v="4"/>
    <x v="4"/>
    <x v="0"/>
    <x v="0"/>
    <x v="340"/>
    <x v="927"/>
    <n v="179123.51"/>
    <x v="0"/>
    <x v="3"/>
    <x v="2"/>
  </r>
  <r>
    <x v="0"/>
    <x v="0"/>
    <x v="0"/>
    <x v="0"/>
    <x v="0"/>
    <x v="367"/>
    <x v="928"/>
    <n v="0"/>
    <x v="0"/>
    <x v="3"/>
    <x v="3"/>
  </r>
  <r>
    <x v="0"/>
    <x v="1"/>
    <x v="1"/>
    <x v="0"/>
    <x v="0"/>
    <x v="367"/>
    <x v="928"/>
    <n v="0"/>
    <x v="0"/>
    <x v="3"/>
    <x v="3"/>
  </r>
  <r>
    <x v="0"/>
    <x v="2"/>
    <x v="2"/>
    <x v="0"/>
    <x v="0"/>
    <x v="367"/>
    <x v="928"/>
    <n v="0"/>
    <x v="0"/>
    <x v="3"/>
    <x v="3"/>
  </r>
  <r>
    <x v="0"/>
    <x v="3"/>
    <x v="3"/>
    <x v="0"/>
    <x v="0"/>
    <x v="367"/>
    <x v="928"/>
    <n v="0"/>
    <x v="0"/>
    <x v="3"/>
    <x v="3"/>
  </r>
  <r>
    <x v="0"/>
    <x v="4"/>
    <x v="4"/>
    <x v="0"/>
    <x v="0"/>
    <x v="367"/>
    <x v="928"/>
    <n v="0"/>
    <x v="0"/>
    <x v="3"/>
    <x v="3"/>
  </r>
  <r>
    <x v="0"/>
    <x v="0"/>
    <x v="0"/>
    <x v="0"/>
    <x v="0"/>
    <x v="417"/>
    <x v="929"/>
    <n v="0"/>
    <x v="0"/>
    <x v="3"/>
    <x v="3"/>
  </r>
  <r>
    <x v="0"/>
    <x v="1"/>
    <x v="1"/>
    <x v="0"/>
    <x v="0"/>
    <x v="417"/>
    <x v="929"/>
    <n v="0"/>
    <x v="0"/>
    <x v="3"/>
    <x v="3"/>
  </r>
  <r>
    <x v="0"/>
    <x v="2"/>
    <x v="2"/>
    <x v="0"/>
    <x v="0"/>
    <x v="417"/>
    <x v="929"/>
    <n v="0"/>
    <x v="0"/>
    <x v="3"/>
    <x v="3"/>
  </r>
  <r>
    <x v="0"/>
    <x v="3"/>
    <x v="3"/>
    <x v="0"/>
    <x v="0"/>
    <x v="417"/>
    <x v="929"/>
    <n v="290.14"/>
    <x v="0"/>
    <x v="3"/>
    <x v="3"/>
  </r>
  <r>
    <x v="0"/>
    <x v="4"/>
    <x v="4"/>
    <x v="0"/>
    <x v="0"/>
    <x v="417"/>
    <x v="929"/>
    <n v="290.14"/>
    <x v="0"/>
    <x v="3"/>
    <x v="3"/>
  </r>
  <r>
    <x v="0"/>
    <x v="0"/>
    <x v="0"/>
    <x v="0"/>
    <x v="0"/>
    <x v="369"/>
    <x v="930"/>
    <n v="0"/>
    <x v="0"/>
    <x v="3"/>
    <x v="3"/>
  </r>
  <r>
    <x v="0"/>
    <x v="1"/>
    <x v="1"/>
    <x v="0"/>
    <x v="0"/>
    <x v="369"/>
    <x v="930"/>
    <n v="0"/>
    <x v="0"/>
    <x v="3"/>
    <x v="3"/>
  </r>
  <r>
    <x v="0"/>
    <x v="2"/>
    <x v="2"/>
    <x v="0"/>
    <x v="0"/>
    <x v="369"/>
    <x v="930"/>
    <n v="134230"/>
    <x v="0"/>
    <x v="3"/>
    <x v="3"/>
  </r>
  <r>
    <x v="0"/>
    <x v="3"/>
    <x v="3"/>
    <x v="0"/>
    <x v="0"/>
    <x v="369"/>
    <x v="930"/>
    <n v="0"/>
    <x v="0"/>
    <x v="3"/>
    <x v="3"/>
  </r>
  <r>
    <x v="0"/>
    <x v="4"/>
    <x v="4"/>
    <x v="0"/>
    <x v="0"/>
    <x v="369"/>
    <x v="930"/>
    <n v="134230"/>
    <x v="0"/>
    <x v="3"/>
    <x v="3"/>
  </r>
  <r>
    <x v="0"/>
    <x v="0"/>
    <x v="0"/>
    <x v="0"/>
    <x v="0"/>
    <x v="370"/>
    <x v="931"/>
    <n v="0"/>
    <x v="0"/>
    <x v="3"/>
    <x v="3"/>
  </r>
  <r>
    <x v="0"/>
    <x v="1"/>
    <x v="1"/>
    <x v="0"/>
    <x v="0"/>
    <x v="370"/>
    <x v="931"/>
    <n v="0"/>
    <x v="0"/>
    <x v="3"/>
    <x v="3"/>
  </r>
  <r>
    <x v="0"/>
    <x v="2"/>
    <x v="2"/>
    <x v="0"/>
    <x v="0"/>
    <x v="370"/>
    <x v="931"/>
    <n v="42512.2"/>
    <x v="0"/>
    <x v="3"/>
    <x v="3"/>
  </r>
  <r>
    <x v="0"/>
    <x v="3"/>
    <x v="3"/>
    <x v="0"/>
    <x v="0"/>
    <x v="370"/>
    <x v="931"/>
    <n v="2091.17"/>
    <x v="0"/>
    <x v="3"/>
    <x v="3"/>
  </r>
  <r>
    <x v="0"/>
    <x v="4"/>
    <x v="4"/>
    <x v="0"/>
    <x v="0"/>
    <x v="370"/>
    <x v="931"/>
    <n v="44603.37"/>
    <x v="0"/>
    <x v="3"/>
    <x v="3"/>
  </r>
  <r>
    <x v="0"/>
    <x v="0"/>
    <x v="0"/>
    <x v="0"/>
    <x v="0"/>
    <x v="371"/>
    <x v="932"/>
    <n v="0"/>
    <x v="0"/>
    <x v="3"/>
    <x v="3"/>
  </r>
  <r>
    <x v="0"/>
    <x v="1"/>
    <x v="1"/>
    <x v="0"/>
    <x v="0"/>
    <x v="371"/>
    <x v="932"/>
    <n v="0"/>
    <x v="0"/>
    <x v="3"/>
    <x v="3"/>
  </r>
  <r>
    <x v="0"/>
    <x v="2"/>
    <x v="2"/>
    <x v="0"/>
    <x v="0"/>
    <x v="371"/>
    <x v="932"/>
    <n v="0"/>
    <x v="0"/>
    <x v="3"/>
    <x v="3"/>
  </r>
  <r>
    <x v="0"/>
    <x v="3"/>
    <x v="3"/>
    <x v="0"/>
    <x v="0"/>
    <x v="371"/>
    <x v="932"/>
    <n v="0"/>
    <x v="0"/>
    <x v="3"/>
    <x v="3"/>
  </r>
  <r>
    <x v="0"/>
    <x v="4"/>
    <x v="4"/>
    <x v="0"/>
    <x v="0"/>
    <x v="371"/>
    <x v="932"/>
    <n v="0"/>
    <x v="0"/>
    <x v="3"/>
    <x v="3"/>
  </r>
  <r>
    <x v="0"/>
    <x v="0"/>
    <x v="0"/>
    <x v="0"/>
    <x v="0"/>
    <x v="372"/>
    <x v="933"/>
    <n v="0"/>
    <x v="0"/>
    <x v="3"/>
    <x v="3"/>
  </r>
  <r>
    <x v="0"/>
    <x v="1"/>
    <x v="1"/>
    <x v="0"/>
    <x v="0"/>
    <x v="372"/>
    <x v="933"/>
    <n v="0"/>
    <x v="0"/>
    <x v="3"/>
    <x v="3"/>
  </r>
  <r>
    <x v="0"/>
    <x v="2"/>
    <x v="2"/>
    <x v="0"/>
    <x v="0"/>
    <x v="372"/>
    <x v="933"/>
    <n v="0"/>
    <x v="0"/>
    <x v="3"/>
    <x v="3"/>
  </r>
  <r>
    <x v="0"/>
    <x v="3"/>
    <x v="3"/>
    <x v="0"/>
    <x v="0"/>
    <x v="372"/>
    <x v="933"/>
    <n v="0"/>
    <x v="0"/>
    <x v="3"/>
    <x v="3"/>
  </r>
  <r>
    <x v="0"/>
    <x v="4"/>
    <x v="4"/>
    <x v="0"/>
    <x v="0"/>
    <x v="372"/>
    <x v="933"/>
    <n v="0"/>
    <x v="0"/>
    <x v="3"/>
    <x v="3"/>
  </r>
  <r>
    <x v="0"/>
    <x v="0"/>
    <x v="0"/>
    <x v="0"/>
    <x v="0"/>
    <x v="377"/>
    <x v="934"/>
    <n v="0"/>
    <x v="0"/>
    <x v="3"/>
    <x v="3"/>
  </r>
  <r>
    <x v="0"/>
    <x v="1"/>
    <x v="1"/>
    <x v="0"/>
    <x v="0"/>
    <x v="377"/>
    <x v="934"/>
    <n v="0"/>
    <x v="0"/>
    <x v="3"/>
    <x v="3"/>
  </r>
  <r>
    <x v="0"/>
    <x v="2"/>
    <x v="2"/>
    <x v="0"/>
    <x v="0"/>
    <x v="377"/>
    <x v="934"/>
    <n v="0"/>
    <x v="0"/>
    <x v="3"/>
    <x v="3"/>
  </r>
  <r>
    <x v="0"/>
    <x v="3"/>
    <x v="3"/>
    <x v="0"/>
    <x v="0"/>
    <x v="377"/>
    <x v="934"/>
    <n v="0"/>
    <x v="0"/>
    <x v="3"/>
    <x v="3"/>
  </r>
  <r>
    <x v="0"/>
    <x v="4"/>
    <x v="4"/>
    <x v="0"/>
    <x v="0"/>
    <x v="377"/>
    <x v="934"/>
    <n v="0"/>
    <x v="0"/>
    <x v="3"/>
    <x v="3"/>
  </r>
  <r>
    <x v="0"/>
    <x v="0"/>
    <x v="0"/>
    <x v="0"/>
    <x v="0"/>
    <x v="418"/>
    <x v="935"/>
    <n v="0"/>
    <x v="0"/>
    <x v="3"/>
    <x v="2"/>
  </r>
  <r>
    <x v="0"/>
    <x v="1"/>
    <x v="1"/>
    <x v="0"/>
    <x v="0"/>
    <x v="418"/>
    <x v="935"/>
    <n v="0"/>
    <x v="0"/>
    <x v="3"/>
    <x v="2"/>
  </r>
  <r>
    <x v="0"/>
    <x v="2"/>
    <x v="2"/>
    <x v="0"/>
    <x v="0"/>
    <x v="418"/>
    <x v="935"/>
    <n v="0"/>
    <x v="0"/>
    <x v="3"/>
    <x v="2"/>
  </r>
  <r>
    <x v="0"/>
    <x v="3"/>
    <x v="3"/>
    <x v="0"/>
    <x v="0"/>
    <x v="418"/>
    <x v="935"/>
    <n v="0"/>
    <x v="0"/>
    <x v="3"/>
    <x v="2"/>
  </r>
  <r>
    <x v="0"/>
    <x v="4"/>
    <x v="4"/>
    <x v="0"/>
    <x v="0"/>
    <x v="418"/>
    <x v="935"/>
    <n v="0"/>
    <x v="0"/>
    <x v="3"/>
    <x v="2"/>
  </r>
  <r>
    <x v="0"/>
    <x v="0"/>
    <x v="0"/>
    <x v="0"/>
    <x v="0"/>
    <x v="333"/>
    <x v="936"/>
    <n v="0"/>
    <x v="0"/>
    <x v="3"/>
    <x v="3"/>
  </r>
  <r>
    <x v="0"/>
    <x v="1"/>
    <x v="1"/>
    <x v="0"/>
    <x v="0"/>
    <x v="333"/>
    <x v="936"/>
    <n v="0"/>
    <x v="0"/>
    <x v="3"/>
    <x v="3"/>
  </r>
  <r>
    <x v="0"/>
    <x v="2"/>
    <x v="2"/>
    <x v="0"/>
    <x v="0"/>
    <x v="333"/>
    <x v="936"/>
    <n v="0"/>
    <x v="0"/>
    <x v="3"/>
    <x v="3"/>
  </r>
  <r>
    <x v="0"/>
    <x v="3"/>
    <x v="3"/>
    <x v="0"/>
    <x v="0"/>
    <x v="333"/>
    <x v="936"/>
    <n v="0"/>
    <x v="0"/>
    <x v="3"/>
    <x v="3"/>
  </r>
  <r>
    <x v="0"/>
    <x v="4"/>
    <x v="4"/>
    <x v="0"/>
    <x v="0"/>
    <x v="333"/>
    <x v="936"/>
    <n v="0"/>
    <x v="0"/>
    <x v="3"/>
    <x v="3"/>
  </r>
  <r>
    <x v="0"/>
    <x v="0"/>
    <x v="0"/>
    <x v="0"/>
    <x v="0"/>
    <x v="334"/>
    <x v="937"/>
    <n v="0"/>
    <x v="0"/>
    <x v="3"/>
    <x v="3"/>
  </r>
  <r>
    <x v="0"/>
    <x v="1"/>
    <x v="1"/>
    <x v="0"/>
    <x v="0"/>
    <x v="334"/>
    <x v="937"/>
    <n v="0"/>
    <x v="0"/>
    <x v="3"/>
    <x v="3"/>
  </r>
  <r>
    <x v="0"/>
    <x v="2"/>
    <x v="2"/>
    <x v="0"/>
    <x v="0"/>
    <x v="334"/>
    <x v="937"/>
    <n v="0"/>
    <x v="0"/>
    <x v="3"/>
    <x v="3"/>
  </r>
  <r>
    <x v="0"/>
    <x v="3"/>
    <x v="3"/>
    <x v="0"/>
    <x v="0"/>
    <x v="334"/>
    <x v="937"/>
    <n v="0"/>
    <x v="0"/>
    <x v="3"/>
    <x v="3"/>
  </r>
  <r>
    <x v="0"/>
    <x v="4"/>
    <x v="4"/>
    <x v="0"/>
    <x v="0"/>
    <x v="334"/>
    <x v="937"/>
    <n v="0"/>
    <x v="0"/>
    <x v="3"/>
    <x v="3"/>
  </r>
  <r>
    <x v="0"/>
    <x v="0"/>
    <x v="0"/>
    <x v="0"/>
    <x v="0"/>
    <x v="335"/>
    <x v="938"/>
    <n v="0"/>
    <x v="0"/>
    <x v="3"/>
    <x v="3"/>
  </r>
  <r>
    <x v="0"/>
    <x v="1"/>
    <x v="1"/>
    <x v="0"/>
    <x v="0"/>
    <x v="335"/>
    <x v="938"/>
    <n v="0"/>
    <x v="0"/>
    <x v="3"/>
    <x v="3"/>
  </r>
  <r>
    <x v="0"/>
    <x v="2"/>
    <x v="2"/>
    <x v="0"/>
    <x v="0"/>
    <x v="335"/>
    <x v="938"/>
    <n v="0"/>
    <x v="0"/>
    <x v="3"/>
    <x v="3"/>
  </r>
  <r>
    <x v="0"/>
    <x v="3"/>
    <x v="3"/>
    <x v="0"/>
    <x v="0"/>
    <x v="335"/>
    <x v="938"/>
    <n v="0"/>
    <x v="0"/>
    <x v="3"/>
    <x v="3"/>
  </r>
  <r>
    <x v="0"/>
    <x v="4"/>
    <x v="4"/>
    <x v="0"/>
    <x v="0"/>
    <x v="335"/>
    <x v="938"/>
    <n v="0"/>
    <x v="0"/>
    <x v="3"/>
    <x v="3"/>
  </r>
  <r>
    <x v="0"/>
    <x v="0"/>
    <x v="0"/>
    <x v="0"/>
    <x v="0"/>
    <x v="419"/>
    <x v="939"/>
    <n v="0"/>
    <x v="0"/>
    <x v="3"/>
    <x v="2"/>
  </r>
  <r>
    <x v="0"/>
    <x v="1"/>
    <x v="1"/>
    <x v="0"/>
    <x v="0"/>
    <x v="419"/>
    <x v="939"/>
    <n v="0"/>
    <x v="0"/>
    <x v="3"/>
    <x v="2"/>
  </r>
  <r>
    <x v="0"/>
    <x v="2"/>
    <x v="2"/>
    <x v="0"/>
    <x v="0"/>
    <x v="419"/>
    <x v="939"/>
    <n v="138.37"/>
    <x v="0"/>
    <x v="3"/>
    <x v="2"/>
  </r>
  <r>
    <x v="0"/>
    <x v="3"/>
    <x v="3"/>
    <x v="0"/>
    <x v="0"/>
    <x v="419"/>
    <x v="939"/>
    <n v="0"/>
    <x v="0"/>
    <x v="3"/>
    <x v="2"/>
  </r>
  <r>
    <x v="0"/>
    <x v="4"/>
    <x v="4"/>
    <x v="0"/>
    <x v="0"/>
    <x v="419"/>
    <x v="939"/>
    <n v="138.37"/>
    <x v="0"/>
    <x v="3"/>
    <x v="2"/>
  </r>
  <r>
    <x v="0"/>
    <x v="0"/>
    <x v="0"/>
    <x v="0"/>
    <x v="0"/>
    <x v="68"/>
    <x v="940"/>
    <n v="0"/>
    <x v="0"/>
    <x v="3"/>
    <x v="3"/>
  </r>
  <r>
    <x v="0"/>
    <x v="1"/>
    <x v="1"/>
    <x v="0"/>
    <x v="0"/>
    <x v="68"/>
    <x v="940"/>
    <n v="0"/>
    <x v="0"/>
    <x v="3"/>
    <x v="3"/>
  </r>
  <r>
    <x v="0"/>
    <x v="2"/>
    <x v="2"/>
    <x v="0"/>
    <x v="0"/>
    <x v="68"/>
    <x v="940"/>
    <n v="138.37"/>
    <x v="0"/>
    <x v="3"/>
    <x v="3"/>
  </r>
  <r>
    <x v="0"/>
    <x v="3"/>
    <x v="3"/>
    <x v="0"/>
    <x v="0"/>
    <x v="68"/>
    <x v="940"/>
    <n v="0"/>
    <x v="0"/>
    <x v="3"/>
    <x v="3"/>
  </r>
  <r>
    <x v="0"/>
    <x v="4"/>
    <x v="4"/>
    <x v="0"/>
    <x v="0"/>
    <x v="68"/>
    <x v="940"/>
    <n v="138.37"/>
    <x v="0"/>
    <x v="3"/>
    <x v="3"/>
  </r>
  <r>
    <x v="0"/>
    <x v="0"/>
    <x v="0"/>
    <x v="0"/>
    <x v="0"/>
    <x v="420"/>
    <x v="941"/>
    <n v="10137.76"/>
    <x v="0"/>
    <x v="3"/>
    <x v="1"/>
  </r>
  <r>
    <x v="0"/>
    <x v="1"/>
    <x v="1"/>
    <x v="0"/>
    <x v="0"/>
    <x v="420"/>
    <x v="941"/>
    <n v="954.8"/>
    <x v="0"/>
    <x v="3"/>
    <x v="1"/>
  </r>
  <r>
    <x v="0"/>
    <x v="2"/>
    <x v="2"/>
    <x v="0"/>
    <x v="0"/>
    <x v="420"/>
    <x v="941"/>
    <n v="18858.95"/>
    <x v="0"/>
    <x v="3"/>
    <x v="1"/>
  </r>
  <r>
    <x v="0"/>
    <x v="3"/>
    <x v="3"/>
    <x v="0"/>
    <x v="0"/>
    <x v="420"/>
    <x v="941"/>
    <n v="672"/>
    <x v="0"/>
    <x v="3"/>
    <x v="1"/>
  </r>
  <r>
    <x v="0"/>
    <x v="4"/>
    <x v="4"/>
    <x v="0"/>
    <x v="0"/>
    <x v="420"/>
    <x v="941"/>
    <n v="30623.51"/>
    <x v="0"/>
    <x v="3"/>
    <x v="1"/>
  </r>
  <r>
    <x v="0"/>
    <x v="0"/>
    <x v="0"/>
    <x v="0"/>
    <x v="0"/>
    <x v="340"/>
    <x v="942"/>
    <n v="0"/>
    <x v="0"/>
    <x v="3"/>
    <x v="2"/>
  </r>
  <r>
    <x v="0"/>
    <x v="1"/>
    <x v="1"/>
    <x v="0"/>
    <x v="0"/>
    <x v="340"/>
    <x v="942"/>
    <n v="0"/>
    <x v="0"/>
    <x v="3"/>
    <x v="2"/>
  </r>
  <r>
    <x v="0"/>
    <x v="2"/>
    <x v="2"/>
    <x v="0"/>
    <x v="0"/>
    <x v="340"/>
    <x v="942"/>
    <n v="0"/>
    <x v="0"/>
    <x v="3"/>
    <x v="2"/>
  </r>
  <r>
    <x v="0"/>
    <x v="3"/>
    <x v="3"/>
    <x v="0"/>
    <x v="0"/>
    <x v="340"/>
    <x v="942"/>
    <n v="0"/>
    <x v="0"/>
    <x v="3"/>
    <x v="2"/>
  </r>
  <r>
    <x v="0"/>
    <x v="4"/>
    <x v="4"/>
    <x v="0"/>
    <x v="0"/>
    <x v="340"/>
    <x v="942"/>
    <n v="0"/>
    <x v="0"/>
    <x v="3"/>
    <x v="2"/>
  </r>
  <r>
    <x v="0"/>
    <x v="0"/>
    <x v="0"/>
    <x v="0"/>
    <x v="0"/>
    <x v="189"/>
    <x v="943"/>
    <n v="0"/>
    <x v="0"/>
    <x v="3"/>
    <x v="2"/>
  </r>
  <r>
    <x v="0"/>
    <x v="1"/>
    <x v="1"/>
    <x v="0"/>
    <x v="0"/>
    <x v="189"/>
    <x v="943"/>
    <n v="0"/>
    <x v="0"/>
    <x v="3"/>
    <x v="2"/>
  </r>
  <r>
    <x v="0"/>
    <x v="2"/>
    <x v="2"/>
    <x v="0"/>
    <x v="0"/>
    <x v="189"/>
    <x v="943"/>
    <n v="0.82"/>
    <x v="0"/>
    <x v="3"/>
    <x v="2"/>
  </r>
  <r>
    <x v="0"/>
    <x v="3"/>
    <x v="3"/>
    <x v="0"/>
    <x v="0"/>
    <x v="189"/>
    <x v="943"/>
    <n v="0"/>
    <x v="0"/>
    <x v="3"/>
    <x v="2"/>
  </r>
  <r>
    <x v="0"/>
    <x v="4"/>
    <x v="4"/>
    <x v="0"/>
    <x v="0"/>
    <x v="189"/>
    <x v="943"/>
    <n v="0.82"/>
    <x v="0"/>
    <x v="3"/>
    <x v="2"/>
  </r>
  <r>
    <x v="0"/>
    <x v="0"/>
    <x v="0"/>
    <x v="0"/>
    <x v="0"/>
    <x v="331"/>
    <x v="944"/>
    <n v="0"/>
    <x v="0"/>
    <x v="3"/>
    <x v="2"/>
  </r>
  <r>
    <x v="0"/>
    <x v="1"/>
    <x v="1"/>
    <x v="0"/>
    <x v="0"/>
    <x v="331"/>
    <x v="944"/>
    <n v="0"/>
    <x v="0"/>
    <x v="3"/>
    <x v="2"/>
  </r>
  <r>
    <x v="0"/>
    <x v="2"/>
    <x v="2"/>
    <x v="0"/>
    <x v="0"/>
    <x v="331"/>
    <x v="944"/>
    <n v="0"/>
    <x v="0"/>
    <x v="3"/>
    <x v="2"/>
  </r>
  <r>
    <x v="0"/>
    <x v="3"/>
    <x v="3"/>
    <x v="0"/>
    <x v="0"/>
    <x v="331"/>
    <x v="944"/>
    <n v="0"/>
    <x v="0"/>
    <x v="3"/>
    <x v="2"/>
  </r>
  <r>
    <x v="0"/>
    <x v="4"/>
    <x v="4"/>
    <x v="0"/>
    <x v="0"/>
    <x v="331"/>
    <x v="944"/>
    <n v="0"/>
    <x v="0"/>
    <x v="3"/>
    <x v="2"/>
  </r>
  <r>
    <x v="0"/>
    <x v="0"/>
    <x v="0"/>
    <x v="0"/>
    <x v="0"/>
    <x v="421"/>
    <x v="945"/>
    <n v="0"/>
    <x v="0"/>
    <x v="3"/>
    <x v="2"/>
  </r>
  <r>
    <x v="0"/>
    <x v="1"/>
    <x v="1"/>
    <x v="0"/>
    <x v="0"/>
    <x v="421"/>
    <x v="945"/>
    <n v="0"/>
    <x v="0"/>
    <x v="3"/>
    <x v="2"/>
  </r>
  <r>
    <x v="0"/>
    <x v="2"/>
    <x v="2"/>
    <x v="0"/>
    <x v="0"/>
    <x v="421"/>
    <x v="945"/>
    <n v="0"/>
    <x v="0"/>
    <x v="3"/>
    <x v="2"/>
  </r>
  <r>
    <x v="0"/>
    <x v="3"/>
    <x v="3"/>
    <x v="0"/>
    <x v="0"/>
    <x v="421"/>
    <x v="945"/>
    <n v="0"/>
    <x v="0"/>
    <x v="3"/>
    <x v="2"/>
  </r>
  <r>
    <x v="0"/>
    <x v="4"/>
    <x v="4"/>
    <x v="0"/>
    <x v="0"/>
    <x v="421"/>
    <x v="945"/>
    <n v="0"/>
    <x v="0"/>
    <x v="3"/>
    <x v="2"/>
  </r>
  <r>
    <x v="0"/>
    <x v="0"/>
    <x v="0"/>
    <x v="0"/>
    <x v="0"/>
    <x v="422"/>
    <x v="946"/>
    <n v="672"/>
    <x v="0"/>
    <x v="3"/>
    <x v="2"/>
  </r>
  <r>
    <x v="0"/>
    <x v="1"/>
    <x v="1"/>
    <x v="0"/>
    <x v="0"/>
    <x v="422"/>
    <x v="946"/>
    <n v="600"/>
    <x v="0"/>
    <x v="3"/>
    <x v="2"/>
  </r>
  <r>
    <x v="0"/>
    <x v="2"/>
    <x v="2"/>
    <x v="0"/>
    <x v="0"/>
    <x v="422"/>
    <x v="946"/>
    <n v="0"/>
    <x v="0"/>
    <x v="3"/>
    <x v="2"/>
  </r>
  <r>
    <x v="0"/>
    <x v="3"/>
    <x v="3"/>
    <x v="0"/>
    <x v="0"/>
    <x v="422"/>
    <x v="946"/>
    <n v="672"/>
    <x v="0"/>
    <x v="3"/>
    <x v="2"/>
  </r>
  <r>
    <x v="0"/>
    <x v="4"/>
    <x v="4"/>
    <x v="0"/>
    <x v="0"/>
    <x v="422"/>
    <x v="946"/>
    <n v="1944"/>
    <x v="0"/>
    <x v="3"/>
    <x v="2"/>
  </r>
  <r>
    <x v="0"/>
    <x v="0"/>
    <x v="0"/>
    <x v="0"/>
    <x v="0"/>
    <x v="305"/>
    <x v="947"/>
    <n v="9465.76"/>
    <x v="0"/>
    <x v="3"/>
    <x v="2"/>
  </r>
  <r>
    <x v="0"/>
    <x v="1"/>
    <x v="1"/>
    <x v="0"/>
    <x v="0"/>
    <x v="305"/>
    <x v="947"/>
    <n v="354.8"/>
    <x v="0"/>
    <x v="3"/>
    <x v="2"/>
  </r>
  <r>
    <x v="0"/>
    <x v="2"/>
    <x v="2"/>
    <x v="0"/>
    <x v="0"/>
    <x v="305"/>
    <x v="947"/>
    <n v="18858.13"/>
    <x v="0"/>
    <x v="3"/>
    <x v="2"/>
  </r>
  <r>
    <x v="0"/>
    <x v="3"/>
    <x v="3"/>
    <x v="0"/>
    <x v="0"/>
    <x v="305"/>
    <x v="947"/>
    <n v="0"/>
    <x v="0"/>
    <x v="3"/>
    <x v="2"/>
  </r>
  <r>
    <x v="0"/>
    <x v="4"/>
    <x v="4"/>
    <x v="0"/>
    <x v="0"/>
    <x v="305"/>
    <x v="947"/>
    <n v="28678.69"/>
    <x v="0"/>
    <x v="3"/>
    <x v="2"/>
  </r>
  <r>
    <x v="0"/>
    <x v="0"/>
    <x v="0"/>
    <x v="0"/>
    <x v="0"/>
    <x v="423"/>
    <x v="948"/>
    <n v="8631.94"/>
    <x v="0"/>
    <x v="3"/>
    <x v="1"/>
  </r>
  <r>
    <x v="0"/>
    <x v="1"/>
    <x v="1"/>
    <x v="0"/>
    <x v="0"/>
    <x v="423"/>
    <x v="948"/>
    <n v="0"/>
    <x v="0"/>
    <x v="3"/>
    <x v="1"/>
  </r>
  <r>
    <x v="0"/>
    <x v="2"/>
    <x v="2"/>
    <x v="0"/>
    <x v="0"/>
    <x v="423"/>
    <x v="948"/>
    <n v="969614.83"/>
    <x v="0"/>
    <x v="3"/>
    <x v="1"/>
  </r>
  <r>
    <x v="0"/>
    <x v="3"/>
    <x v="3"/>
    <x v="0"/>
    <x v="0"/>
    <x v="423"/>
    <x v="948"/>
    <n v="0"/>
    <x v="0"/>
    <x v="3"/>
    <x v="1"/>
  </r>
  <r>
    <x v="0"/>
    <x v="4"/>
    <x v="4"/>
    <x v="0"/>
    <x v="0"/>
    <x v="423"/>
    <x v="948"/>
    <n v="978246.77"/>
    <x v="0"/>
    <x v="3"/>
    <x v="1"/>
  </r>
  <r>
    <x v="0"/>
    <x v="0"/>
    <x v="0"/>
    <x v="0"/>
    <x v="0"/>
    <x v="424"/>
    <x v="949"/>
    <n v="0"/>
    <x v="0"/>
    <x v="3"/>
    <x v="2"/>
  </r>
  <r>
    <x v="0"/>
    <x v="1"/>
    <x v="1"/>
    <x v="0"/>
    <x v="0"/>
    <x v="424"/>
    <x v="949"/>
    <n v="0"/>
    <x v="0"/>
    <x v="3"/>
    <x v="2"/>
  </r>
  <r>
    <x v="0"/>
    <x v="2"/>
    <x v="2"/>
    <x v="0"/>
    <x v="0"/>
    <x v="424"/>
    <x v="949"/>
    <n v="62.64"/>
    <x v="0"/>
    <x v="3"/>
    <x v="2"/>
  </r>
  <r>
    <x v="0"/>
    <x v="3"/>
    <x v="3"/>
    <x v="0"/>
    <x v="0"/>
    <x v="424"/>
    <x v="949"/>
    <n v="0"/>
    <x v="0"/>
    <x v="3"/>
    <x v="2"/>
  </r>
  <r>
    <x v="0"/>
    <x v="4"/>
    <x v="4"/>
    <x v="0"/>
    <x v="0"/>
    <x v="424"/>
    <x v="949"/>
    <n v="62.64"/>
    <x v="0"/>
    <x v="3"/>
    <x v="2"/>
  </r>
  <r>
    <x v="0"/>
    <x v="0"/>
    <x v="0"/>
    <x v="0"/>
    <x v="0"/>
    <x v="425"/>
    <x v="950"/>
    <n v="0"/>
    <x v="0"/>
    <x v="3"/>
    <x v="2"/>
  </r>
  <r>
    <x v="0"/>
    <x v="1"/>
    <x v="1"/>
    <x v="0"/>
    <x v="0"/>
    <x v="425"/>
    <x v="950"/>
    <n v="0"/>
    <x v="0"/>
    <x v="3"/>
    <x v="2"/>
  </r>
  <r>
    <x v="0"/>
    <x v="2"/>
    <x v="2"/>
    <x v="0"/>
    <x v="0"/>
    <x v="425"/>
    <x v="950"/>
    <n v="0"/>
    <x v="0"/>
    <x v="3"/>
    <x v="2"/>
  </r>
  <r>
    <x v="0"/>
    <x v="3"/>
    <x v="3"/>
    <x v="0"/>
    <x v="0"/>
    <x v="425"/>
    <x v="950"/>
    <n v="0"/>
    <x v="0"/>
    <x v="3"/>
    <x v="2"/>
  </r>
  <r>
    <x v="0"/>
    <x v="4"/>
    <x v="4"/>
    <x v="0"/>
    <x v="0"/>
    <x v="425"/>
    <x v="950"/>
    <n v="0"/>
    <x v="0"/>
    <x v="3"/>
    <x v="2"/>
  </r>
  <r>
    <x v="0"/>
    <x v="0"/>
    <x v="0"/>
    <x v="0"/>
    <x v="0"/>
    <x v="426"/>
    <x v="951"/>
    <n v="0"/>
    <x v="0"/>
    <x v="3"/>
    <x v="3"/>
  </r>
  <r>
    <x v="0"/>
    <x v="1"/>
    <x v="1"/>
    <x v="0"/>
    <x v="0"/>
    <x v="426"/>
    <x v="951"/>
    <n v="0"/>
    <x v="0"/>
    <x v="3"/>
    <x v="3"/>
  </r>
  <r>
    <x v="0"/>
    <x v="2"/>
    <x v="2"/>
    <x v="0"/>
    <x v="0"/>
    <x v="426"/>
    <x v="951"/>
    <n v="0"/>
    <x v="0"/>
    <x v="3"/>
    <x v="3"/>
  </r>
  <r>
    <x v="0"/>
    <x v="3"/>
    <x v="3"/>
    <x v="0"/>
    <x v="0"/>
    <x v="426"/>
    <x v="951"/>
    <n v="0"/>
    <x v="0"/>
    <x v="3"/>
    <x v="3"/>
  </r>
  <r>
    <x v="0"/>
    <x v="4"/>
    <x v="4"/>
    <x v="0"/>
    <x v="0"/>
    <x v="426"/>
    <x v="951"/>
    <n v="0"/>
    <x v="0"/>
    <x v="3"/>
    <x v="3"/>
  </r>
  <r>
    <x v="0"/>
    <x v="0"/>
    <x v="0"/>
    <x v="0"/>
    <x v="0"/>
    <x v="427"/>
    <x v="952"/>
    <n v="0"/>
    <x v="0"/>
    <x v="3"/>
    <x v="3"/>
  </r>
  <r>
    <x v="0"/>
    <x v="1"/>
    <x v="1"/>
    <x v="0"/>
    <x v="0"/>
    <x v="427"/>
    <x v="952"/>
    <n v="0"/>
    <x v="0"/>
    <x v="3"/>
    <x v="3"/>
  </r>
  <r>
    <x v="0"/>
    <x v="2"/>
    <x v="2"/>
    <x v="0"/>
    <x v="0"/>
    <x v="427"/>
    <x v="952"/>
    <n v="0"/>
    <x v="0"/>
    <x v="3"/>
    <x v="3"/>
  </r>
  <r>
    <x v="0"/>
    <x v="3"/>
    <x v="3"/>
    <x v="0"/>
    <x v="0"/>
    <x v="427"/>
    <x v="952"/>
    <n v="0"/>
    <x v="0"/>
    <x v="3"/>
    <x v="3"/>
  </r>
  <r>
    <x v="0"/>
    <x v="4"/>
    <x v="4"/>
    <x v="0"/>
    <x v="0"/>
    <x v="427"/>
    <x v="952"/>
    <n v="0"/>
    <x v="0"/>
    <x v="3"/>
    <x v="3"/>
  </r>
  <r>
    <x v="0"/>
    <x v="0"/>
    <x v="0"/>
    <x v="0"/>
    <x v="0"/>
    <x v="190"/>
    <x v="953"/>
    <n v="0"/>
    <x v="0"/>
    <x v="3"/>
    <x v="3"/>
  </r>
  <r>
    <x v="0"/>
    <x v="1"/>
    <x v="1"/>
    <x v="0"/>
    <x v="0"/>
    <x v="190"/>
    <x v="953"/>
    <n v="0"/>
    <x v="0"/>
    <x v="3"/>
    <x v="3"/>
  </r>
  <r>
    <x v="0"/>
    <x v="2"/>
    <x v="2"/>
    <x v="0"/>
    <x v="0"/>
    <x v="190"/>
    <x v="953"/>
    <n v="0"/>
    <x v="0"/>
    <x v="3"/>
    <x v="3"/>
  </r>
  <r>
    <x v="0"/>
    <x v="3"/>
    <x v="3"/>
    <x v="0"/>
    <x v="0"/>
    <x v="190"/>
    <x v="953"/>
    <n v="0"/>
    <x v="0"/>
    <x v="3"/>
    <x v="3"/>
  </r>
  <r>
    <x v="0"/>
    <x v="4"/>
    <x v="4"/>
    <x v="0"/>
    <x v="0"/>
    <x v="190"/>
    <x v="953"/>
    <n v="0"/>
    <x v="0"/>
    <x v="3"/>
    <x v="3"/>
  </r>
  <r>
    <x v="0"/>
    <x v="0"/>
    <x v="0"/>
    <x v="0"/>
    <x v="0"/>
    <x v="428"/>
    <x v="954"/>
    <n v="0"/>
    <x v="0"/>
    <x v="3"/>
    <x v="2"/>
  </r>
  <r>
    <x v="0"/>
    <x v="1"/>
    <x v="1"/>
    <x v="0"/>
    <x v="0"/>
    <x v="428"/>
    <x v="954"/>
    <n v="0"/>
    <x v="0"/>
    <x v="3"/>
    <x v="2"/>
  </r>
  <r>
    <x v="0"/>
    <x v="2"/>
    <x v="2"/>
    <x v="0"/>
    <x v="0"/>
    <x v="428"/>
    <x v="954"/>
    <n v="587778.48"/>
    <x v="0"/>
    <x v="3"/>
    <x v="2"/>
  </r>
  <r>
    <x v="0"/>
    <x v="3"/>
    <x v="3"/>
    <x v="0"/>
    <x v="0"/>
    <x v="428"/>
    <x v="954"/>
    <n v="0"/>
    <x v="0"/>
    <x v="3"/>
    <x v="2"/>
  </r>
  <r>
    <x v="0"/>
    <x v="4"/>
    <x v="4"/>
    <x v="0"/>
    <x v="0"/>
    <x v="428"/>
    <x v="954"/>
    <n v="587778.48"/>
    <x v="0"/>
    <x v="3"/>
    <x v="2"/>
  </r>
  <r>
    <x v="0"/>
    <x v="0"/>
    <x v="0"/>
    <x v="0"/>
    <x v="0"/>
    <x v="429"/>
    <x v="955"/>
    <n v="0"/>
    <x v="0"/>
    <x v="3"/>
    <x v="2"/>
  </r>
  <r>
    <x v="0"/>
    <x v="1"/>
    <x v="1"/>
    <x v="0"/>
    <x v="0"/>
    <x v="429"/>
    <x v="955"/>
    <n v="0"/>
    <x v="0"/>
    <x v="3"/>
    <x v="2"/>
  </r>
  <r>
    <x v="0"/>
    <x v="2"/>
    <x v="2"/>
    <x v="0"/>
    <x v="0"/>
    <x v="429"/>
    <x v="955"/>
    <n v="0"/>
    <x v="0"/>
    <x v="3"/>
    <x v="2"/>
  </r>
  <r>
    <x v="0"/>
    <x v="3"/>
    <x v="3"/>
    <x v="0"/>
    <x v="0"/>
    <x v="429"/>
    <x v="955"/>
    <n v="0"/>
    <x v="0"/>
    <x v="3"/>
    <x v="2"/>
  </r>
  <r>
    <x v="0"/>
    <x v="4"/>
    <x v="4"/>
    <x v="0"/>
    <x v="0"/>
    <x v="429"/>
    <x v="955"/>
    <n v="0"/>
    <x v="0"/>
    <x v="3"/>
    <x v="2"/>
  </r>
  <r>
    <x v="0"/>
    <x v="0"/>
    <x v="0"/>
    <x v="0"/>
    <x v="0"/>
    <x v="430"/>
    <x v="956"/>
    <n v="8631.94"/>
    <x v="0"/>
    <x v="3"/>
    <x v="2"/>
  </r>
  <r>
    <x v="0"/>
    <x v="1"/>
    <x v="1"/>
    <x v="0"/>
    <x v="0"/>
    <x v="430"/>
    <x v="956"/>
    <n v="0"/>
    <x v="0"/>
    <x v="3"/>
    <x v="2"/>
  </r>
  <r>
    <x v="0"/>
    <x v="2"/>
    <x v="2"/>
    <x v="0"/>
    <x v="0"/>
    <x v="430"/>
    <x v="956"/>
    <n v="381773.71"/>
    <x v="0"/>
    <x v="3"/>
    <x v="2"/>
  </r>
  <r>
    <x v="0"/>
    <x v="3"/>
    <x v="3"/>
    <x v="0"/>
    <x v="0"/>
    <x v="430"/>
    <x v="956"/>
    <n v="0"/>
    <x v="0"/>
    <x v="3"/>
    <x v="2"/>
  </r>
  <r>
    <x v="0"/>
    <x v="4"/>
    <x v="4"/>
    <x v="0"/>
    <x v="0"/>
    <x v="430"/>
    <x v="956"/>
    <n v="390405.65"/>
    <x v="0"/>
    <x v="3"/>
    <x v="2"/>
  </r>
  <r>
    <x v="0"/>
    <x v="0"/>
    <x v="0"/>
    <x v="0"/>
    <x v="0"/>
    <x v="431"/>
    <x v="957"/>
    <n v="81834.63"/>
    <x v="0"/>
    <x v="3"/>
    <x v="1"/>
  </r>
  <r>
    <x v="0"/>
    <x v="1"/>
    <x v="1"/>
    <x v="0"/>
    <x v="0"/>
    <x v="431"/>
    <x v="957"/>
    <n v="63910.41"/>
    <x v="0"/>
    <x v="3"/>
    <x v="1"/>
  </r>
  <r>
    <x v="0"/>
    <x v="2"/>
    <x v="2"/>
    <x v="0"/>
    <x v="0"/>
    <x v="431"/>
    <x v="957"/>
    <n v="282326.13"/>
    <x v="0"/>
    <x v="3"/>
    <x v="1"/>
  </r>
  <r>
    <x v="0"/>
    <x v="3"/>
    <x v="3"/>
    <x v="0"/>
    <x v="0"/>
    <x v="431"/>
    <x v="957"/>
    <n v="77903.97"/>
    <x v="0"/>
    <x v="3"/>
    <x v="1"/>
  </r>
  <r>
    <x v="0"/>
    <x v="4"/>
    <x v="4"/>
    <x v="0"/>
    <x v="0"/>
    <x v="431"/>
    <x v="957"/>
    <n v="505975.14"/>
    <x v="0"/>
    <x v="3"/>
    <x v="1"/>
  </r>
  <r>
    <x v="0"/>
    <x v="0"/>
    <x v="0"/>
    <x v="0"/>
    <x v="0"/>
    <x v="26"/>
    <x v="958"/>
    <n v="0"/>
    <x v="0"/>
    <x v="3"/>
    <x v="2"/>
  </r>
  <r>
    <x v="0"/>
    <x v="1"/>
    <x v="1"/>
    <x v="0"/>
    <x v="0"/>
    <x v="26"/>
    <x v="958"/>
    <n v="0"/>
    <x v="0"/>
    <x v="3"/>
    <x v="2"/>
  </r>
  <r>
    <x v="0"/>
    <x v="2"/>
    <x v="2"/>
    <x v="0"/>
    <x v="0"/>
    <x v="26"/>
    <x v="958"/>
    <n v="0"/>
    <x v="0"/>
    <x v="3"/>
    <x v="2"/>
  </r>
  <r>
    <x v="0"/>
    <x v="3"/>
    <x v="3"/>
    <x v="0"/>
    <x v="0"/>
    <x v="26"/>
    <x v="958"/>
    <n v="0"/>
    <x v="0"/>
    <x v="3"/>
    <x v="2"/>
  </r>
  <r>
    <x v="0"/>
    <x v="4"/>
    <x v="4"/>
    <x v="0"/>
    <x v="0"/>
    <x v="26"/>
    <x v="958"/>
    <n v="0"/>
    <x v="0"/>
    <x v="3"/>
    <x v="2"/>
  </r>
  <r>
    <x v="0"/>
    <x v="0"/>
    <x v="0"/>
    <x v="0"/>
    <x v="0"/>
    <x v="72"/>
    <x v="959"/>
    <n v="54877.66"/>
    <x v="0"/>
    <x v="3"/>
    <x v="2"/>
  </r>
  <r>
    <x v="0"/>
    <x v="1"/>
    <x v="1"/>
    <x v="0"/>
    <x v="0"/>
    <x v="72"/>
    <x v="959"/>
    <n v="63910.41"/>
    <x v="0"/>
    <x v="3"/>
    <x v="2"/>
  </r>
  <r>
    <x v="0"/>
    <x v="2"/>
    <x v="2"/>
    <x v="0"/>
    <x v="0"/>
    <x v="72"/>
    <x v="959"/>
    <n v="230531.65"/>
    <x v="0"/>
    <x v="3"/>
    <x v="2"/>
  </r>
  <r>
    <x v="0"/>
    <x v="3"/>
    <x v="3"/>
    <x v="0"/>
    <x v="0"/>
    <x v="72"/>
    <x v="959"/>
    <n v="77903.97"/>
    <x v="0"/>
    <x v="3"/>
    <x v="2"/>
  </r>
  <r>
    <x v="0"/>
    <x v="4"/>
    <x v="4"/>
    <x v="0"/>
    <x v="0"/>
    <x v="72"/>
    <x v="959"/>
    <n v="427223.69"/>
    <x v="0"/>
    <x v="3"/>
    <x v="2"/>
  </r>
  <r>
    <x v="0"/>
    <x v="0"/>
    <x v="0"/>
    <x v="0"/>
    <x v="0"/>
    <x v="432"/>
    <x v="960"/>
    <n v="7050.44"/>
    <x v="0"/>
    <x v="3"/>
    <x v="3"/>
  </r>
  <r>
    <x v="0"/>
    <x v="1"/>
    <x v="1"/>
    <x v="0"/>
    <x v="0"/>
    <x v="432"/>
    <x v="960"/>
    <n v="7168.52"/>
    <x v="0"/>
    <x v="3"/>
    <x v="3"/>
  </r>
  <r>
    <x v="0"/>
    <x v="2"/>
    <x v="2"/>
    <x v="0"/>
    <x v="0"/>
    <x v="432"/>
    <x v="960"/>
    <n v="0"/>
    <x v="0"/>
    <x v="3"/>
    <x v="3"/>
  </r>
  <r>
    <x v="0"/>
    <x v="3"/>
    <x v="3"/>
    <x v="0"/>
    <x v="0"/>
    <x v="432"/>
    <x v="960"/>
    <n v="0"/>
    <x v="0"/>
    <x v="3"/>
    <x v="3"/>
  </r>
  <r>
    <x v="0"/>
    <x v="4"/>
    <x v="4"/>
    <x v="0"/>
    <x v="0"/>
    <x v="432"/>
    <x v="960"/>
    <n v="14218.96"/>
    <x v="0"/>
    <x v="3"/>
    <x v="3"/>
  </r>
  <r>
    <x v="0"/>
    <x v="0"/>
    <x v="0"/>
    <x v="0"/>
    <x v="0"/>
    <x v="433"/>
    <x v="961"/>
    <n v="0"/>
    <x v="0"/>
    <x v="3"/>
    <x v="3"/>
  </r>
  <r>
    <x v="0"/>
    <x v="1"/>
    <x v="1"/>
    <x v="0"/>
    <x v="0"/>
    <x v="433"/>
    <x v="961"/>
    <n v="0"/>
    <x v="0"/>
    <x v="3"/>
    <x v="3"/>
  </r>
  <r>
    <x v="0"/>
    <x v="2"/>
    <x v="2"/>
    <x v="0"/>
    <x v="0"/>
    <x v="433"/>
    <x v="961"/>
    <n v="128.27000000000001"/>
    <x v="0"/>
    <x v="3"/>
    <x v="3"/>
  </r>
  <r>
    <x v="0"/>
    <x v="3"/>
    <x v="3"/>
    <x v="0"/>
    <x v="0"/>
    <x v="433"/>
    <x v="961"/>
    <n v="0"/>
    <x v="0"/>
    <x v="3"/>
    <x v="3"/>
  </r>
  <r>
    <x v="0"/>
    <x v="4"/>
    <x v="4"/>
    <x v="0"/>
    <x v="0"/>
    <x v="433"/>
    <x v="961"/>
    <n v="128.27000000000001"/>
    <x v="0"/>
    <x v="3"/>
    <x v="3"/>
  </r>
  <r>
    <x v="0"/>
    <x v="0"/>
    <x v="0"/>
    <x v="0"/>
    <x v="0"/>
    <x v="434"/>
    <x v="962"/>
    <n v="0"/>
    <x v="0"/>
    <x v="3"/>
    <x v="3"/>
  </r>
  <r>
    <x v="0"/>
    <x v="1"/>
    <x v="1"/>
    <x v="0"/>
    <x v="0"/>
    <x v="434"/>
    <x v="962"/>
    <n v="20292.78"/>
    <x v="0"/>
    <x v="3"/>
    <x v="3"/>
  </r>
  <r>
    <x v="0"/>
    <x v="2"/>
    <x v="2"/>
    <x v="0"/>
    <x v="0"/>
    <x v="434"/>
    <x v="962"/>
    <n v="127131.68"/>
    <x v="0"/>
    <x v="3"/>
    <x v="3"/>
  </r>
  <r>
    <x v="0"/>
    <x v="3"/>
    <x v="3"/>
    <x v="0"/>
    <x v="0"/>
    <x v="434"/>
    <x v="962"/>
    <n v="132.11000000000001"/>
    <x v="0"/>
    <x v="3"/>
    <x v="3"/>
  </r>
  <r>
    <x v="0"/>
    <x v="4"/>
    <x v="4"/>
    <x v="0"/>
    <x v="0"/>
    <x v="434"/>
    <x v="962"/>
    <n v="147556.57"/>
    <x v="0"/>
    <x v="3"/>
    <x v="3"/>
  </r>
  <r>
    <x v="0"/>
    <x v="0"/>
    <x v="0"/>
    <x v="0"/>
    <x v="0"/>
    <x v="435"/>
    <x v="963"/>
    <n v="0"/>
    <x v="0"/>
    <x v="3"/>
    <x v="3"/>
  </r>
  <r>
    <x v="0"/>
    <x v="1"/>
    <x v="1"/>
    <x v="0"/>
    <x v="0"/>
    <x v="435"/>
    <x v="963"/>
    <n v="0"/>
    <x v="0"/>
    <x v="3"/>
    <x v="3"/>
  </r>
  <r>
    <x v="0"/>
    <x v="2"/>
    <x v="2"/>
    <x v="0"/>
    <x v="0"/>
    <x v="435"/>
    <x v="963"/>
    <n v="3762.28"/>
    <x v="0"/>
    <x v="3"/>
    <x v="3"/>
  </r>
  <r>
    <x v="0"/>
    <x v="3"/>
    <x v="3"/>
    <x v="0"/>
    <x v="0"/>
    <x v="435"/>
    <x v="963"/>
    <n v="0"/>
    <x v="0"/>
    <x v="3"/>
    <x v="3"/>
  </r>
  <r>
    <x v="0"/>
    <x v="4"/>
    <x v="4"/>
    <x v="0"/>
    <x v="0"/>
    <x v="435"/>
    <x v="963"/>
    <n v="3762.28"/>
    <x v="0"/>
    <x v="3"/>
    <x v="3"/>
  </r>
  <r>
    <x v="0"/>
    <x v="0"/>
    <x v="0"/>
    <x v="0"/>
    <x v="0"/>
    <x v="436"/>
    <x v="964"/>
    <n v="47827.22"/>
    <x v="0"/>
    <x v="3"/>
    <x v="3"/>
  </r>
  <r>
    <x v="0"/>
    <x v="1"/>
    <x v="1"/>
    <x v="0"/>
    <x v="0"/>
    <x v="436"/>
    <x v="964"/>
    <n v="11098.81"/>
    <x v="0"/>
    <x v="3"/>
    <x v="3"/>
  </r>
  <r>
    <x v="0"/>
    <x v="2"/>
    <x v="2"/>
    <x v="0"/>
    <x v="0"/>
    <x v="436"/>
    <x v="964"/>
    <n v="89893.21"/>
    <x v="0"/>
    <x v="3"/>
    <x v="3"/>
  </r>
  <r>
    <x v="0"/>
    <x v="3"/>
    <x v="3"/>
    <x v="0"/>
    <x v="0"/>
    <x v="436"/>
    <x v="964"/>
    <n v="22951.54"/>
    <x v="0"/>
    <x v="3"/>
    <x v="3"/>
  </r>
  <r>
    <x v="0"/>
    <x v="4"/>
    <x v="4"/>
    <x v="0"/>
    <x v="0"/>
    <x v="436"/>
    <x v="964"/>
    <n v="171770.78"/>
    <x v="0"/>
    <x v="3"/>
    <x v="3"/>
  </r>
  <r>
    <x v="0"/>
    <x v="0"/>
    <x v="0"/>
    <x v="0"/>
    <x v="0"/>
    <x v="437"/>
    <x v="965"/>
    <n v="0"/>
    <x v="0"/>
    <x v="3"/>
    <x v="3"/>
  </r>
  <r>
    <x v="0"/>
    <x v="1"/>
    <x v="1"/>
    <x v="0"/>
    <x v="0"/>
    <x v="437"/>
    <x v="965"/>
    <n v="0"/>
    <x v="0"/>
    <x v="3"/>
    <x v="3"/>
  </r>
  <r>
    <x v="0"/>
    <x v="2"/>
    <x v="2"/>
    <x v="0"/>
    <x v="0"/>
    <x v="437"/>
    <x v="965"/>
    <n v="1653.8"/>
    <x v="0"/>
    <x v="3"/>
    <x v="3"/>
  </r>
  <r>
    <x v="0"/>
    <x v="3"/>
    <x v="3"/>
    <x v="0"/>
    <x v="0"/>
    <x v="437"/>
    <x v="965"/>
    <n v="0"/>
    <x v="0"/>
    <x v="3"/>
    <x v="3"/>
  </r>
  <r>
    <x v="0"/>
    <x v="4"/>
    <x v="4"/>
    <x v="0"/>
    <x v="0"/>
    <x v="437"/>
    <x v="965"/>
    <n v="1653.8"/>
    <x v="0"/>
    <x v="3"/>
    <x v="3"/>
  </r>
  <r>
    <x v="0"/>
    <x v="0"/>
    <x v="0"/>
    <x v="0"/>
    <x v="0"/>
    <x v="438"/>
    <x v="966"/>
    <n v="0"/>
    <x v="0"/>
    <x v="3"/>
    <x v="3"/>
  </r>
  <r>
    <x v="0"/>
    <x v="1"/>
    <x v="1"/>
    <x v="0"/>
    <x v="0"/>
    <x v="438"/>
    <x v="966"/>
    <n v="25350.3"/>
    <x v="0"/>
    <x v="3"/>
    <x v="3"/>
  </r>
  <r>
    <x v="0"/>
    <x v="2"/>
    <x v="2"/>
    <x v="0"/>
    <x v="0"/>
    <x v="438"/>
    <x v="966"/>
    <n v="7962.41"/>
    <x v="0"/>
    <x v="3"/>
    <x v="3"/>
  </r>
  <r>
    <x v="0"/>
    <x v="3"/>
    <x v="3"/>
    <x v="0"/>
    <x v="0"/>
    <x v="438"/>
    <x v="966"/>
    <n v="54820.32"/>
    <x v="0"/>
    <x v="3"/>
    <x v="3"/>
  </r>
  <r>
    <x v="0"/>
    <x v="4"/>
    <x v="4"/>
    <x v="0"/>
    <x v="0"/>
    <x v="438"/>
    <x v="966"/>
    <n v="88133.03"/>
    <x v="0"/>
    <x v="3"/>
    <x v="3"/>
  </r>
  <r>
    <x v="0"/>
    <x v="0"/>
    <x v="0"/>
    <x v="0"/>
    <x v="0"/>
    <x v="439"/>
    <x v="967"/>
    <n v="0"/>
    <x v="0"/>
    <x v="3"/>
    <x v="3"/>
  </r>
  <r>
    <x v="0"/>
    <x v="1"/>
    <x v="1"/>
    <x v="0"/>
    <x v="0"/>
    <x v="439"/>
    <x v="967"/>
    <n v="0"/>
    <x v="0"/>
    <x v="3"/>
    <x v="3"/>
  </r>
  <r>
    <x v="0"/>
    <x v="2"/>
    <x v="2"/>
    <x v="0"/>
    <x v="0"/>
    <x v="439"/>
    <x v="967"/>
    <n v="0"/>
    <x v="0"/>
    <x v="3"/>
    <x v="3"/>
  </r>
  <r>
    <x v="0"/>
    <x v="3"/>
    <x v="3"/>
    <x v="0"/>
    <x v="0"/>
    <x v="439"/>
    <x v="967"/>
    <n v="0"/>
    <x v="0"/>
    <x v="3"/>
    <x v="3"/>
  </r>
  <r>
    <x v="0"/>
    <x v="4"/>
    <x v="4"/>
    <x v="0"/>
    <x v="0"/>
    <x v="439"/>
    <x v="967"/>
    <n v="0"/>
    <x v="0"/>
    <x v="3"/>
    <x v="3"/>
  </r>
  <r>
    <x v="0"/>
    <x v="0"/>
    <x v="0"/>
    <x v="0"/>
    <x v="0"/>
    <x v="169"/>
    <x v="968"/>
    <n v="1036.49"/>
    <x v="0"/>
    <x v="3"/>
    <x v="2"/>
  </r>
  <r>
    <x v="0"/>
    <x v="1"/>
    <x v="1"/>
    <x v="0"/>
    <x v="0"/>
    <x v="169"/>
    <x v="968"/>
    <n v="0"/>
    <x v="0"/>
    <x v="3"/>
    <x v="2"/>
  </r>
  <r>
    <x v="0"/>
    <x v="2"/>
    <x v="2"/>
    <x v="0"/>
    <x v="0"/>
    <x v="169"/>
    <x v="968"/>
    <n v="0"/>
    <x v="0"/>
    <x v="3"/>
    <x v="2"/>
  </r>
  <r>
    <x v="0"/>
    <x v="3"/>
    <x v="3"/>
    <x v="0"/>
    <x v="0"/>
    <x v="169"/>
    <x v="968"/>
    <n v="0"/>
    <x v="0"/>
    <x v="3"/>
    <x v="2"/>
  </r>
  <r>
    <x v="0"/>
    <x v="4"/>
    <x v="4"/>
    <x v="0"/>
    <x v="0"/>
    <x v="169"/>
    <x v="968"/>
    <n v="1036.49"/>
    <x v="0"/>
    <x v="3"/>
    <x v="2"/>
  </r>
  <r>
    <x v="0"/>
    <x v="0"/>
    <x v="0"/>
    <x v="0"/>
    <x v="0"/>
    <x v="440"/>
    <x v="969"/>
    <n v="25007.49"/>
    <x v="0"/>
    <x v="3"/>
    <x v="2"/>
  </r>
  <r>
    <x v="0"/>
    <x v="1"/>
    <x v="1"/>
    <x v="0"/>
    <x v="0"/>
    <x v="440"/>
    <x v="969"/>
    <n v="0"/>
    <x v="0"/>
    <x v="3"/>
    <x v="2"/>
  </r>
  <r>
    <x v="0"/>
    <x v="2"/>
    <x v="2"/>
    <x v="0"/>
    <x v="0"/>
    <x v="440"/>
    <x v="969"/>
    <n v="50317.29"/>
    <x v="0"/>
    <x v="3"/>
    <x v="2"/>
  </r>
  <r>
    <x v="0"/>
    <x v="3"/>
    <x v="3"/>
    <x v="0"/>
    <x v="0"/>
    <x v="440"/>
    <x v="969"/>
    <n v="0"/>
    <x v="0"/>
    <x v="3"/>
    <x v="2"/>
  </r>
  <r>
    <x v="0"/>
    <x v="4"/>
    <x v="4"/>
    <x v="0"/>
    <x v="0"/>
    <x v="440"/>
    <x v="969"/>
    <n v="75324.78"/>
    <x v="0"/>
    <x v="3"/>
    <x v="2"/>
  </r>
  <r>
    <x v="0"/>
    <x v="0"/>
    <x v="0"/>
    <x v="0"/>
    <x v="0"/>
    <x v="264"/>
    <x v="970"/>
    <n v="912.99"/>
    <x v="0"/>
    <x v="3"/>
    <x v="2"/>
  </r>
  <r>
    <x v="0"/>
    <x v="1"/>
    <x v="1"/>
    <x v="0"/>
    <x v="0"/>
    <x v="264"/>
    <x v="970"/>
    <n v="0"/>
    <x v="0"/>
    <x v="3"/>
    <x v="2"/>
  </r>
  <r>
    <x v="0"/>
    <x v="2"/>
    <x v="2"/>
    <x v="0"/>
    <x v="0"/>
    <x v="264"/>
    <x v="970"/>
    <n v="0"/>
    <x v="0"/>
    <x v="3"/>
    <x v="2"/>
  </r>
  <r>
    <x v="0"/>
    <x v="3"/>
    <x v="3"/>
    <x v="0"/>
    <x v="0"/>
    <x v="264"/>
    <x v="970"/>
    <n v="0"/>
    <x v="0"/>
    <x v="3"/>
    <x v="2"/>
  </r>
  <r>
    <x v="0"/>
    <x v="4"/>
    <x v="4"/>
    <x v="0"/>
    <x v="0"/>
    <x v="264"/>
    <x v="970"/>
    <n v="912.99"/>
    <x v="0"/>
    <x v="3"/>
    <x v="2"/>
  </r>
  <r>
    <x v="0"/>
    <x v="0"/>
    <x v="0"/>
    <x v="0"/>
    <x v="0"/>
    <x v="189"/>
    <x v="971"/>
    <n v="0"/>
    <x v="0"/>
    <x v="3"/>
    <x v="2"/>
  </r>
  <r>
    <x v="0"/>
    <x v="1"/>
    <x v="1"/>
    <x v="0"/>
    <x v="0"/>
    <x v="189"/>
    <x v="971"/>
    <n v="0"/>
    <x v="0"/>
    <x v="3"/>
    <x v="2"/>
  </r>
  <r>
    <x v="0"/>
    <x v="2"/>
    <x v="2"/>
    <x v="0"/>
    <x v="0"/>
    <x v="189"/>
    <x v="971"/>
    <n v="1477.19"/>
    <x v="0"/>
    <x v="3"/>
    <x v="2"/>
  </r>
  <r>
    <x v="0"/>
    <x v="3"/>
    <x v="3"/>
    <x v="0"/>
    <x v="0"/>
    <x v="189"/>
    <x v="971"/>
    <n v="0"/>
    <x v="0"/>
    <x v="3"/>
    <x v="2"/>
  </r>
  <r>
    <x v="0"/>
    <x v="4"/>
    <x v="4"/>
    <x v="0"/>
    <x v="0"/>
    <x v="189"/>
    <x v="971"/>
    <n v="1477.19"/>
    <x v="0"/>
    <x v="3"/>
    <x v="2"/>
  </r>
  <r>
    <x v="0"/>
    <x v="0"/>
    <x v="0"/>
    <x v="0"/>
    <x v="0"/>
    <x v="441"/>
    <x v="972"/>
    <n v="0"/>
    <x v="0"/>
    <x v="3"/>
    <x v="2"/>
  </r>
  <r>
    <x v="0"/>
    <x v="1"/>
    <x v="1"/>
    <x v="0"/>
    <x v="0"/>
    <x v="441"/>
    <x v="972"/>
    <n v="0"/>
    <x v="0"/>
    <x v="3"/>
    <x v="2"/>
  </r>
  <r>
    <x v="0"/>
    <x v="2"/>
    <x v="2"/>
    <x v="0"/>
    <x v="0"/>
    <x v="441"/>
    <x v="972"/>
    <n v="0"/>
    <x v="0"/>
    <x v="3"/>
    <x v="2"/>
  </r>
  <r>
    <x v="0"/>
    <x v="3"/>
    <x v="3"/>
    <x v="0"/>
    <x v="0"/>
    <x v="441"/>
    <x v="972"/>
    <n v="0"/>
    <x v="0"/>
    <x v="3"/>
    <x v="2"/>
  </r>
  <r>
    <x v="0"/>
    <x v="4"/>
    <x v="4"/>
    <x v="0"/>
    <x v="0"/>
    <x v="441"/>
    <x v="972"/>
    <n v="0"/>
    <x v="0"/>
    <x v="3"/>
    <x v="2"/>
  </r>
  <r>
    <x v="0"/>
    <x v="0"/>
    <x v="0"/>
    <x v="0"/>
    <x v="0"/>
    <x v="442"/>
    <x v="973"/>
    <n v="528837.1"/>
    <x v="0"/>
    <x v="3"/>
    <x v="1"/>
  </r>
  <r>
    <x v="0"/>
    <x v="1"/>
    <x v="1"/>
    <x v="0"/>
    <x v="0"/>
    <x v="442"/>
    <x v="973"/>
    <n v="182287.5"/>
    <x v="0"/>
    <x v="3"/>
    <x v="1"/>
  </r>
  <r>
    <x v="0"/>
    <x v="2"/>
    <x v="2"/>
    <x v="0"/>
    <x v="0"/>
    <x v="442"/>
    <x v="973"/>
    <n v="2806367.87"/>
    <x v="0"/>
    <x v="3"/>
    <x v="1"/>
  </r>
  <r>
    <x v="0"/>
    <x v="3"/>
    <x v="3"/>
    <x v="0"/>
    <x v="0"/>
    <x v="442"/>
    <x v="973"/>
    <n v="106222.39999999999"/>
    <x v="0"/>
    <x v="3"/>
    <x v="1"/>
  </r>
  <r>
    <x v="0"/>
    <x v="4"/>
    <x v="4"/>
    <x v="0"/>
    <x v="0"/>
    <x v="442"/>
    <x v="973"/>
    <n v="3623714.87"/>
    <x v="0"/>
    <x v="3"/>
    <x v="1"/>
  </r>
  <r>
    <x v="0"/>
    <x v="0"/>
    <x v="0"/>
    <x v="0"/>
    <x v="0"/>
    <x v="443"/>
    <x v="974"/>
    <n v="255216.86"/>
    <x v="0"/>
    <x v="3"/>
    <x v="2"/>
  </r>
  <r>
    <x v="0"/>
    <x v="1"/>
    <x v="1"/>
    <x v="0"/>
    <x v="0"/>
    <x v="443"/>
    <x v="974"/>
    <n v="79621.8"/>
    <x v="0"/>
    <x v="3"/>
    <x v="2"/>
  </r>
  <r>
    <x v="0"/>
    <x v="2"/>
    <x v="2"/>
    <x v="0"/>
    <x v="0"/>
    <x v="443"/>
    <x v="974"/>
    <n v="1032798.42"/>
    <x v="0"/>
    <x v="3"/>
    <x v="2"/>
  </r>
  <r>
    <x v="0"/>
    <x v="3"/>
    <x v="3"/>
    <x v="0"/>
    <x v="0"/>
    <x v="443"/>
    <x v="974"/>
    <n v="46819.18"/>
    <x v="0"/>
    <x v="3"/>
    <x v="2"/>
  </r>
  <r>
    <x v="0"/>
    <x v="4"/>
    <x v="4"/>
    <x v="0"/>
    <x v="0"/>
    <x v="443"/>
    <x v="974"/>
    <n v="1414456.26"/>
    <x v="0"/>
    <x v="3"/>
    <x v="2"/>
  </r>
  <r>
    <x v="0"/>
    <x v="0"/>
    <x v="0"/>
    <x v="0"/>
    <x v="0"/>
    <x v="444"/>
    <x v="975"/>
    <n v="112794.7"/>
    <x v="0"/>
    <x v="3"/>
    <x v="3"/>
  </r>
  <r>
    <x v="0"/>
    <x v="1"/>
    <x v="1"/>
    <x v="0"/>
    <x v="0"/>
    <x v="444"/>
    <x v="975"/>
    <n v="52465.45"/>
    <x v="0"/>
    <x v="3"/>
    <x v="3"/>
  </r>
  <r>
    <x v="0"/>
    <x v="2"/>
    <x v="2"/>
    <x v="0"/>
    <x v="0"/>
    <x v="444"/>
    <x v="975"/>
    <n v="601272.99"/>
    <x v="0"/>
    <x v="3"/>
    <x v="3"/>
  </r>
  <r>
    <x v="0"/>
    <x v="3"/>
    <x v="3"/>
    <x v="0"/>
    <x v="0"/>
    <x v="444"/>
    <x v="975"/>
    <n v="30399"/>
    <x v="0"/>
    <x v="3"/>
    <x v="3"/>
  </r>
  <r>
    <x v="0"/>
    <x v="4"/>
    <x v="4"/>
    <x v="0"/>
    <x v="0"/>
    <x v="444"/>
    <x v="975"/>
    <n v="796932.14"/>
    <x v="0"/>
    <x v="3"/>
    <x v="3"/>
  </r>
  <r>
    <x v="0"/>
    <x v="0"/>
    <x v="0"/>
    <x v="0"/>
    <x v="0"/>
    <x v="344"/>
    <x v="976"/>
    <n v="20023.04"/>
    <x v="0"/>
    <x v="3"/>
    <x v="3"/>
  </r>
  <r>
    <x v="0"/>
    <x v="1"/>
    <x v="1"/>
    <x v="0"/>
    <x v="0"/>
    <x v="344"/>
    <x v="976"/>
    <n v="9144.36"/>
    <x v="0"/>
    <x v="3"/>
    <x v="3"/>
  </r>
  <r>
    <x v="0"/>
    <x v="2"/>
    <x v="2"/>
    <x v="0"/>
    <x v="0"/>
    <x v="344"/>
    <x v="976"/>
    <n v="123152.62"/>
    <x v="0"/>
    <x v="3"/>
    <x v="3"/>
  </r>
  <r>
    <x v="0"/>
    <x v="3"/>
    <x v="3"/>
    <x v="0"/>
    <x v="0"/>
    <x v="344"/>
    <x v="976"/>
    <n v="3602.53"/>
    <x v="0"/>
    <x v="3"/>
    <x v="3"/>
  </r>
  <r>
    <x v="0"/>
    <x v="4"/>
    <x v="4"/>
    <x v="0"/>
    <x v="0"/>
    <x v="344"/>
    <x v="976"/>
    <n v="155922.54999999999"/>
    <x v="0"/>
    <x v="3"/>
    <x v="3"/>
  </r>
  <r>
    <x v="0"/>
    <x v="0"/>
    <x v="0"/>
    <x v="0"/>
    <x v="0"/>
    <x v="445"/>
    <x v="977"/>
    <n v="0"/>
    <x v="0"/>
    <x v="3"/>
    <x v="3"/>
  </r>
  <r>
    <x v="0"/>
    <x v="1"/>
    <x v="1"/>
    <x v="0"/>
    <x v="0"/>
    <x v="445"/>
    <x v="977"/>
    <n v="0"/>
    <x v="0"/>
    <x v="3"/>
    <x v="3"/>
  </r>
  <r>
    <x v="0"/>
    <x v="2"/>
    <x v="2"/>
    <x v="0"/>
    <x v="0"/>
    <x v="445"/>
    <x v="977"/>
    <n v="0"/>
    <x v="0"/>
    <x v="3"/>
    <x v="3"/>
  </r>
  <r>
    <x v="0"/>
    <x v="3"/>
    <x v="3"/>
    <x v="0"/>
    <x v="0"/>
    <x v="445"/>
    <x v="977"/>
    <n v="0"/>
    <x v="0"/>
    <x v="3"/>
    <x v="3"/>
  </r>
  <r>
    <x v="0"/>
    <x v="4"/>
    <x v="4"/>
    <x v="0"/>
    <x v="0"/>
    <x v="445"/>
    <x v="977"/>
    <n v="0"/>
    <x v="0"/>
    <x v="3"/>
    <x v="3"/>
  </r>
  <r>
    <x v="0"/>
    <x v="0"/>
    <x v="0"/>
    <x v="0"/>
    <x v="0"/>
    <x v="345"/>
    <x v="978"/>
    <n v="33309.620000000003"/>
    <x v="0"/>
    <x v="3"/>
    <x v="3"/>
  </r>
  <r>
    <x v="0"/>
    <x v="1"/>
    <x v="1"/>
    <x v="0"/>
    <x v="0"/>
    <x v="345"/>
    <x v="978"/>
    <n v="11444.92"/>
    <x v="0"/>
    <x v="3"/>
    <x v="3"/>
  </r>
  <r>
    <x v="0"/>
    <x v="2"/>
    <x v="2"/>
    <x v="0"/>
    <x v="0"/>
    <x v="345"/>
    <x v="978"/>
    <n v="127952.33"/>
    <x v="0"/>
    <x v="3"/>
    <x v="3"/>
  </r>
  <r>
    <x v="0"/>
    <x v="3"/>
    <x v="3"/>
    <x v="0"/>
    <x v="0"/>
    <x v="345"/>
    <x v="978"/>
    <n v="3912.22"/>
    <x v="0"/>
    <x v="3"/>
    <x v="3"/>
  </r>
  <r>
    <x v="0"/>
    <x v="4"/>
    <x v="4"/>
    <x v="0"/>
    <x v="0"/>
    <x v="345"/>
    <x v="978"/>
    <n v="176619.09"/>
    <x v="0"/>
    <x v="3"/>
    <x v="3"/>
  </r>
  <r>
    <x v="0"/>
    <x v="0"/>
    <x v="0"/>
    <x v="0"/>
    <x v="0"/>
    <x v="446"/>
    <x v="979"/>
    <n v="2568.19"/>
    <x v="0"/>
    <x v="3"/>
    <x v="3"/>
  </r>
  <r>
    <x v="0"/>
    <x v="1"/>
    <x v="1"/>
    <x v="0"/>
    <x v="0"/>
    <x v="446"/>
    <x v="979"/>
    <n v="0"/>
    <x v="0"/>
    <x v="3"/>
    <x v="3"/>
  </r>
  <r>
    <x v="0"/>
    <x v="2"/>
    <x v="2"/>
    <x v="0"/>
    <x v="0"/>
    <x v="446"/>
    <x v="979"/>
    <n v="0"/>
    <x v="0"/>
    <x v="3"/>
    <x v="3"/>
  </r>
  <r>
    <x v="0"/>
    <x v="3"/>
    <x v="3"/>
    <x v="0"/>
    <x v="0"/>
    <x v="446"/>
    <x v="979"/>
    <n v="0"/>
    <x v="0"/>
    <x v="3"/>
    <x v="3"/>
  </r>
  <r>
    <x v="0"/>
    <x v="4"/>
    <x v="4"/>
    <x v="0"/>
    <x v="0"/>
    <x v="446"/>
    <x v="979"/>
    <n v="2568.19"/>
    <x v="0"/>
    <x v="3"/>
    <x v="3"/>
  </r>
  <r>
    <x v="0"/>
    <x v="0"/>
    <x v="0"/>
    <x v="0"/>
    <x v="0"/>
    <x v="447"/>
    <x v="980"/>
    <n v="0"/>
    <x v="0"/>
    <x v="3"/>
    <x v="3"/>
  </r>
  <r>
    <x v="0"/>
    <x v="1"/>
    <x v="1"/>
    <x v="0"/>
    <x v="0"/>
    <x v="447"/>
    <x v="980"/>
    <n v="2180.0100000000002"/>
    <x v="0"/>
    <x v="3"/>
    <x v="3"/>
  </r>
  <r>
    <x v="0"/>
    <x v="2"/>
    <x v="2"/>
    <x v="0"/>
    <x v="0"/>
    <x v="447"/>
    <x v="980"/>
    <n v="47606.16"/>
    <x v="0"/>
    <x v="3"/>
    <x v="3"/>
  </r>
  <r>
    <x v="0"/>
    <x v="3"/>
    <x v="3"/>
    <x v="0"/>
    <x v="0"/>
    <x v="447"/>
    <x v="980"/>
    <n v="0"/>
    <x v="0"/>
    <x v="3"/>
    <x v="3"/>
  </r>
  <r>
    <x v="0"/>
    <x v="4"/>
    <x v="4"/>
    <x v="0"/>
    <x v="0"/>
    <x v="447"/>
    <x v="980"/>
    <n v="49786.17"/>
    <x v="0"/>
    <x v="3"/>
    <x v="3"/>
  </r>
  <r>
    <x v="0"/>
    <x v="0"/>
    <x v="0"/>
    <x v="0"/>
    <x v="0"/>
    <x v="346"/>
    <x v="981"/>
    <n v="12378.39"/>
    <x v="0"/>
    <x v="3"/>
    <x v="3"/>
  </r>
  <r>
    <x v="0"/>
    <x v="1"/>
    <x v="1"/>
    <x v="0"/>
    <x v="0"/>
    <x v="346"/>
    <x v="981"/>
    <n v="3483.38"/>
    <x v="0"/>
    <x v="3"/>
    <x v="3"/>
  </r>
  <r>
    <x v="0"/>
    <x v="2"/>
    <x v="2"/>
    <x v="0"/>
    <x v="0"/>
    <x v="346"/>
    <x v="981"/>
    <n v="0"/>
    <x v="0"/>
    <x v="3"/>
    <x v="3"/>
  </r>
  <r>
    <x v="0"/>
    <x v="3"/>
    <x v="3"/>
    <x v="0"/>
    <x v="0"/>
    <x v="346"/>
    <x v="981"/>
    <n v="2541.1999999999998"/>
    <x v="0"/>
    <x v="3"/>
    <x v="3"/>
  </r>
  <r>
    <x v="0"/>
    <x v="4"/>
    <x v="4"/>
    <x v="0"/>
    <x v="0"/>
    <x v="346"/>
    <x v="981"/>
    <n v="18402.97"/>
    <x v="0"/>
    <x v="3"/>
    <x v="3"/>
  </r>
  <r>
    <x v="0"/>
    <x v="0"/>
    <x v="0"/>
    <x v="0"/>
    <x v="0"/>
    <x v="68"/>
    <x v="982"/>
    <n v="74142.92"/>
    <x v="0"/>
    <x v="3"/>
    <x v="3"/>
  </r>
  <r>
    <x v="0"/>
    <x v="1"/>
    <x v="1"/>
    <x v="0"/>
    <x v="0"/>
    <x v="68"/>
    <x v="982"/>
    <n v="903.68"/>
    <x v="0"/>
    <x v="3"/>
    <x v="3"/>
  </r>
  <r>
    <x v="0"/>
    <x v="2"/>
    <x v="2"/>
    <x v="0"/>
    <x v="0"/>
    <x v="68"/>
    <x v="982"/>
    <n v="132814.32"/>
    <x v="0"/>
    <x v="3"/>
    <x v="3"/>
  </r>
  <r>
    <x v="0"/>
    <x v="3"/>
    <x v="3"/>
    <x v="0"/>
    <x v="0"/>
    <x v="68"/>
    <x v="982"/>
    <n v="6364.23"/>
    <x v="0"/>
    <x v="3"/>
    <x v="3"/>
  </r>
  <r>
    <x v="0"/>
    <x v="4"/>
    <x v="4"/>
    <x v="0"/>
    <x v="0"/>
    <x v="68"/>
    <x v="982"/>
    <n v="214225.15"/>
    <x v="0"/>
    <x v="3"/>
    <x v="3"/>
  </r>
  <r>
    <x v="0"/>
    <x v="0"/>
    <x v="0"/>
    <x v="0"/>
    <x v="0"/>
    <x v="448"/>
    <x v="983"/>
    <n v="24682.84"/>
    <x v="0"/>
    <x v="3"/>
    <x v="2"/>
  </r>
  <r>
    <x v="0"/>
    <x v="1"/>
    <x v="1"/>
    <x v="0"/>
    <x v="0"/>
    <x v="448"/>
    <x v="983"/>
    <n v="11876.96"/>
    <x v="0"/>
    <x v="3"/>
    <x v="2"/>
  </r>
  <r>
    <x v="0"/>
    <x v="2"/>
    <x v="2"/>
    <x v="0"/>
    <x v="0"/>
    <x v="448"/>
    <x v="983"/>
    <n v="270994.37"/>
    <x v="0"/>
    <x v="3"/>
    <x v="2"/>
  </r>
  <r>
    <x v="0"/>
    <x v="3"/>
    <x v="3"/>
    <x v="0"/>
    <x v="0"/>
    <x v="448"/>
    <x v="983"/>
    <n v="14956.45"/>
    <x v="0"/>
    <x v="3"/>
    <x v="2"/>
  </r>
  <r>
    <x v="0"/>
    <x v="4"/>
    <x v="4"/>
    <x v="0"/>
    <x v="0"/>
    <x v="448"/>
    <x v="983"/>
    <n v="322510.62"/>
    <x v="0"/>
    <x v="3"/>
    <x v="2"/>
  </r>
  <r>
    <x v="0"/>
    <x v="0"/>
    <x v="0"/>
    <x v="0"/>
    <x v="0"/>
    <x v="449"/>
    <x v="984"/>
    <n v="9708.16"/>
    <x v="0"/>
    <x v="3"/>
    <x v="3"/>
  </r>
  <r>
    <x v="0"/>
    <x v="1"/>
    <x v="1"/>
    <x v="0"/>
    <x v="0"/>
    <x v="449"/>
    <x v="984"/>
    <n v="5790"/>
    <x v="0"/>
    <x v="3"/>
    <x v="3"/>
  </r>
  <r>
    <x v="0"/>
    <x v="2"/>
    <x v="2"/>
    <x v="0"/>
    <x v="0"/>
    <x v="449"/>
    <x v="984"/>
    <n v="1576"/>
    <x v="0"/>
    <x v="3"/>
    <x v="3"/>
  </r>
  <r>
    <x v="0"/>
    <x v="3"/>
    <x v="3"/>
    <x v="0"/>
    <x v="0"/>
    <x v="449"/>
    <x v="984"/>
    <n v="6238.26"/>
    <x v="0"/>
    <x v="3"/>
    <x v="3"/>
  </r>
  <r>
    <x v="0"/>
    <x v="4"/>
    <x v="4"/>
    <x v="0"/>
    <x v="0"/>
    <x v="449"/>
    <x v="984"/>
    <n v="23312.42"/>
    <x v="0"/>
    <x v="3"/>
    <x v="3"/>
  </r>
  <r>
    <x v="0"/>
    <x v="0"/>
    <x v="0"/>
    <x v="0"/>
    <x v="0"/>
    <x v="450"/>
    <x v="985"/>
    <n v="14974.68"/>
    <x v="0"/>
    <x v="3"/>
    <x v="3"/>
  </r>
  <r>
    <x v="0"/>
    <x v="1"/>
    <x v="1"/>
    <x v="0"/>
    <x v="0"/>
    <x v="450"/>
    <x v="985"/>
    <n v="6086.96"/>
    <x v="0"/>
    <x v="3"/>
    <x v="3"/>
  </r>
  <r>
    <x v="0"/>
    <x v="2"/>
    <x v="2"/>
    <x v="0"/>
    <x v="0"/>
    <x v="450"/>
    <x v="985"/>
    <n v="269418.37"/>
    <x v="0"/>
    <x v="3"/>
    <x v="3"/>
  </r>
  <r>
    <x v="0"/>
    <x v="3"/>
    <x v="3"/>
    <x v="0"/>
    <x v="0"/>
    <x v="450"/>
    <x v="985"/>
    <n v="8718.19"/>
    <x v="0"/>
    <x v="3"/>
    <x v="3"/>
  </r>
  <r>
    <x v="0"/>
    <x v="4"/>
    <x v="4"/>
    <x v="0"/>
    <x v="0"/>
    <x v="450"/>
    <x v="985"/>
    <n v="299198.2"/>
    <x v="0"/>
    <x v="3"/>
    <x v="3"/>
  </r>
  <r>
    <x v="0"/>
    <x v="0"/>
    <x v="0"/>
    <x v="0"/>
    <x v="0"/>
    <x v="451"/>
    <x v="986"/>
    <n v="70693.77"/>
    <x v="0"/>
    <x v="3"/>
    <x v="2"/>
  </r>
  <r>
    <x v="0"/>
    <x v="1"/>
    <x v="1"/>
    <x v="0"/>
    <x v="0"/>
    <x v="451"/>
    <x v="986"/>
    <n v="38676.42"/>
    <x v="0"/>
    <x v="3"/>
    <x v="2"/>
  </r>
  <r>
    <x v="0"/>
    <x v="2"/>
    <x v="2"/>
    <x v="0"/>
    <x v="0"/>
    <x v="451"/>
    <x v="986"/>
    <n v="555241.43000000005"/>
    <x v="0"/>
    <x v="3"/>
    <x v="2"/>
  </r>
  <r>
    <x v="0"/>
    <x v="3"/>
    <x v="3"/>
    <x v="0"/>
    <x v="0"/>
    <x v="451"/>
    <x v="986"/>
    <n v="11763.52"/>
    <x v="0"/>
    <x v="3"/>
    <x v="2"/>
  </r>
  <r>
    <x v="0"/>
    <x v="4"/>
    <x v="4"/>
    <x v="0"/>
    <x v="0"/>
    <x v="451"/>
    <x v="986"/>
    <n v="676375.14"/>
    <x v="0"/>
    <x v="3"/>
    <x v="2"/>
  </r>
  <r>
    <x v="0"/>
    <x v="0"/>
    <x v="0"/>
    <x v="0"/>
    <x v="0"/>
    <x v="452"/>
    <x v="987"/>
    <n v="1455.08"/>
    <x v="0"/>
    <x v="3"/>
    <x v="3"/>
  </r>
  <r>
    <x v="0"/>
    <x v="1"/>
    <x v="1"/>
    <x v="0"/>
    <x v="0"/>
    <x v="452"/>
    <x v="987"/>
    <n v="2972.5"/>
    <x v="0"/>
    <x v="3"/>
    <x v="3"/>
  </r>
  <r>
    <x v="0"/>
    <x v="2"/>
    <x v="2"/>
    <x v="0"/>
    <x v="0"/>
    <x v="452"/>
    <x v="987"/>
    <n v="41734.6"/>
    <x v="0"/>
    <x v="3"/>
    <x v="3"/>
  </r>
  <r>
    <x v="0"/>
    <x v="3"/>
    <x v="3"/>
    <x v="0"/>
    <x v="0"/>
    <x v="452"/>
    <x v="987"/>
    <n v="63.28"/>
    <x v="0"/>
    <x v="3"/>
    <x v="3"/>
  </r>
  <r>
    <x v="0"/>
    <x v="4"/>
    <x v="4"/>
    <x v="0"/>
    <x v="0"/>
    <x v="452"/>
    <x v="987"/>
    <n v="46225.46"/>
    <x v="0"/>
    <x v="3"/>
    <x v="3"/>
  </r>
  <r>
    <x v="0"/>
    <x v="0"/>
    <x v="0"/>
    <x v="0"/>
    <x v="0"/>
    <x v="453"/>
    <x v="988"/>
    <n v="15874.01"/>
    <x v="0"/>
    <x v="3"/>
    <x v="3"/>
  </r>
  <r>
    <x v="0"/>
    <x v="1"/>
    <x v="1"/>
    <x v="0"/>
    <x v="0"/>
    <x v="453"/>
    <x v="988"/>
    <n v="5793.83"/>
    <x v="0"/>
    <x v="3"/>
    <x v="3"/>
  </r>
  <r>
    <x v="0"/>
    <x v="2"/>
    <x v="2"/>
    <x v="0"/>
    <x v="0"/>
    <x v="453"/>
    <x v="988"/>
    <n v="57346.23"/>
    <x v="0"/>
    <x v="3"/>
    <x v="3"/>
  </r>
  <r>
    <x v="0"/>
    <x v="3"/>
    <x v="3"/>
    <x v="0"/>
    <x v="0"/>
    <x v="453"/>
    <x v="988"/>
    <n v="1205.1199999999999"/>
    <x v="0"/>
    <x v="3"/>
    <x v="3"/>
  </r>
  <r>
    <x v="0"/>
    <x v="4"/>
    <x v="4"/>
    <x v="0"/>
    <x v="0"/>
    <x v="453"/>
    <x v="988"/>
    <n v="80219.19"/>
    <x v="0"/>
    <x v="3"/>
    <x v="3"/>
  </r>
  <r>
    <x v="0"/>
    <x v="0"/>
    <x v="0"/>
    <x v="0"/>
    <x v="0"/>
    <x v="454"/>
    <x v="989"/>
    <n v="15463.19"/>
    <x v="0"/>
    <x v="3"/>
    <x v="3"/>
  </r>
  <r>
    <x v="0"/>
    <x v="1"/>
    <x v="1"/>
    <x v="0"/>
    <x v="0"/>
    <x v="454"/>
    <x v="989"/>
    <n v="9249.1200000000008"/>
    <x v="0"/>
    <x v="3"/>
    <x v="3"/>
  </r>
  <r>
    <x v="0"/>
    <x v="2"/>
    <x v="2"/>
    <x v="0"/>
    <x v="0"/>
    <x v="454"/>
    <x v="989"/>
    <n v="127083.02"/>
    <x v="0"/>
    <x v="3"/>
    <x v="3"/>
  </r>
  <r>
    <x v="0"/>
    <x v="3"/>
    <x v="3"/>
    <x v="0"/>
    <x v="0"/>
    <x v="454"/>
    <x v="989"/>
    <n v="809.5"/>
    <x v="0"/>
    <x v="3"/>
    <x v="3"/>
  </r>
  <r>
    <x v="0"/>
    <x v="4"/>
    <x v="4"/>
    <x v="0"/>
    <x v="0"/>
    <x v="454"/>
    <x v="989"/>
    <n v="152604.82999999999"/>
    <x v="0"/>
    <x v="3"/>
    <x v="3"/>
  </r>
  <r>
    <x v="0"/>
    <x v="0"/>
    <x v="0"/>
    <x v="0"/>
    <x v="0"/>
    <x v="455"/>
    <x v="990"/>
    <n v="5227.43"/>
    <x v="0"/>
    <x v="3"/>
    <x v="3"/>
  </r>
  <r>
    <x v="0"/>
    <x v="1"/>
    <x v="1"/>
    <x v="0"/>
    <x v="0"/>
    <x v="455"/>
    <x v="990"/>
    <n v="1754.41"/>
    <x v="0"/>
    <x v="3"/>
    <x v="3"/>
  </r>
  <r>
    <x v="0"/>
    <x v="2"/>
    <x v="2"/>
    <x v="0"/>
    <x v="0"/>
    <x v="455"/>
    <x v="990"/>
    <n v="41112.28"/>
    <x v="0"/>
    <x v="3"/>
    <x v="3"/>
  </r>
  <r>
    <x v="0"/>
    <x v="3"/>
    <x v="3"/>
    <x v="0"/>
    <x v="0"/>
    <x v="455"/>
    <x v="990"/>
    <n v="2435.8000000000002"/>
    <x v="0"/>
    <x v="3"/>
    <x v="3"/>
  </r>
  <r>
    <x v="0"/>
    <x v="4"/>
    <x v="4"/>
    <x v="0"/>
    <x v="0"/>
    <x v="455"/>
    <x v="990"/>
    <n v="50529.919999999998"/>
    <x v="0"/>
    <x v="3"/>
    <x v="3"/>
  </r>
  <r>
    <x v="0"/>
    <x v="0"/>
    <x v="0"/>
    <x v="0"/>
    <x v="0"/>
    <x v="198"/>
    <x v="991"/>
    <n v="5740.87"/>
    <x v="0"/>
    <x v="3"/>
    <x v="3"/>
  </r>
  <r>
    <x v="0"/>
    <x v="1"/>
    <x v="1"/>
    <x v="0"/>
    <x v="0"/>
    <x v="198"/>
    <x v="991"/>
    <n v="2374.64"/>
    <x v="0"/>
    <x v="3"/>
    <x v="3"/>
  </r>
  <r>
    <x v="0"/>
    <x v="2"/>
    <x v="2"/>
    <x v="0"/>
    <x v="0"/>
    <x v="198"/>
    <x v="991"/>
    <n v="21215.21"/>
    <x v="0"/>
    <x v="3"/>
    <x v="3"/>
  </r>
  <r>
    <x v="0"/>
    <x v="3"/>
    <x v="3"/>
    <x v="0"/>
    <x v="0"/>
    <x v="198"/>
    <x v="991"/>
    <n v="1196.01"/>
    <x v="0"/>
    <x v="3"/>
    <x v="3"/>
  </r>
  <r>
    <x v="0"/>
    <x v="4"/>
    <x v="4"/>
    <x v="0"/>
    <x v="0"/>
    <x v="198"/>
    <x v="991"/>
    <n v="30526.73"/>
    <x v="0"/>
    <x v="3"/>
    <x v="3"/>
  </r>
  <r>
    <x v="0"/>
    <x v="0"/>
    <x v="0"/>
    <x v="0"/>
    <x v="0"/>
    <x v="215"/>
    <x v="992"/>
    <n v="8669.1"/>
    <x v="0"/>
    <x v="3"/>
    <x v="3"/>
  </r>
  <r>
    <x v="0"/>
    <x v="1"/>
    <x v="1"/>
    <x v="0"/>
    <x v="0"/>
    <x v="215"/>
    <x v="992"/>
    <n v="5433.81"/>
    <x v="0"/>
    <x v="3"/>
    <x v="3"/>
  </r>
  <r>
    <x v="0"/>
    <x v="2"/>
    <x v="2"/>
    <x v="0"/>
    <x v="0"/>
    <x v="215"/>
    <x v="992"/>
    <n v="107037.69"/>
    <x v="0"/>
    <x v="3"/>
    <x v="3"/>
  </r>
  <r>
    <x v="0"/>
    <x v="3"/>
    <x v="3"/>
    <x v="0"/>
    <x v="0"/>
    <x v="215"/>
    <x v="992"/>
    <n v="3410.61"/>
    <x v="0"/>
    <x v="3"/>
    <x v="3"/>
  </r>
  <r>
    <x v="0"/>
    <x v="4"/>
    <x v="4"/>
    <x v="0"/>
    <x v="0"/>
    <x v="215"/>
    <x v="992"/>
    <n v="124551.21"/>
    <x v="0"/>
    <x v="3"/>
    <x v="3"/>
  </r>
  <r>
    <x v="0"/>
    <x v="0"/>
    <x v="0"/>
    <x v="0"/>
    <x v="0"/>
    <x v="456"/>
    <x v="993"/>
    <n v="18264.09"/>
    <x v="0"/>
    <x v="3"/>
    <x v="3"/>
  </r>
  <r>
    <x v="0"/>
    <x v="1"/>
    <x v="1"/>
    <x v="0"/>
    <x v="0"/>
    <x v="456"/>
    <x v="993"/>
    <n v="11098.11"/>
    <x v="0"/>
    <x v="3"/>
    <x v="3"/>
  </r>
  <r>
    <x v="0"/>
    <x v="2"/>
    <x v="2"/>
    <x v="0"/>
    <x v="0"/>
    <x v="456"/>
    <x v="993"/>
    <n v="159712.4"/>
    <x v="0"/>
    <x v="3"/>
    <x v="3"/>
  </r>
  <r>
    <x v="0"/>
    <x v="3"/>
    <x v="3"/>
    <x v="0"/>
    <x v="0"/>
    <x v="456"/>
    <x v="993"/>
    <n v="2643.2"/>
    <x v="0"/>
    <x v="3"/>
    <x v="3"/>
  </r>
  <r>
    <x v="0"/>
    <x v="4"/>
    <x v="4"/>
    <x v="0"/>
    <x v="0"/>
    <x v="456"/>
    <x v="993"/>
    <n v="191717.8"/>
    <x v="0"/>
    <x v="3"/>
    <x v="3"/>
  </r>
  <r>
    <x v="0"/>
    <x v="0"/>
    <x v="0"/>
    <x v="0"/>
    <x v="0"/>
    <x v="457"/>
    <x v="994"/>
    <n v="121971.02"/>
    <x v="0"/>
    <x v="3"/>
    <x v="2"/>
  </r>
  <r>
    <x v="0"/>
    <x v="1"/>
    <x v="1"/>
    <x v="0"/>
    <x v="0"/>
    <x v="457"/>
    <x v="994"/>
    <n v="39171.519999999997"/>
    <x v="0"/>
    <x v="3"/>
    <x v="2"/>
  </r>
  <r>
    <x v="0"/>
    <x v="2"/>
    <x v="2"/>
    <x v="0"/>
    <x v="0"/>
    <x v="457"/>
    <x v="994"/>
    <n v="559210.43999999994"/>
    <x v="0"/>
    <x v="3"/>
    <x v="2"/>
  </r>
  <r>
    <x v="0"/>
    <x v="3"/>
    <x v="3"/>
    <x v="0"/>
    <x v="0"/>
    <x v="457"/>
    <x v="994"/>
    <n v="17649"/>
    <x v="0"/>
    <x v="3"/>
    <x v="2"/>
  </r>
  <r>
    <x v="0"/>
    <x v="4"/>
    <x v="4"/>
    <x v="0"/>
    <x v="0"/>
    <x v="457"/>
    <x v="994"/>
    <n v="738001.98"/>
    <x v="0"/>
    <x v="3"/>
    <x v="2"/>
  </r>
  <r>
    <x v="0"/>
    <x v="0"/>
    <x v="0"/>
    <x v="0"/>
    <x v="0"/>
    <x v="458"/>
    <x v="995"/>
    <n v="0"/>
    <x v="0"/>
    <x v="3"/>
    <x v="3"/>
  </r>
  <r>
    <x v="0"/>
    <x v="1"/>
    <x v="1"/>
    <x v="0"/>
    <x v="0"/>
    <x v="458"/>
    <x v="995"/>
    <n v="0"/>
    <x v="0"/>
    <x v="3"/>
    <x v="3"/>
  </r>
  <r>
    <x v="0"/>
    <x v="2"/>
    <x v="2"/>
    <x v="0"/>
    <x v="0"/>
    <x v="458"/>
    <x v="995"/>
    <n v="24799.08"/>
    <x v="0"/>
    <x v="3"/>
    <x v="3"/>
  </r>
  <r>
    <x v="0"/>
    <x v="3"/>
    <x v="3"/>
    <x v="0"/>
    <x v="0"/>
    <x v="458"/>
    <x v="995"/>
    <n v="7.71"/>
    <x v="0"/>
    <x v="3"/>
    <x v="3"/>
  </r>
  <r>
    <x v="0"/>
    <x v="4"/>
    <x v="4"/>
    <x v="0"/>
    <x v="0"/>
    <x v="458"/>
    <x v="995"/>
    <n v="24806.79"/>
    <x v="0"/>
    <x v="3"/>
    <x v="3"/>
  </r>
  <r>
    <x v="0"/>
    <x v="0"/>
    <x v="0"/>
    <x v="0"/>
    <x v="0"/>
    <x v="459"/>
    <x v="996"/>
    <n v="2237.02"/>
    <x v="0"/>
    <x v="3"/>
    <x v="3"/>
  </r>
  <r>
    <x v="0"/>
    <x v="1"/>
    <x v="1"/>
    <x v="0"/>
    <x v="0"/>
    <x v="459"/>
    <x v="996"/>
    <n v="4257.1099999999997"/>
    <x v="0"/>
    <x v="3"/>
    <x v="3"/>
  </r>
  <r>
    <x v="0"/>
    <x v="2"/>
    <x v="2"/>
    <x v="0"/>
    <x v="0"/>
    <x v="459"/>
    <x v="996"/>
    <n v="86792.93"/>
    <x v="0"/>
    <x v="3"/>
    <x v="3"/>
  </r>
  <r>
    <x v="0"/>
    <x v="3"/>
    <x v="3"/>
    <x v="0"/>
    <x v="0"/>
    <x v="459"/>
    <x v="996"/>
    <n v="1574.44"/>
    <x v="0"/>
    <x v="3"/>
    <x v="3"/>
  </r>
  <r>
    <x v="0"/>
    <x v="4"/>
    <x v="4"/>
    <x v="0"/>
    <x v="0"/>
    <x v="459"/>
    <x v="996"/>
    <n v="94861.5"/>
    <x v="0"/>
    <x v="3"/>
    <x v="3"/>
  </r>
  <r>
    <x v="0"/>
    <x v="0"/>
    <x v="0"/>
    <x v="0"/>
    <x v="0"/>
    <x v="460"/>
    <x v="997"/>
    <n v="18324.740000000002"/>
    <x v="0"/>
    <x v="3"/>
    <x v="3"/>
  </r>
  <r>
    <x v="0"/>
    <x v="1"/>
    <x v="1"/>
    <x v="0"/>
    <x v="0"/>
    <x v="460"/>
    <x v="997"/>
    <n v="0"/>
    <x v="0"/>
    <x v="3"/>
    <x v="3"/>
  </r>
  <r>
    <x v="0"/>
    <x v="2"/>
    <x v="2"/>
    <x v="0"/>
    <x v="0"/>
    <x v="460"/>
    <x v="997"/>
    <n v="61375.32"/>
    <x v="0"/>
    <x v="3"/>
    <x v="3"/>
  </r>
  <r>
    <x v="0"/>
    <x v="3"/>
    <x v="3"/>
    <x v="0"/>
    <x v="0"/>
    <x v="460"/>
    <x v="997"/>
    <n v="3121.27"/>
    <x v="0"/>
    <x v="3"/>
    <x v="3"/>
  </r>
  <r>
    <x v="0"/>
    <x v="4"/>
    <x v="4"/>
    <x v="0"/>
    <x v="0"/>
    <x v="460"/>
    <x v="997"/>
    <n v="82821.33"/>
    <x v="0"/>
    <x v="3"/>
    <x v="3"/>
  </r>
  <r>
    <x v="0"/>
    <x v="0"/>
    <x v="0"/>
    <x v="0"/>
    <x v="0"/>
    <x v="461"/>
    <x v="998"/>
    <n v="86079.42"/>
    <x v="0"/>
    <x v="3"/>
    <x v="3"/>
  </r>
  <r>
    <x v="0"/>
    <x v="1"/>
    <x v="1"/>
    <x v="0"/>
    <x v="0"/>
    <x v="461"/>
    <x v="998"/>
    <n v="21935.1"/>
    <x v="0"/>
    <x v="3"/>
    <x v="3"/>
  </r>
  <r>
    <x v="0"/>
    <x v="2"/>
    <x v="2"/>
    <x v="0"/>
    <x v="0"/>
    <x v="461"/>
    <x v="998"/>
    <n v="322572.38"/>
    <x v="0"/>
    <x v="3"/>
    <x v="3"/>
  </r>
  <r>
    <x v="0"/>
    <x v="3"/>
    <x v="3"/>
    <x v="0"/>
    <x v="0"/>
    <x v="461"/>
    <x v="998"/>
    <n v="0"/>
    <x v="0"/>
    <x v="3"/>
    <x v="3"/>
  </r>
  <r>
    <x v="0"/>
    <x v="4"/>
    <x v="4"/>
    <x v="0"/>
    <x v="0"/>
    <x v="461"/>
    <x v="998"/>
    <n v="430586.9"/>
    <x v="0"/>
    <x v="3"/>
    <x v="3"/>
  </r>
  <r>
    <x v="0"/>
    <x v="0"/>
    <x v="0"/>
    <x v="0"/>
    <x v="0"/>
    <x v="462"/>
    <x v="999"/>
    <n v="0"/>
    <x v="0"/>
    <x v="3"/>
    <x v="3"/>
  </r>
  <r>
    <x v="0"/>
    <x v="1"/>
    <x v="1"/>
    <x v="0"/>
    <x v="0"/>
    <x v="462"/>
    <x v="999"/>
    <n v="1827.92"/>
    <x v="0"/>
    <x v="3"/>
    <x v="3"/>
  </r>
  <r>
    <x v="0"/>
    <x v="2"/>
    <x v="2"/>
    <x v="0"/>
    <x v="0"/>
    <x v="462"/>
    <x v="999"/>
    <n v="0"/>
    <x v="0"/>
    <x v="3"/>
    <x v="3"/>
  </r>
  <r>
    <x v="0"/>
    <x v="3"/>
    <x v="3"/>
    <x v="0"/>
    <x v="0"/>
    <x v="462"/>
    <x v="999"/>
    <n v="12721.58"/>
    <x v="0"/>
    <x v="3"/>
    <x v="3"/>
  </r>
  <r>
    <x v="0"/>
    <x v="4"/>
    <x v="4"/>
    <x v="0"/>
    <x v="0"/>
    <x v="462"/>
    <x v="999"/>
    <n v="14549.5"/>
    <x v="0"/>
    <x v="3"/>
    <x v="3"/>
  </r>
  <r>
    <x v="0"/>
    <x v="0"/>
    <x v="0"/>
    <x v="0"/>
    <x v="0"/>
    <x v="463"/>
    <x v="1000"/>
    <n v="50"/>
    <x v="0"/>
    <x v="3"/>
    <x v="3"/>
  </r>
  <r>
    <x v="0"/>
    <x v="1"/>
    <x v="1"/>
    <x v="0"/>
    <x v="0"/>
    <x v="463"/>
    <x v="1000"/>
    <n v="0"/>
    <x v="0"/>
    <x v="3"/>
    <x v="3"/>
  </r>
  <r>
    <x v="0"/>
    <x v="2"/>
    <x v="2"/>
    <x v="0"/>
    <x v="0"/>
    <x v="463"/>
    <x v="1000"/>
    <n v="0"/>
    <x v="0"/>
    <x v="3"/>
    <x v="3"/>
  </r>
  <r>
    <x v="0"/>
    <x v="3"/>
    <x v="3"/>
    <x v="0"/>
    <x v="0"/>
    <x v="463"/>
    <x v="1000"/>
    <n v="0"/>
    <x v="0"/>
    <x v="3"/>
    <x v="3"/>
  </r>
  <r>
    <x v="0"/>
    <x v="4"/>
    <x v="4"/>
    <x v="0"/>
    <x v="0"/>
    <x v="463"/>
    <x v="1000"/>
    <n v="50"/>
    <x v="0"/>
    <x v="3"/>
    <x v="3"/>
  </r>
  <r>
    <x v="0"/>
    <x v="0"/>
    <x v="0"/>
    <x v="0"/>
    <x v="0"/>
    <x v="464"/>
    <x v="1001"/>
    <n v="15279.84"/>
    <x v="0"/>
    <x v="3"/>
    <x v="3"/>
  </r>
  <r>
    <x v="0"/>
    <x v="1"/>
    <x v="1"/>
    <x v="0"/>
    <x v="0"/>
    <x v="464"/>
    <x v="1001"/>
    <n v="11151.39"/>
    <x v="0"/>
    <x v="3"/>
    <x v="3"/>
  </r>
  <r>
    <x v="0"/>
    <x v="2"/>
    <x v="2"/>
    <x v="0"/>
    <x v="0"/>
    <x v="464"/>
    <x v="1001"/>
    <n v="63670.73"/>
    <x v="0"/>
    <x v="3"/>
    <x v="3"/>
  </r>
  <r>
    <x v="0"/>
    <x v="3"/>
    <x v="3"/>
    <x v="0"/>
    <x v="0"/>
    <x v="464"/>
    <x v="1001"/>
    <n v="224"/>
    <x v="0"/>
    <x v="3"/>
    <x v="3"/>
  </r>
  <r>
    <x v="0"/>
    <x v="4"/>
    <x v="4"/>
    <x v="0"/>
    <x v="0"/>
    <x v="464"/>
    <x v="1001"/>
    <n v="90325.96"/>
    <x v="0"/>
    <x v="3"/>
    <x v="3"/>
  </r>
  <r>
    <x v="0"/>
    <x v="0"/>
    <x v="0"/>
    <x v="0"/>
    <x v="0"/>
    <x v="465"/>
    <x v="1002"/>
    <n v="15366.23"/>
    <x v="0"/>
    <x v="3"/>
    <x v="2"/>
  </r>
  <r>
    <x v="0"/>
    <x v="1"/>
    <x v="1"/>
    <x v="0"/>
    <x v="0"/>
    <x v="465"/>
    <x v="1002"/>
    <n v="3701.43"/>
    <x v="0"/>
    <x v="3"/>
    <x v="2"/>
  </r>
  <r>
    <x v="0"/>
    <x v="2"/>
    <x v="2"/>
    <x v="0"/>
    <x v="0"/>
    <x v="465"/>
    <x v="1002"/>
    <n v="100152.48"/>
    <x v="0"/>
    <x v="3"/>
    <x v="2"/>
  </r>
  <r>
    <x v="0"/>
    <x v="3"/>
    <x v="3"/>
    <x v="0"/>
    <x v="0"/>
    <x v="465"/>
    <x v="1002"/>
    <n v="2836.43"/>
    <x v="0"/>
    <x v="3"/>
    <x v="2"/>
  </r>
  <r>
    <x v="0"/>
    <x v="4"/>
    <x v="4"/>
    <x v="0"/>
    <x v="0"/>
    <x v="465"/>
    <x v="1002"/>
    <n v="122056.57"/>
    <x v="0"/>
    <x v="3"/>
    <x v="2"/>
  </r>
  <r>
    <x v="0"/>
    <x v="0"/>
    <x v="0"/>
    <x v="0"/>
    <x v="0"/>
    <x v="242"/>
    <x v="1003"/>
    <n v="0"/>
    <x v="0"/>
    <x v="3"/>
    <x v="3"/>
  </r>
  <r>
    <x v="0"/>
    <x v="1"/>
    <x v="1"/>
    <x v="0"/>
    <x v="0"/>
    <x v="242"/>
    <x v="1003"/>
    <n v="0"/>
    <x v="0"/>
    <x v="3"/>
    <x v="3"/>
  </r>
  <r>
    <x v="0"/>
    <x v="2"/>
    <x v="2"/>
    <x v="0"/>
    <x v="0"/>
    <x v="242"/>
    <x v="1003"/>
    <n v="3881.31"/>
    <x v="0"/>
    <x v="3"/>
    <x v="3"/>
  </r>
  <r>
    <x v="0"/>
    <x v="3"/>
    <x v="3"/>
    <x v="0"/>
    <x v="0"/>
    <x v="242"/>
    <x v="1003"/>
    <n v="0"/>
    <x v="0"/>
    <x v="3"/>
    <x v="3"/>
  </r>
  <r>
    <x v="0"/>
    <x v="4"/>
    <x v="4"/>
    <x v="0"/>
    <x v="0"/>
    <x v="242"/>
    <x v="1003"/>
    <n v="3881.31"/>
    <x v="0"/>
    <x v="3"/>
    <x v="3"/>
  </r>
  <r>
    <x v="0"/>
    <x v="0"/>
    <x v="0"/>
    <x v="0"/>
    <x v="0"/>
    <x v="244"/>
    <x v="1004"/>
    <n v="0"/>
    <x v="0"/>
    <x v="3"/>
    <x v="3"/>
  </r>
  <r>
    <x v="0"/>
    <x v="1"/>
    <x v="1"/>
    <x v="0"/>
    <x v="0"/>
    <x v="244"/>
    <x v="1004"/>
    <n v="0"/>
    <x v="0"/>
    <x v="3"/>
    <x v="3"/>
  </r>
  <r>
    <x v="0"/>
    <x v="2"/>
    <x v="2"/>
    <x v="0"/>
    <x v="0"/>
    <x v="244"/>
    <x v="1004"/>
    <n v="3180.31"/>
    <x v="0"/>
    <x v="3"/>
    <x v="3"/>
  </r>
  <r>
    <x v="0"/>
    <x v="3"/>
    <x v="3"/>
    <x v="0"/>
    <x v="0"/>
    <x v="244"/>
    <x v="1004"/>
    <n v="0"/>
    <x v="0"/>
    <x v="3"/>
    <x v="3"/>
  </r>
  <r>
    <x v="0"/>
    <x v="4"/>
    <x v="4"/>
    <x v="0"/>
    <x v="0"/>
    <x v="244"/>
    <x v="1004"/>
    <n v="3180.31"/>
    <x v="0"/>
    <x v="3"/>
    <x v="3"/>
  </r>
  <r>
    <x v="0"/>
    <x v="0"/>
    <x v="0"/>
    <x v="0"/>
    <x v="0"/>
    <x v="245"/>
    <x v="1005"/>
    <n v="802.11"/>
    <x v="0"/>
    <x v="3"/>
    <x v="3"/>
  </r>
  <r>
    <x v="0"/>
    <x v="1"/>
    <x v="1"/>
    <x v="0"/>
    <x v="0"/>
    <x v="245"/>
    <x v="1005"/>
    <n v="1103.25"/>
    <x v="0"/>
    <x v="3"/>
    <x v="3"/>
  </r>
  <r>
    <x v="0"/>
    <x v="2"/>
    <x v="2"/>
    <x v="0"/>
    <x v="0"/>
    <x v="245"/>
    <x v="1005"/>
    <n v="64728.82"/>
    <x v="0"/>
    <x v="3"/>
    <x v="3"/>
  </r>
  <r>
    <x v="0"/>
    <x v="3"/>
    <x v="3"/>
    <x v="0"/>
    <x v="0"/>
    <x v="245"/>
    <x v="1005"/>
    <n v="204.06"/>
    <x v="0"/>
    <x v="3"/>
    <x v="3"/>
  </r>
  <r>
    <x v="0"/>
    <x v="4"/>
    <x v="4"/>
    <x v="0"/>
    <x v="0"/>
    <x v="245"/>
    <x v="1005"/>
    <n v="66838.240000000005"/>
    <x v="0"/>
    <x v="3"/>
    <x v="3"/>
  </r>
  <r>
    <x v="0"/>
    <x v="0"/>
    <x v="0"/>
    <x v="0"/>
    <x v="0"/>
    <x v="246"/>
    <x v="1006"/>
    <n v="0"/>
    <x v="0"/>
    <x v="3"/>
    <x v="3"/>
  </r>
  <r>
    <x v="0"/>
    <x v="1"/>
    <x v="1"/>
    <x v="0"/>
    <x v="0"/>
    <x v="246"/>
    <x v="1006"/>
    <n v="0"/>
    <x v="0"/>
    <x v="3"/>
    <x v="3"/>
  </r>
  <r>
    <x v="0"/>
    <x v="2"/>
    <x v="2"/>
    <x v="0"/>
    <x v="0"/>
    <x v="246"/>
    <x v="1006"/>
    <n v="0"/>
    <x v="0"/>
    <x v="3"/>
    <x v="3"/>
  </r>
  <r>
    <x v="0"/>
    <x v="3"/>
    <x v="3"/>
    <x v="0"/>
    <x v="0"/>
    <x v="246"/>
    <x v="1006"/>
    <n v="0"/>
    <x v="0"/>
    <x v="3"/>
    <x v="3"/>
  </r>
  <r>
    <x v="0"/>
    <x v="4"/>
    <x v="4"/>
    <x v="0"/>
    <x v="0"/>
    <x v="246"/>
    <x v="1006"/>
    <n v="0"/>
    <x v="0"/>
    <x v="3"/>
    <x v="3"/>
  </r>
  <r>
    <x v="0"/>
    <x v="0"/>
    <x v="0"/>
    <x v="0"/>
    <x v="0"/>
    <x v="239"/>
    <x v="1007"/>
    <n v="4121.21"/>
    <x v="0"/>
    <x v="3"/>
    <x v="3"/>
  </r>
  <r>
    <x v="0"/>
    <x v="1"/>
    <x v="1"/>
    <x v="0"/>
    <x v="0"/>
    <x v="239"/>
    <x v="1007"/>
    <n v="881.71"/>
    <x v="0"/>
    <x v="3"/>
    <x v="3"/>
  </r>
  <r>
    <x v="0"/>
    <x v="2"/>
    <x v="2"/>
    <x v="0"/>
    <x v="0"/>
    <x v="239"/>
    <x v="1007"/>
    <n v="6819.96"/>
    <x v="0"/>
    <x v="3"/>
    <x v="3"/>
  </r>
  <r>
    <x v="0"/>
    <x v="3"/>
    <x v="3"/>
    <x v="0"/>
    <x v="0"/>
    <x v="239"/>
    <x v="1007"/>
    <n v="506.09"/>
    <x v="0"/>
    <x v="3"/>
    <x v="3"/>
  </r>
  <r>
    <x v="0"/>
    <x v="4"/>
    <x v="4"/>
    <x v="0"/>
    <x v="0"/>
    <x v="239"/>
    <x v="1007"/>
    <n v="12328.97"/>
    <x v="0"/>
    <x v="3"/>
    <x v="3"/>
  </r>
  <r>
    <x v="0"/>
    <x v="0"/>
    <x v="0"/>
    <x v="0"/>
    <x v="0"/>
    <x v="240"/>
    <x v="1008"/>
    <n v="9080.15"/>
    <x v="0"/>
    <x v="3"/>
    <x v="3"/>
  </r>
  <r>
    <x v="0"/>
    <x v="1"/>
    <x v="1"/>
    <x v="0"/>
    <x v="0"/>
    <x v="240"/>
    <x v="1008"/>
    <n v="1054.92"/>
    <x v="0"/>
    <x v="3"/>
    <x v="3"/>
  </r>
  <r>
    <x v="0"/>
    <x v="2"/>
    <x v="2"/>
    <x v="0"/>
    <x v="0"/>
    <x v="240"/>
    <x v="1008"/>
    <n v="4418.4799999999996"/>
    <x v="0"/>
    <x v="3"/>
    <x v="3"/>
  </r>
  <r>
    <x v="0"/>
    <x v="3"/>
    <x v="3"/>
    <x v="0"/>
    <x v="0"/>
    <x v="240"/>
    <x v="1008"/>
    <n v="1693.99"/>
    <x v="0"/>
    <x v="3"/>
    <x v="3"/>
  </r>
  <r>
    <x v="0"/>
    <x v="4"/>
    <x v="4"/>
    <x v="0"/>
    <x v="0"/>
    <x v="240"/>
    <x v="1008"/>
    <n v="16247.54"/>
    <x v="0"/>
    <x v="3"/>
    <x v="3"/>
  </r>
  <r>
    <x v="0"/>
    <x v="0"/>
    <x v="0"/>
    <x v="0"/>
    <x v="0"/>
    <x v="232"/>
    <x v="1009"/>
    <n v="1362.76"/>
    <x v="0"/>
    <x v="3"/>
    <x v="3"/>
  </r>
  <r>
    <x v="0"/>
    <x v="1"/>
    <x v="1"/>
    <x v="0"/>
    <x v="0"/>
    <x v="232"/>
    <x v="1009"/>
    <n v="633.19000000000005"/>
    <x v="0"/>
    <x v="3"/>
    <x v="3"/>
  </r>
  <r>
    <x v="0"/>
    <x v="2"/>
    <x v="2"/>
    <x v="0"/>
    <x v="0"/>
    <x v="232"/>
    <x v="1009"/>
    <n v="2929.44"/>
    <x v="0"/>
    <x v="3"/>
    <x v="3"/>
  </r>
  <r>
    <x v="0"/>
    <x v="3"/>
    <x v="3"/>
    <x v="0"/>
    <x v="0"/>
    <x v="232"/>
    <x v="1009"/>
    <n v="432.29"/>
    <x v="0"/>
    <x v="3"/>
    <x v="3"/>
  </r>
  <r>
    <x v="0"/>
    <x v="4"/>
    <x v="4"/>
    <x v="0"/>
    <x v="0"/>
    <x v="232"/>
    <x v="1009"/>
    <n v="5357.68"/>
    <x v="0"/>
    <x v="3"/>
    <x v="3"/>
  </r>
  <r>
    <x v="0"/>
    <x v="0"/>
    <x v="0"/>
    <x v="0"/>
    <x v="0"/>
    <x v="241"/>
    <x v="1010"/>
    <n v="0"/>
    <x v="0"/>
    <x v="3"/>
    <x v="3"/>
  </r>
  <r>
    <x v="0"/>
    <x v="1"/>
    <x v="1"/>
    <x v="0"/>
    <x v="0"/>
    <x v="241"/>
    <x v="1010"/>
    <n v="0"/>
    <x v="0"/>
    <x v="3"/>
    <x v="3"/>
  </r>
  <r>
    <x v="0"/>
    <x v="2"/>
    <x v="2"/>
    <x v="0"/>
    <x v="0"/>
    <x v="241"/>
    <x v="1010"/>
    <n v="6098.03"/>
    <x v="0"/>
    <x v="3"/>
    <x v="3"/>
  </r>
  <r>
    <x v="0"/>
    <x v="3"/>
    <x v="3"/>
    <x v="0"/>
    <x v="0"/>
    <x v="241"/>
    <x v="1010"/>
    <n v="0"/>
    <x v="0"/>
    <x v="3"/>
    <x v="3"/>
  </r>
  <r>
    <x v="0"/>
    <x v="4"/>
    <x v="4"/>
    <x v="0"/>
    <x v="0"/>
    <x v="241"/>
    <x v="1010"/>
    <n v="6098.03"/>
    <x v="0"/>
    <x v="3"/>
    <x v="3"/>
  </r>
  <r>
    <x v="0"/>
    <x v="0"/>
    <x v="0"/>
    <x v="0"/>
    <x v="0"/>
    <x v="68"/>
    <x v="1011"/>
    <n v="0"/>
    <x v="0"/>
    <x v="3"/>
    <x v="3"/>
  </r>
  <r>
    <x v="0"/>
    <x v="1"/>
    <x v="1"/>
    <x v="0"/>
    <x v="0"/>
    <x v="68"/>
    <x v="1011"/>
    <n v="28.36"/>
    <x v="0"/>
    <x v="3"/>
    <x v="3"/>
  </r>
  <r>
    <x v="0"/>
    <x v="2"/>
    <x v="2"/>
    <x v="0"/>
    <x v="0"/>
    <x v="68"/>
    <x v="1011"/>
    <n v="8096.13"/>
    <x v="0"/>
    <x v="3"/>
    <x v="3"/>
  </r>
  <r>
    <x v="0"/>
    <x v="3"/>
    <x v="3"/>
    <x v="0"/>
    <x v="0"/>
    <x v="68"/>
    <x v="1011"/>
    <n v="0"/>
    <x v="0"/>
    <x v="3"/>
    <x v="3"/>
  </r>
  <r>
    <x v="0"/>
    <x v="4"/>
    <x v="4"/>
    <x v="0"/>
    <x v="0"/>
    <x v="68"/>
    <x v="1011"/>
    <n v="8124.49"/>
    <x v="0"/>
    <x v="3"/>
    <x v="3"/>
  </r>
  <r>
    <x v="0"/>
    <x v="0"/>
    <x v="0"/>
    <x v="0"/>
    <x v="0"/>
    <x v="466"/>
    <x v="1012"/>
    <n v="14832.54"/>
    <x v="0"/>
    <x v="3"/>
    <x v="2"/>
  </r>
  <r>
    <x v="0"/>
    <x v="1"/>
    <x v="1"/>
    <x v="0"/>
    <x v="0"/>
    <x v="466"/>
    <x v="1012"/>
    <n v="1585.4"/>
    <x v="0"/>
    <x v="3"/>
    <x v="2"/>
  </r>
  <r>
    <x v="0"/>
    <x v="2"/>
    <x v="2"/>
    <x v="0"/>
    <x v="0"/>
    <x v="466"/>
    <x v="1012"/>
    <n v="129018.35"/>
    <x v="0"/>
    <x v="3"/>
    <x v="2"/>
  </r>
  <r>
    <x v="0"/>
    <x v="3"/>
    <x v="3"/>
    <x v="0"/>
    <x v="0"/>
    <x v="466"/>
    <x v="1012"/>
    <n v="8249.7199999999993"/>
    <x v="0"/>
    <x v="3"/>
    <x v="2"/>
  </r>
  <r>
    <x v="0"/>
    <x v="4"/>
    <x v="4"/>
    <x v="0"/>
    <x v="0"/>
    <x v="466"/>
    <x v="1012"/>
    <n v="153686.01"/>
    <x v="0"/>
    <x v="3"/>
    <x v="2"/>
  </r>
  <r>
    <x v="0"/>
    <x v="0"/>
    <x v="0"/>
    <x v="0"/>
    <x v="0"/>
    <x v="467"/>
    <x v="1013"/>
    <n v="0"/>
    <x v="0"/>
    <x v="3"/>
    <x v="3"/>
  </r>
  <r>
    <x v="0"/>
    <x v="1"/>
    <x v="1"/>
    <x v="0"/>
    <x v="0"/>
    <x v="467"/>
    <x v="1013"/>
    <n v="0"/>
    <x v="0"/>
    <x v="3"/>
    <x v="3"/>
  </r>
  <r>
    <x v="0"/>
    <x v="2"/>
    <x v="2"/>
    <x v="0"/>
    <x v="0"/>
    <x v="467"/>
    <x v="1013"/>
    <n v="0"/>
    <x v="0"/>
    <x v="3"/>
    <x v="3"/>
  </r>
  <r>
    <x v="0"/>
    <x v="3"/>
    <x v="3"/>
    <x v="0"/>
    <x v="0"/>
    <x v="467"/>
    <x v="1013"/>
    <n v="0"/>
    <x v="0"/>
    <x v="3"/>
    <x v="3"/>
  </r>
  <r>
    <x v="0"/>
    <x v="4"/>
    <x v="4"/>
    <x v="0"/>
    <x v="0"/>
    <x v="467"/>
    <x v="1013"/>
    <n v="0"/>
    <x v="0"/>
    <x v="3"/>
    <x v="3"/>
  </r>
  <r>
    <x v="0"/>
    <x v="0"/>
    <x v="0"/>
    <x v="0"/>
    <x v="0"/>
    <x v="287"/>
    <x v="1014"/>
    <n v="0"/>
    <x v="0"/>
    <x v="3"/>
    <x v="3"/>
  </r>
  <r>
    <x v="0"/>
    <x v="1"/>
    <x v="1"/>
    <x v="0"/>
    <x v="0"/>
    <x v="287"/>
    <x v="1014"/>
    <n v="0"/>
    <x v="0"/>
    <x v="3"/>
    <x v="3"/>
  </r>
  <r>
    <x v="0"/>
    <x v="2"/>
    <x v="2"/>
    <x v="0"/>
    <x v="0"/>
    <x v="287"/>
    <x v="1014"/>
    <n v="0"/>
    <x v="0"/>
    <x v="3"/>
    <x v="3"/>
  </r>
  <r>
    <x v="0"/>
    <x v="3"/>
    <x v="3"/>
    <x v="0"/>
    <x v="0"/>
    <x v="287"/>
    <x v="1014"/>
    <n v="0"/>
    <x v="0"/>
    <x v="3"/>
    <x v="3"/>
  </r>
  <r>
    <x v="0"/>
    <x v="4"/>
    <x v="4"/>
    <x v="0"/>
    <x v="0"/>
    <x v="287"/>
    <x v="1014"/>
    <n v="0"/>
    <x v="0"/>
    <x v="3"/>
    <x v="3"/>
  </r>
  <r>
    <x v="0"/>
    <x v="0"/>
    <x v="0"/>
    <x v="0"/>
    <x v="0"/>
    <x v="288"/>
    <x v="1015"/>
    <n v="0"/>
    <x v="0"/>
    <x v="3"/>
    <x v="3"/>
  </r>
  <r>
    <x v="0"/>
    <x v="1"/>
    <x v="1"/>
    <x v="0"/>
    <x v="0"/>
    <x v="288"/>
    <x v="1015"/>
    <n v="0"/>
    <x v="0"/>
    <x v="3"/>
    <x v="3"/>
  </r>
  <r>
    <x v="0"/>
    <x v="2"/>
    <x v="2"/>
    <x v="0"/>
    <x v="0"/>
    <x v="288"/>
    <x v="1015"/>
    <n v="0"/>
    <x v="0"/>
    <x v="3"/>
    <x v="3"/>
  </r>
  <r>
    <x v="0"/>
    <x v="3"/>
    <x v="3"/>
    <x v="0"/>
    <x v="0"/>
    <x v="288"/>
    <x v="1015"/>
    <n v="0"/>
    <x v="0"/>
    <x v="3"/>
    <x v="3"/>
  </r>
  <r>
    <x v="0"/>
    <x v="4"/>
    <x v="4"/>
    <x v="0"/>
    <x v="0"/>
    <x v="288"/>
    <x v="1015"/>
    <n v="0"/>
    <x v="0"/>
    <x v="3"/>
    <x v="3"/>
  </r>
  <r>
    <x v="0"/>
    <x v="0"/>
    <x v="0"/>
    <x v="0"/>
    <x v="0"/>
    <x v="289"/>
    <x v="1016"/>
    <n v="0"/>
    <x v="0"/>
    <x v="3"/>
    <x v="3"/>
  </r>
  <r>
    <x v="0"/>
    <x v="1"/>
    <x v="1"/>
    <x v="0"/>
    <x v="0"/>
    <x v="289"/>
    <x v="1016"/>
    <n v="0"/>
    <x v="0"/>
    <x v="3"/>
    <x v="3"/>
  </r>
  <r>
    <x v="0"/>
    <x v="2"/>
    <x v="2"/>
    <x v="0"/>
    <x v="0"/>
    <x v="289"/>
    <x v="1016"/>
    <n v="0"/>
    <x v="0"/>
    <x v="3"/>
    <x v="3"/>
  </r>
  <r>
    <x v="0"/>
    <x v="3"/>
    <x v="3"/>
    <x v="0"/>
    <x v="0"/>
    <x v="289"/>
    <x v="1016"/>
    <n v="0"/>
    <x v="0"/>
    <x v="3"/>
    <x v="3"/>
  </r>
  <r>
    <x v="0"/>
    <x v="4"/>
    <x v="4"/>
    <x v="0"/>
    <x v="0"/>
    <x v="289"/>
    <x v="1016"/>
    <n v="0"/>
    <x v="0"/>
    <x v="3"/>
    <x v="3"/>
  </r>
  <r>
    <x v="0"/>
    <x v="0"/>
    <x v="0"/>
    <x v="0"/>
    <x v="0"/>
    <x v="290"/>
    <x v="1017"/>
    <n v="8882.7000000000007"/>
    <x v="0"/>
    <x v="3"/>
    <x v="3"/>
  </r>
  <r>
    <x v="0"/>
    <x v="1"/>
    <x v="1"/>
    <x v="0"/>
    <x v="0"/>
    <x v="290"/>
    <x v="1017"/>
    <n v="357.72"/>
    <x v="0"/>
    <x v="3"/>
    <x v="3"/>
  </r>
  <r>
    <x v="0"/>
    <x v="2"/>
    <x v="2"/>
    <x v="0"/>
    <x v="0"/>
    <x v="290"/>
    <x v="1017"/>
    <n v="98276.6"/>
    <x v="0"/>
    <x v="3"/>
    <x v="3"/>
  </r>
  <r>
    <x v="0"/>
    <x v="3"/>
    <x v="3"/>
    <x v="0"/>
    <x v="0"/>
    <x v="290"/>
    <x v="1017"/>
    <n v="6021.09"/>
    <x v="0"/>
    <x v="3"/>
    <x v="3"/>
  </r>
  <r>
    <x v="0"/>
    <x v="4"/>
    <x v="4"/>
    <x v="0"/>
    <x v="0"/>
    <x v="290"/>
    <x v="1017"/>
    <n v="113538.11"/>
    <x v="0"/>
    <x v="3"/>
    <x v="3"/>
  </r>
  <r>
    <x v="0"/>
    <x v="0"/>
    <x v="0"/>
    <x v="0"/>
    <x v="0"/>
    <x v="291"/>
    <x v="1018"/>
    <n v="5949.84"/>
    <x v="0"/>
    <x v="3"/>
    <x v="3"/>
  </r>
  <r>
    <x v="0"/>
    <x v="1"/>
    <x v="1"/>
    <x v="0"/>
    <x v="0"/>
    <x v="291"/>
    <x v="1018"/>
    <n v="1227.68"/>
    <x v="0"/>
    <x v="3"/>
    <x v="3"/>
  </r>
  <r>
    <x v="0"/>
    <x v="2"/>
    <x v="2"/>
    <x v="0"/>
    <x v="0"/>
    <x v="291"/>
    <x v="1018"/>
    <n v="30741.75"/>
    <x v="0"/>
    <x v="3"/>
    <x v="3"/>
  </r>
  <r>
    <x v="0"/>
    <x v="3"/>
    <x v="3"/>
    <x v="0"/>
    <x v="0"/>
    <x v="291"/>
    <x v="1018"/>
    <n v="2228.63"/>
    <x v="0"/>
    <x v="3"/>
    <x v="3"/>
  </r>
  <r>
    <x v="0"/>
    <x v="4"/>
    <x v="4"/>
    <x v="0"/>
    <x v="0"/>
    <x v="291"/>
    <x v="1018"/>
    <n v="40147.9"/>
    <x v="0"/>
    <x v="3"/>
    <x v="3"/>
  </r>
  <r>
    <x v="0"/>
    <x v="0"/>
    <x v="0"/>
    <x v="0"/>
    <x v="0"/>
    <x v="292"/>
    <x v="1019"/>
    <n v="0"/>
    <x v="0"/>
    <x v="3"/>
    <x v="3"/>
  </r>
  <r>
    <x v="0"/>
    <x v="1"/>
    <x v="1"/>
    <x v="0"/>
    <x v="0"/>
    <x v="292"/>
    <x v="1019"/>
    <n v="0"/>
    <x v="0"/>
    <x v="3"/>
    <x v="3"/>
  </r>
  <r>
    <x v="0"/>
    <x v="2"/>
    <x v="2"/>
    <x v="0"/>
    <x v="0"/>
    <x v="292"/>
    <x v="1019"/>
    <n v="0"/>
    <x v="0"/>
    <x v="3"/>
    <x v="3"/>
  </r>
  <r>
    <x v="0"/>
    <x v="3"/>
    <x v="3"/>
    <x v="0"/>
    <x v="0"/>
    <x v="292"/>
    <x v="1019"/>
    <n v="0"/>
    <x v="0"/>
    <x v="3"/>
    <x v="3"/>
  </r>
  <r>
    <x v="0"/>
    <x v="4"/>
    <x v="4"/>
    <x v="0"/>
    <x v="0"/>
    <x v="292"/>
    <x v="1019"/>
    <n v="0"/>
    <x v="0"/>
    <x v="3"/>
    <x v="3"/>
  </r>
  <r>
    <x v="0"/>
    <x v="0"/>
    <x v="0"/>
    <x v="0"/>
    <x v="0"/>
    <x v="68"/>
    <x v="1020"/>
    <n v="0"/>
    <x v="0"/>
    <x v="3"/>
    <x v="3"/>
  </r>
  <r>
    <x v="0"/>
    <x v="1"/>
    <x v="1"/>
    <x v="0"/>
    <x v="0"/>
    <x v="68"/>
    <x v="1020"/>
    <n v="0"/>
    <x v="0"/>
    <x v="3"/>
    <x v="3"/>
  </r>
  <r>
    <x v="0"/>
    <x v="2"/>
    <x v="2"/>
    <x v="0"/>
    <x v="0"/>
    <x v="68"/>
    <x v="1020"/>
    <n v="0"/>
    <x v="0"/>
    <x v="3"/>
    <x v="3"/>
  </r>
  <r>
    <x v="0"/>
    <x v="3"/>
    <x v="3"/>
    <x v="0"/>
    <x v="0"/>
    <x v="68"/>
    <x v="1020"/>
    <n v="0"/>
    <x v="0"/>
    <x v="3"/>
    <x v="3"/>
  </r>
  <r>
    <x v="0"/>
    <x v="4"/>
    <x v="4"/>
    <x v="0"/>
    <x v="0"/>
    <x v="68"/>
    <x v="1020"/>
    <n v="0"/>
    <x v="0"/>
    <x v="3"/>
    <x v="3"/>
  </r>
  <r>
    <x v="0"/>
    <x v="0"/>
    <x v="0"/>
    <x v="0"/>
    <x v="0"/>
    <x v="468"/>
    <x v="1021"/>
    <n v="26073.84"/>
    <x v="0"/>
    <x v="3"/>
    <x v="2"/>
  </r>
  <r>
    <x v="0"/>
    <x v="1"/>
    <x v="1"/>
    <x v="0"/>
    <x v="0"/>
    <x v="468"/>
    <x v="1021"/>
    <n v="7653.97"/>
    <x v="0"/>
    <x v="3"/>
    <x v="2"/>
  </r>
  <r>
    <x v="0"/>
    <x v="2"/>
    <x v="2"/>
    <x v="0"/>
    <x v="0"/>
    <x v="468"/>
    <x v="1021"/>
    <n v="158952.38"/>
    <x v="0"/>
    <x v="3"/>
    <x v="2"/>
  </r>
  <r>
    <x v="0"/>
    <x v="3"/>
    <x v="3"/>
    <x v="0"/>
    <x v="0"/>
    <x v="468"/>
    <x v="1021"/>
    <n v="3948.1"/>
    <x v="0"/>
    <x v="3"/>
    <x v="2"/>
  </r>
  <r>
    <x v="0"/>
    <x v="4"/>
    <x v="4"/>
    <x v="0"/>
    <x v="0"/>
    <x v="468"/>
    <x v="1021"/>
    <n v="196628.29"/>
    <x v="0"/>
    <x v="3"/>
    <x v="2"/>
  </r>
  <r>
    <x v="0"/>
    <x v="0"/>
    <x v="0"/>
    <x v="0"/>
    <x v="0"/>
    <x v="469"/>
    <x v="1022"/>
    <n v="4387.82"/>
    <x v="0"/>
    <x v="3"/>
    <x v="3"/>
  </r>
  <r>
    <x v="0"/>
    <x v="1"/>
    <x v="1"/>
    <x v="0"/>
    <x v="0"/>
    <x v="469"/>
    <x v="1022"/>
    <n v="2005.61"/>
    <x v="0"/>
    <x v="3"/>
    <x v="3"/>
  </r>
  <r>
    <x v="0"/>
    <x v="2"/>
    <x v="2"/>
    <x v="0"/>
    <x v="0"/>
    <x v="469"/>
    <x v="1022"/>
    <n v="29352.97"/>
    <x v="0"/>
    <x v="3"/>
    <x v="3"/>
  </r>
  <r>
    <x v="0"/>
    <x v="3"/>
    <x v="3"/>
    <x v="0"/>
    <x v="0"/>
    <x v="469"/>
    <x v="1022"/>
    <n v="1391.01"/>
    <x v="0"/>
    <x v="3"/>
    <x v="3"/>
  </r>
  <r>
    <x v="0"/>
    <x v="4"/>
    <x v="4"/>
    <x v="0"/>
    <x v="0"/>
    <x v="469"/>
    <x v="1022"/>
    <n v="37137.410000000003"/>
    <x v="0"/>
    <x v="3"/>
    <x v="3"/>
  </r>
  <r>
    <x v="0"/>
    <x v="0"/>
    <x v="0"/>
    <x v="0"/>
    <x v="0"/>
    <x v="398"/>
    <x v="1023"/>
    <n v="0"/>
    <x v="0"/>
    <x v="3"/>
    <x v="3"/>
  </r>
  <r>
    <x v="0"/>
    <x v="1"/>
    <x v="1"/>
    <x v="0"/>
    <x v="0"/>
    <x v="398"/>
    <x v="1023"/>
    <n v="0"/>
    <x v="0"/>
    <x v="3"/>
    <x v="3"/>
  </r>
  <r>
    <x v="0"/>
    <x v="2"/>
    <x v="2"/>
    <x v="0"/>
    <x v="0"/>
    <x v="398"/>
    <x v="1023"/>
    <n v="0"/>
    <x v="0"/>
    <x v="3"/>
    <x v="3"/>
  </r>
  <r>
    <x v="0"/>
    <x v="3"/>
    <x v="3"/>
    <x v="0"/>
    <x v="0"/>
    <x v="398"/>
    <x v="1023"/>
    <n v="0"/>
    <x v="0"/>
    <x v="3"/>
    <x v="3"/>
  </r>
  <r>
    <x v="0"/>
    <x v="4"/>
    <x v="4"/>
    <x v="0"/>
    <x v="0"/>
    <x v="398"/>
    <x v="1023"/>
    <n v="0"/>
    <x v="0"/>
    <x v="3"/>
    <x v="3"/>
  </r>
  <r>
    <x v="0"/>
    <x v="0"/>
    <x v="0"/>
    <x v="0"/>
    <x v="0"/>
    <x v="470"/>
    <x v="1024"/>
    <n v="19803.939999999999"/>
    <x v="0"/>
    <x v="3"/>
    <x v="3"/>
  </r>
  <r>
    <x v="0"/>
    <x v="1"/>
    <x v="1"/>
    <x v="0"/>
    <x v="0"/>
    <x v="470"/>
    <x v="1024"/>
    <n v="2617.25"/>
    <x v="0"/>
    <x v="3"/>
    <x v="3"/>
  </r>
  <r>
    <x v="0"/>
    <x v="2"/>
    <x v="2"/>
    <x v="0"/>
    <x v="0"/>
    <x v="470"/>
    <x v="1024"/>
    <n v="83540.38"/>
    <x v="0"/>
    <x v="3"/>
    <x v="3"/>
  </r>
  <r>
    <x v="0"/>
    <x v="3"/>
    <x v="3"/>
    <x v="0"/>
    <x v="0"/>
    <x v="470"/>
    <x v="1024"/>
    <n v="1188.74"/>
    <x v="0"/>
    <x v="3"/>
    <x v="3"/>
  </r>
  <r>
    <x v="0"/>
    <x v="4"/>
    <x v="4"/>
    <x v="0"/>
    <x v="0"/>
    <x v="470"/>
    <x v="1024"/>
    <n v="107150.31"/>
    <x v="0"/>
    <x v="3"/>
    <x v="3"/>
  </r>
  <r>
    <x v="0"/>
    <x v="0"/>
    <x v="0"/>
    <x v="0"/>
    <x v="0"/>
    <x v="68"/>
    <x v="1025"/>
    <n v="1882.08"/>
    <x v="0"/>
    <x v="3"/>
    <x v="3"/>
  </r>
  <r>
    <x v="0"/>
    <x v="1"/>
    <x v="1"/>
    <x v="0"/>
    <x v="0"/>
    <x v="68"/>
    <x v="1025"/>
    <n v="3031.11"/>
    <x v="0"/>
    <x v="3"/>
    <x v="3"/>
  </r>
  <r>
    <x v="0"/>
    <x v="2"/>
    <x v="2"/>
    <x v="0"/>
    <x v="0"/>
    <x v="68"/>
    <x v="1025"/>
    <n v="46059.03"/>
    <x v="0"/>
    <x v="3"/>
    <x v="3"/>
  </r>
  <r>
    <x v="0"/>
    <x v="3"/>
    <x v="3"/>
    <x v="0"/>
    <x v="0"/>
    <x v="68"/>
    <x v="1025"/>
    <n v="1368.35"/>
    <x v="0"/>
    <x v="3"/>
    <x v="3"/>
  </r>
  <r>
    <x v="0"/>
    <x v="4"/>
    <x v="4"/>
    <x v="0"/>
    <x v="0"/>
    <x v="68"/>
    <x v="1025"/>
    <n v="52340.57"/>
    <x v="0"/>
    <x v="3"/>
    <x v="3"/>
  </r>
  <r>
    <x v="0"/>
    <x v="0"/>
    <x v="0"/>
    <x v="0"/>
    <x v="0"/>
    <x v="471"/>
    <x v="1026"/>
    <n v="0"/>
    <x v="0"/>
    <x v="3"/>
    <x v="1"/>
  </r>
  <r>
    <x v="0"/>
    <x v="1"/>
    <x v="1"/>
    <x v="0"/>
    <x v="0"/>
    <x v="471"/>
    <x v="1026"/>
    <n v="3792"/>
    <x v="0"/>
    <x v="3"/>
    <x v="1"/>
  </r>
  <r>
    <x v="0"/>
    <x v="2"/>
    <x v="2"/>
    <x v="0"/>
    <x v="0"/>
    <x v="471"/>
    <x v="1026"/>
    <n v="114394.07"/>
    <x v="0"/>
    <x v="3"/>
    <x v="1"/>
  </r>
  <r>
    <x v="0"/>
    <x v="3"/>
    <x v="3"/>
    <x v="0"/>
    <x v="0"/>
    <x v="471"/>
    <x v="1026"/>
    <n v="0"/>
    <x v="0"/>
    <x v="3"/>
    <x v="1"/>
  </r>
  <r>
    <x v="0"/>
    <x v="4"/>
    <x v="4"/>
    <x v="0"/>
    <x v="0"/>
    <x v="471"/>
    <x v="1026"/>
    <n v="118186.07"/>
    <x v="0"/>
    <x v="3"/>
    <x v="1"/>
  </r>
  <r>
    <x v="0"/>
    <x v="0"/>
    <x v="0"/>
    <x v="0"/>
    <x v="0"/>
    <x v="472"/>
    <x v="1027"/>
    <n v="0"/>
    <x v="0"/>
    <x v="3"/>
    <x v="2"/>
  </r>
  <r>
    <x v="0"/>
    <x v="1"/>
    <x v="1"/>
    <x v="0"/>
    <x v="0"/>
    <x v="472"/>
    <x v="1027"/>
    <n v="0"/>
    <x v="0"/>
    <x v="3"/>
    <x v="2"/>
  </r>
  <r>
    <x v="0"/>
    <x v="2"/>
    <x v="2"/>
    <x v="0"/>
    <x v="0"/>
    <x v="472"/>
    <x v="1027"/>
    <n v="114394.07"/>
    <x v="0"/>
    <x v="3"/>
    <x v="2"/>
  </r>
  <r>
    <x v="0"/>
    <x v="3"/>
    <x v="3"/>
    <x v="0"/>
    <x v="0"/>
    <x v="472"/>
    <x v="1027"/>
    <n v="0"/>
    <x v="0"/>
    <x v="3"/>
    <x v="2"/>
  </r>
  <r>
    <x v="0"/>
    <x v="4"/>
    <x v="4"/>
    <x v="0"/>
    <x v="0"/>
    <x v="472"/>
    <x v="1027"/>
    <n v="114394.07"/>
    <x v="0"/>
    <x v="3"/>
    <x v="2"/>
  </r>
  <r>
    <x v="0"/>
    <x v="0"/>
    <x v="0"/>
    <x v="0"/>
    <x v="0"/>
    <x v="473"/>
    <x v="1028"/>
    <n v="0"/>
    <x v="0"/>
    <x v="3"/>
    <x v="2"/>
  </r>
  <r>
    <x v="0"/>
    <x v="1"/>
    <x v="1"/>
    <x v="0"/>
    <x v="0"/>
    <x v="473"/>
    <x v="1028"/>
    <n v="0"/>
    <x v="0"/>
    <x v="3"/>
    <x v="2"/>
  </r>
  <r>
    <x v="0"/>
    <x v="2"/>
    <x v="2"/>
    <x v="0"/>
    <x v="0"/>
    <x v="473"/>
    <x v="1028"/>
    <n v="0"/>
    <x v="0"/>
    <x v="3"/>
    <x v="2"/>
  </r>
  <r>
    <x v="0"/>
    <x v="3"/>
    <x v="3"/>
    <x v="0"/>
    <x v="0"/>
    <x v="473"/>
    <x v="1028"/>
    <n v="0"/>
    <x v="0"/>
    <x v="3"/>
    <x v="2"/>
  </r>
  <r>
    <x v="0"/>
    <x v="4"/>
    <x v="4"/>
    <x v="0"/>
    <x v="0"/>
    <x v="473"/>
    <x v="1028"/>
    <n v="0"/>
    <x v="0"/>
    <x v="3"/>
    <x v="2"/>
  </r>
  <r>
    <x v="0"/>
    <x v="0"/>
    <x v="0"/>
    <x v="0"/>
    <x v="0"/>
    <x v="190"/>
    <x v="1029"/>
    <n v="0"/>
    <x v="0"/>
    <x v="3"/>
    <x v="2"/>
  </r>
  <r>
    <x v="0"/>
    <x v="1"/>
    <x v="1"/>
    <x v="0"/>
    <x v="0"/>
    <x v="190"/>
    <x v="1029"/>
    <n v="3792"/>
    <x v="0"/>
    <x v="3"/>
    <x v="2"/>
  </r>
  <r>
    <x v="0"/>
    <x v="2"/>
    <x v="2"/>
    <x v="0"/>
    <x v="0"/>
    <x v="190"/>
    <x v="1029"/>
    <n v="0"/>
    <x v="0"/>
    <x v="3"/>
    <x v="2"/>
  </r>
  <r>
    <x v="0"/>
    <x v="3"/>
    <x v="3"/>
    <x v="0"/>
    <x v="0"/>
    <x v="190"/>
    <x v="1029"/>
    <n v="0"/>
    <x v="0"/>
    <x v="3"/>
    <x v="2"/>
  </r>
  <r>
    <x v="0"/>
    <x v="4"/>
    <x v="4"/>
    <x v="0"/>
    <x v="0"/>
    <x v="190"/>
    <x v="1029"/>
    <n v="3792"/>
    <x v="0"/>
    <x v="3"/>
    <x v="2"/>
  </r>
  <r>
    <x v="0"/>
    <x v="0"/>
    <x v="0"/>
    <x v="0"/>
    <x v="0"/>
    <x v="474"/>
    <x v="1030"/>
    <n v="60615.29"/>
    <x v="0"/>
    <x v="3"/>
    <x v="1"/>
  </r>
  <r>
    <x v="0"/>
    <x v="1"/>
    <x v="1"/>
    <x v="0"/>
    <x v="0"/>
    <x v="474"/>
    <x v="1030"/>
    <n v="13803.87"/>
    <x v="0"/>
    <x v="3"/>
    <x v="1"/>
  </r>
  <r>
    <x v="0"/>
    <x v="2"/>
    <x v="2"/>
    <x v="0"/>
    <x v="0"/>
    <x v="474"/>
    <x v="1030"/>
    <n v="165552.64000000001"/>
    <x v="0"/>
    <x v="3"/>
    <x v="1"/>
  </r>
  <r>
    <x v="0"/>
    <x v="3"/>
    <x v="3"/>
    <x v="0"/>
    <x v="0"/>
    <x v="474"/>
    <x v="1030"/>
    <n v="17473.509999999998"/>
    <x v="0"/>
    <x v="3"/>
    <x v="1"/>
  </r>
  <r>
    <x v="0"/>
    <x v="4"/>
    <x v="4"/>
    <x v="0"/>
    <x v="0"/>
    <x v="474"/>
    <x v="1030"/>
    <n v="257445.31"/>
    <x v="0"/>
    <x v="3"/>
    <x v="1"/>
  </r>
  <r>
    <x v="0"/>
    <x v="0"/>
    <x v="0"/>
    <x v="0"/>
    <x v="0"/>
    <x v="475"/>
    <x v="1031"/>
    <n v="0"/>
    <x v="0"/>
    <x v="3"/>
    <x v="2"/>
  </r>
  <r>
    <x v="0"/>
    <x v="1"/>
    <x v="1"/>
    <x v="0"/>
    <x v="0"/>
    <x v="475"/>
    <x v="1031"/>
    <n v="0"/>
    <x v="0"/>
    <x v="3"/>
    <x v="2"/>
  </r>
  <r>
    <x v="0"/>
    <x v="2"/>
    <x v="2"/>
    <x v="0"/>
    <x v="0"/>
    <x v="475"/>
    <x v="1031"/>
    <n v="0"/>
    <x v="0"/>
    <x v="3"/>
    <x v="2"/>
  </r>
  <r>
    <x v="0"/>
    <x v="3"/>
    <x v="3"/>
    <x v="0"/>
    <x v="0"/>
    <x v="475"/>
    <x v="1031"/>
    <n v="0"/>
    <x v="0"/>
    <x v="3"/>
    <x v="2"/>
  </r>
  <r>
    <x v="0"/>
    <x v="4"/>
    <x v="4"/>
    <x v="0"/>
    <x v="0"/>
    <x v="475"/>
    <x v="1031"/>
    <n v="0"/>
    <x v="0"/>
    <x v="3"/>
    <x v="2"/>
  </r>
  <r>
    <x v="0"/>
    <x v="0"/>
    <x v="0"/>
    <x v="0"/>
    <x v="0"/>
    <x v="476"/>
    <x v="1032"/>
    <n v="0"/>
    <x v="0"/>
    <x v="3"/>
    <x v="2"/>
  </r>
  <r>
    <x v="0"/>
    <x v="1"/>
    <x v="1"/>
    <x v="0"/>
    <x v="0"/>
    <x v="476"/>
    <x v="1032"/>
    <n v="0"/>
    <x v="0"/>
    <x v="3"/>
    <x v="2"/>
  </r>
  <r>
    <x v="0"/>
    <x v="2"/>
    <x v="2"/>
    <x v="0"/>
    <x v="0"/>
    <x v="476"/>
    <x v="1032"/>
    <n v="0"/>
    <x v="0"/>
    <x v="3"/>
    <x v="2"/>
  </r>
  <r>
    <x v="0"/>
    <x v="3"/>
    <x v="3"/>
    <x v="0"/>
    <x v="0"/>
    <x v="476"/>
    <x v="1032"/>
    <n v="0"/>
    <x v="0"/>
    <x v="3"/>
    <x v="2"/>
  </r>
  <r>
    <x v="0"/>
    <x v="4"/>
    <x v="4"/>
    <x v="0"/>
    <x v="0"/>
    <x v="476"/>
    <x v="1032"/>
    <n v="0"/>
    <x v="0"/>
    <x v="3"/>
    <x v="2"/>
  </r>
  <r>
    <x v="0"/>
    <x v="0"/>
    <x v="0"/>
    <x v="0"/>
    <x v="0"/>
    <x v="477"/>
    <x v="1033"/>
    <n v="56824.09"/>
    <x v="0"/>
    <x v="3"/>
    <x v="2"/>
  </r>
  <r>
    <x v="0"/>
    <x v="1"/>
    <x v="1"/>
    <x v="0"/>
    <x v="0"/>
    <x v="477"/>
    <x v="1033"/>
    <n v="13803.87"/>
    <x v="0"/>
    <x v="3"/>
    <x v="2"/>
  </r>
  <r>
    <x v="0"/>
    <x v="2"/>
    <x v="2"/>
    <x v="0"/>
    <x v="0"/>
    <x v="477"/>
    <x v="1033"/>
    <n v="97536.11"/>
    <x v="0"/>
    <x v="3"/>
    <x v="2"/>
  </r>
  <r>
    <x v="0"/>
    <x v="3"/>
    <x v="3"/>
    <x v="0"/>
    <x v="0"/>
    <x v="477"/>
    <x v="1033"/>
    <n v="16863.509999999998"/>
    <x v="0"/>
    <x v="3"/>
    <x v="2"/>
  </r>
  <r>
    <x v="0"/>
    <x v="4"/>
    <x v="4"/>
    <x v="0"/>
    <x v="0"/>
    <x v="477"/>
    <x v="1033"/>
    <n v="185027.58"/>
    <x v="0"/>
    <x v="3"/>
    <x v="2"/>
  </r>
  <r>
    <x v="0"/>
    <x v="0"/>
    <x v="0"/>
    <x v="0"/>
    <x v="0"/>
    <x v="68"/>
    <x v="1034"/>
    <n v="3791.2"/>
    <x v="0"/>
    <x v="3"/>
    <x v="2"/>
  </r>
  <r>
    <x v="0"/>
    <x v="1"/>
    <x v="1"/>
    <x v="0"/>
    <x v="0"/>
    <x v="68"/>
    <x v="1034"/>
    <n v="0"/>
    <x v="0"/>
    <x v="3"/>
    <x v="2"/>
  </r>
  <r>
    <x v="0"/>
    <x v="2"/>
    <x v="2"/>
    <x v="0"/>
    <x v="0"/>
    <x v="68"/>
    <x v="1034"/>
    <n v="68016.53"/>
    <x v="0"/>
    <x v="3"/>
    <x v="2"/>
  </r>
  <r>
    <x v="0"/>
    <x v="3"/>
    <x v="3"/>
    <x v="0"/>
    <x v="0"/>
    <x v="68"/>
    <x v="1034"/>
    <n v="610"/>
    <x v="0"/>
    <x v="3"/>
    <x v="2"/>
  </r>
  <r>
    <x v="0"/>
    <x v="4"/>
    <x v="4"/>
    <x v="0"/>
    <x v="0"/>
    <x v="68"/>
    <x v="1034"/>
    <n v="72417.73"/>
    <x v="0"/>
    <x v="3"/>
    <x v="2"/>
  </r>
  <r>
    <x v="0"/>
    <x v="0"/>
    <x v="0"/>
    <x v="0"/>
    <x v="0"/>
    <x v="478"/>
    <x v="1035"/>
    <n v="147833.22"/>
    <x v="0"/>
    <x v="3"/>
    <x v="1"/>
  </r>
  <r>
    <x v="0"/>
    <x v="1"/>
    <x v="1"/>
    <x v="0"/>
    <x v="0"/>
    <x v="478"/>
    <x v="1035"/>
    <n v="24384.78"/>
    <x v="0"/>
    <x v="3"/>
    <x v="1"/>
  </r>
  <r>
    <x v="0"/>
    <x v="2"/>
    <x v="2"/>
    <x v="0"/>
    <x v="0"/>
    <x v="478"/>
    <x v="1035"/>
    <n v="155108"/>
    <x v="0"/>
    <x v="3"/>
    <x v="1"/>
  </r>
  <r>
    <x v="0"/>
    <x v="3"/>
    <x v="3"/>
    <x v="0"/>
    <x v="0"/>
    <x v="478"/>
    <x v="1035"/>
    <n v="0"/>
    <x v="0"/>
    <x v="3"/>
    <x v="1"/>
  </r>
  <r>
    <x v="0"/>
    <x v="4"/>
    <x v="4"/>
    <x v="0"/>
    <x v="0"/>
    <x v="478"/>
    <x v="1035"/>
    <n v="327326"/>
    <x v="0"/>
    <x v="3"/>
    <x v="1"/>
  </r>
  <r>
    <x v="0"/>
    <x v="0"/>
    <x v="0"/>
    <x v="0"/>
    <x v="0"/>
    <x v="347"/>
    <x v="1036"/>
    <n v="61172.37"/>
    <x v="0"/>
    <x v="3"/>
    <x v="2"/>
  </r>
  <r>
    <x v="0"/>
    <x v="1"/>
    <x v="1"/>
    <x v="0"/>
    <x v="0"/>
    <x v="347"/>
    <x v="1036"/>
    <n v="10090.26"/>
    <x v="0"/>
    <x v="3"/>
    <x v="2"/>
  </r>
  <r>
    <x v="0"/>
    <x v="2"/>
    <x v="2"/>
    <x v="0"/>
    <x v="0"/>
    <x v="347"/>
    <x v="1036"/>
    <n v="51533.5"/>
    <x v="0"/>
    <x v="3"/>
    <x v="2"/>
  </r>
  <r>
    <x v="0"/>
    <x v="3"/>
    <x v="3"/>
    <x v="0"/>
    <x v="0"/>
    <x v="347"/>
    <x v="1036"/>
    <n v="0"/>
    <x v="0"/>
    <x v="3"/>
    <x v="2"/>
  </r>
  <r>
    <x v="0"/>
    <x v="4"/>
    <x v="4"/>
    <x v="0"/>
    <x v="0"/>
    <x v="347"/>
    <x v="1036"/>
    <n v="122796.13"/>
    <x v="0"/>
    <x v="3"/>
    <x v="2"/>
  </r>
  <r>
    <x v="0"/>
    <x v="0"/>
    <x v="0"/>
    <x v="0"/>
    <x v="0"/>
    <x v="353"/>
    <x v="1037"/>
    <n v="86660.85"/>
    <x v="0"/>
    <x v="3"/>
    <x v="2"/>
  </r>
  <r>
    <x v="0"/>
    <x v="1"/>
    <x v="1"/>
    <x v="0"/>
    <x v="0"/>
    <x v="353"/>
    <x v="1037"/>
    <n v="14294.52"/>
    <x v="0"/>
    <x v="3"/>
    <x v="2"/>
  </r>
  <r>
    <x v="0"/>
    <x v="2"/>
    <x v="2"/>
    <x v="0"/>
    <x v="0"/>
    <x v="353"/>
    <x v="1037"/>
    <n v="103574.5"/>
    <x v="0"/>
    <x v="3"/>
    <x v="2"/>
  </r>
  <r>
    <x v="0"/>
    <x v="3"/>
    <x v="3"/>
    <x v="0"/>
    <x v="0"/>
    <x v="353"/>
    <x v="1037"/>
    <n v="0"/>
    <x v="0"/>
    <x v="3"/>
    <x v="2"/>
  </r>
  <r>
    <x v="0"/>
    <x v="4"/>
    <x v="4"/>
    <x v="0"/>
    <x v="0"/>
    <x v="353"/>
    <x v="1037"/>
    <n v="204529.87"/>
    <x v="0"/>
    <x v="3"/>
    <x v="2"/>
  </r>
  <r>
    <x v="0"/>
    <x v="0"/>
    <x v="0"/>
    <x v="0"/>
    <x v="0"/>
    <x v="68"/>
    <x v="1038"/>
    <n v="0"/>
    <x v="0"/>
    <x v="3"/>
    <x v="2"/>
  </r>
  <r>
    <x v="0"/>
    <x v="1"/>
    <x v="1"/>
    <x v="0"/>
    <x v="0"/>
    <x v="68"/>
    <x v="1038"/>
    <n v="0"/>
    <x v="0"/>
    <x v="3"/>
    <x v="2"/>
  </r>
  <r>
    <x v="0"/>
    <x v="2"/>
    <x v="2"/>
    <x v="0"/>
    <x v="0"/>
    <x v="68"/>
    <x v="1038"/>
    <n v="0"/>
    <x v="0"/>
    <x v="3"/>
    <x v="2"/>
  </r>
  <r>
    <x v="0"/>
    <x v="3"/>
    <x v="3"/>
    <x v="0"/>
    <x v="0"/>
    <x v="68"/>
    <x v="1038"/>
    <n v="0"/>
    <x v="0"/>
    <x v="3"/>
    <x v="2"/>
  </r>
  <r>
    <x v="0"/>
    <x v="4"/>
    <x v="4"/>
    <x v="0"/>
    <x v="0"/>
    <x v="68"/>
    <x v="1038"/>
    <n v="0"/>
    <x v="0"/>
    <x v="3"/>
    <x v="2"/>
  </r>
  <r>
    <x v="0"/>
    <x v="0"/>
    <x v="0"/>
    <x v="0"/>
    <x v="0"/>
    <x v="479"/>
    <x v="1039"/>
    <n v="1703539.29"/>
    <x v="0"/>
    <x v="4"/>
    <x v="0"/>
  </r>
  <r>
    <x v="0"/>
    <x v="1"/>
    <x v="1"/>
    <x v="0"/>
    <x v="0"/>
    <x v="479"/>
    <x v="1039"/>
    <n v="569750.71"/>
    <x v="0"/>
    <x v="4"/>
    <x v="0"/>
  </r>
  <r>
    <x v="0"/>
    <x v="2"/>
    <x v="2"/>
    <x v="0"/>
    <x v="0"/>
    <x v="479"/>
    <x v="1039"/>
    <n v="7233655.9800000004"/>
    <x v="0"/>
    <x v="4"/>
    <x v="0"/>
  </r>
  <r>
    <x v="0"/>
    <x v="3"/>
    <x v="3"/>
    <x v="0"/>
    <x v="0"/>
    <x v="479"/>
    <x v="1039"/>
    <n v="281612.43"/>
    <x v="0"/>
    <x v="4"/>
    <x v="0"/>
  </r>
  <r>
    <x v="0"/>
    <x v="4"/>
    <x v="4"/>
    <x v="0"/>
    <x v="0"/>
    <x v="479"/>
    <x v="1039"/>
    <n v="9788558.4100000001"/>
    <x v="0"/>
    <x v="4"/>
    <x v="0"/>
  </r>
  <r>
    <x v="0"/>
    <x v="0"/>
    <x v="0"/>
    <x v="0"/>
    <x v="0"/>
    <x v="480"/>
    <x v="1040"/>
    <n v="1473640.66"/>
    <x v="0"/>
    <x v="4"/>
    <x v="1"/>
  </r>
  <r>
    <x v="0"/>
    <x v="1"/>
    <x v="1"/>
    <x v="0"/>
    <x v="0"/>
    <x v="480"/>
    <x v="1040"/>
    <n v="486192.19"/>
    <x v="0"/>
    <x v="4"/>
    <x v="1"/>
  </r>
  <r>
    <x v="0"/>
    <x v="2"/>
    <x v="2"/>
    <x v="0"/>
    <x v="0"/>
    <x v="480"/>
    <x v="1040"/>
    <n v="5236709.5599999996"/>
    <x v="0"/>
    <x v="4"/>
    <x v="1"/>
  </r>
  <r>
    <x v="0"/>
    <x v="3"/>
    <x v="3"/>
    <x v="0"/>
    <x v="0"/>
    <x v="480"/>
    <x v="1040"/>
    <n v="250878.56"/>
    <x v="0"/>
    <x v="4"/>
    <x v="1"/>
  </r>
  <r>
    <x v="0"/>
    <x v="4"/>
    <x v="4"/>
    <x v="0"/>
    <x v="0"/>
    <x v="480"/>
    <x v="1040"/>
    <n v="7447420.9700000007"/>
    <x v="0"/>
    <x v="4"/>
    <x v="1"/>
  </r>
  <r>
    <x v="0"/>
    <x v="0"/>
    <x v="0"/>
    <x v="0"/>
    <x v="0"/>
    <x v="481"/>
    <x v="1041"/>
    <n v="0"/>
    <x v="0"/>
    <x v="4"/>
    <x v="2"/>
  </r>
  <r>
    <x v="0"/>
    <x v="1"/>
    <x v="1"/>
    <x v="0"/>
    <x v="0"/>
    <x v="481"/>
    <x v="1041"/>
    <n v="278.60000000000002"/>
    <x v="0"/>
    <x v="4"/>
    <x v="2"/>
  </r>
  <r>
    <x v="0"/>
    <x v="2"/>
    <x v="2"/>
    <x v="0"/>
    <x v="0"/>
    <x v="481"/>
    <x v="1041"/>
    <n v="19179.060000000001"/>
    <x v="0"/>
    <x v="4"/>
    <x v="2"/>
  </r>
  <r>
    <x v="0"/>
    <x v="3"/>
    <x v="3"/>
    <x v="0"/>
    <x v="0"/>
    <x v="481"/>
    <x v="1041"/>
    <n v="293.97000000000003"/>
    <x v="0"/>
    <x v="4"/>
    <x v="2"/>
  </r>
  <r>
    <x v="0"/>
    <x v="4"/>
    <x v="4"/>
    <x v="0"/>
    <x v="0"/>
    <x v="481"/>
    <x v="1041"/>
    <n v="19751.63"/>
    <x v="0"/>
    <x v="4"/>
    <x v="2"/>
  </r>
  <r>
    <x v="0"/>
    <x v="0"/>
    <x v="0"/>
    <x v="0"/>
    <x v="0"/>
    <x v="5"/>
    <x v="1042"/>
    <n v="0"/>
    <x v="0"/>
    <x v="4"/>
    <x v="3"/>
  </r>
  <r>
    <x v="0"/>
    <x v="1"/>
    <x v="1"/>
    <x v="0"/>
    <x v="0"/>
    <x v="5"/>
    <x v="1042"/>
    <n v="0"/>
    <x v="0"/>
    <x v="4"/>
    <x v="3"/>
  </r>
  <r>
    <x v="0"/>
    <x v="2"/>
    <x v="2"/>
    <x v="0"/>
    <x v="0"/>
    <x v="5"/>
    <x v="1042"/>
    <n v="0"/>
    <x v="0"/>
    <x v="4"/>
    <x v="3"/>
  </r>
  <r>
    <x v="0"/>
    <x v="3"/>
    <x v="3"/>
    <x v="0"/>
    <x v="0"/>
    <x v="5"/>
    <x v="1042"/>
    <n v="0"/>
    <x v="0"/>
    <x v="4"/>
    <x v="3"/>
  </r>
  <r>
    <x v="0"/>
    <x v="4"/>
    <x v="4"/>
    <x v="0"/>
    <x v="0"/>
    <x v="5"/>
    <x v="1042"/>
    <n v="0"/>
    <x v="0"/>
    <x v="4"/>
    <x v="3"/>
  </r>
  <r>
    <x v="0"/>
    <x v="0"/>
    <x v="0"/>
    <x v="0"/>
    <x v="0"/>
    <x v="482"/>
    <x v="1043"/>
    <n v="0"/>
    <x v="0"/>
    <x v="4"/>
    <x v="3"/>
  </r>
  <r>
    <x v="0"/>
    <x v="1"/>
    <x v="1"/>
    <x v="0"/>
    <x v="0"/>
    <x v="482"/>
    <x v="1043"/>
    <n v="278.60000000000002"/>
    <x v="0"/>
    <x v="4"/>
    <x v="3"/>
  </r>
  <r>
    <x v="0"/>
    <x v="2"/>
    <x v="2"/>
    <x v="0"/>
    <x v="0"/>
    <x v="482"/>
    <x v="1043"/>
    <n v="19179.060000000001"/>
    <x v="0"/>
    <x v="4"/>
    <x v="3"/>
  </r>
  <r>
    <x v="0"/>
    <x v="3"/>
    <x v="3"/>
    <x v="0"/>
    <x v="0"/>
    <x v="482"/>
    <x v="1043"/>
    <n v="293.97000000000003"/>
    <x v="0"/>
    <x v="4"/>
    <x v="3"/>
  </r>
  <r>
    <x v="0"/>
    <x v="4"/>
    <x v="4"/>
    <x v="0"/>
    <x v="0"/>
    <x v="482"/>
    <x v="1043"/>
    <n v="19751.63"/>
    <x v="0"/>
    <x v="4"/>
    <x v="3"/>
  </r>
  <r>
    <x v="0"/>
    <x v="0"/>
    <x v="0"/>
    <x v="0"/>
    <x v="0"/>
    <x v="483"/>
    <x v="1044"/>
    <n v="0"/>
    <x v="0"/>
    <x v="4"/>
    <x v="3"/>
  </r>
  <r>
    <x v="0"/>
    <x v="1"/>
    <x v="1"/>
    <x v="0"/>
    <x v="0"/>
    <x v="483"/>
    <x v="1044"/>
    <n v="0"/>
    <x v="0"/>
    <x v="4"/>
    <x v="3"/>
  </r>
  <r>
    <x v="0"/>
    <x v="2"/>
    <x v="2"/>
    <x v="0"/>
    <x v="0"/>
    <x v="483"/>
    <x v="1044"/>
    <n v="0"/>
    <x v="0"/>
    <x v="4"/>
    <x v="3"/>
  </r>
  <r>
    <x v="0"/>
    <x v="3"/>
    <x v="3"/>
    <x v="0"/>
    <x v="0"/>
    <x v="483"/>
    <x v="1044"/>
    <n v="0"/>
    <x v="0"/>
    <x v="4"/>
    <x v="3"/>
  </r>
  <r>
    <x v="0"/>
    <x v="4"/>
    <x v="4"/>
    <x v="0"/>
    <x v="0"/>
    <x v="483"/>
    <x v="1044"/>
    <n v="0"/>
    <x v="0"/>
    <x v="4"/>
    <x v="3"/>
  </r>
  <r>
    <x v="0"/>
    <x v="0"/>
    <x v="0"/>
    <x v="0"/>
    <x v="0"/>
    <x v="17"/>
    <x v="1045"/>
    <n v="0"/>
    <x v="0"/>
    <x v="4"/>
    <x v="2"/>
  </r>
  <r>
    <x v="0"/>
    <x v="1"/>
    <x v="1"/>
    <x v="0"/>
    <x v="0"/>
    <x v="17"/>
    <x v="1045"/>
    <n v="0"/>
    <x v="0"/>
    <x v="4"/>
    <x v="2"/>
  </r>
  <r>
    <x v="0"/>
    <x v="2"/>
    <x v="2"/>
    <x v="0"/>
    <x v="0"/>
    <x v="17"/>
    <x v="1045"/>
    <n v="0"/>
    <x v="0"/>
    <x v="4"/>
    <x v="2"/>
  </r>
  <r>
    <x v="0"/>
    <x v="3"/>
    <x v="3"/>
    <x v="0"/>
    <x v="0"/>
    <x v="17"/>
    <x v="1045"/>
    <n v="0"/>
    <x v="0"/>
    <x v="4"/>
    <x v="2"/>
  </r>
  <r>
    <x v="0"/>
    <x v="4"/>
    <x v="4"/>
    <x v="0"/>
    <x v="0"/>
    <x v="17"/>
    <x v="1045"/>
    <n v="0"/>
    <x v="0"/>
    <x v="4"/>
    <x v="2"/>
  </r>
  <r>
    <x v="0"/>
    <x v="0"/>
    <x v="0"/>
    <x v="0"/>
    <x v="0"/>
    <x v="484"/>
    <x v="1046"/>
    <n v="0"/>
    <x v="0"/>
    <x v="4"/>
    <x v="3"/>
  </r>
  <r>
    <x v="0"/>
    <x v="1"/>
    <x v="1"/>
    <x v="0"/>
    <x v="0"/>
    <x v="484"/>
    <x v="1046"/>
    <n v="0"/>
    <x v="0"/>
    <x v="4"/>
    <x v="3"/>
  </r>
  <r>
    <x v="0"/>
    <x v="2"/>
    <x v="2"/>
    <x v="0"/>
    <x v="0"/>
    <x v="484"/>
    <x v="1046"/>
    <n v="0"/>
    <x v="0"/>
    <x v="4"/>
    <x v="3"/>
  </r>
  <r>
    <x v="0"/>
    <x v="3"/>
    <x v="3"/>
    <x v="0"/>
    <x v="0"/>
    <x v="484"/>
    <x v="1046"/>
    <n v="0"/>
    <x v="0"/>
    <x v="4"/>
    <x v="3"/>
  </r>
  <r>
    <x v="0"/>
    <x v="4"/>
    <x v="4"/>
    <x v="0"/>
    <x v="0"/>
    <x v="484"/>
    <x v="1046"/>
    <n v="0"/>
    <x v="0"/>
    <x v="4"/>
    <x v="3"/>
  </r>
  <r>
    <x v="0"/>
    <x v="0"/>
    <x v="0"/>
    <x v="0"/>
    <x v="0"/>
    <x v="318"/>
    <x v="1047"/>
    <n v="0"/>
    <x v="0"/>
    <x v="4"/>
    <x v="3"/>
  </r>
  <r>
    <x v="0"/>
    <x v="1"/>
    <x v="1"/>
    <x v="0"/>
    <x v="0"/>
    <x v="318"/>
    <x v="1047"/>
    <n v="0"/>
    <x v="0"/>
    <x v="4"/>
    <x v="3"/>
  </r>
  <r>
    <x v="0"/>
    <x v="2"/>
    <x v="2"/>
    <x v="0"/>
    <x v="0"/>
    <x v="318"/>
    <x v="1047"/>
    <n v="0"/>
    <x v="0"/>
    <x v="4"/>
    <x v="3"/>
  </r>
  <r>
    <x v="0"/>
    <x v="3"/>
    <x v="3"/>
    <x v="0"/>
    <x v="0"/>
    <x v="318"/>
    <x v="1047"/>
    <n v="0"/>
    <x v="0"/>
    <x v="4"/>
    <x v="3"/>
  </r>
  <r>
    <x v="0"/>
    <x v="4"/>
    <x v="4"/>
    <x v="0"/>
    <x v="0"/>
    <x v="318"/>
    <x v="1047"/>
    <n v="0"/>
    <x v="0"/>
    <x v="4"/>
    <x v="3"/>
  </r>
  <r>
    <x v="0"/>
    <x v="0"/>
    <x v="0"/>
    <x v="0"/>
    <x v="0"/>
    <x v="485"/>
    <x v="1048"/>
    <n v="72737.100000000006"/>
    <x v="0"/>
    <x v="4"/>
    <x v="2"/>
  </r>
  <r>
    <x v="0"/>
    <x v="1"/>
    <x v="1"/>
    <x v="0"/>
    <x v="0"/>
    <x v="485"/>
    <x v="1048"/>
    <n v="14892.67"/>
    <x v="0"/>
    <x v="4"/>
    <x v="2"/>
  </r>
  <r>
    <x v="0"/>
    <x v="2"/>
    <x v="2"/>
    <x v="0"/>
    <x v="0"/>
    <x v="485"/>
    <x v="1048"/>
    <n v="1164513.8400000001"/>
    <x v="0"/>
    <x v="4"/>
    <x v="2"/>
  </r>
  <r>
    <x v="0"/>
    <x v="3"/>
    <x v="3"/>
    <x v="0"/>
    <x v="0"/>
    <x v="485"/>
    <x v="1048"/>
    <n v="12611.73"/>
    <x v="0"/>
    <x v="4"/>
    <x v="2"/>
  </r>
  <r>
    <x v="0"/>
    <x v="4"/>
    <x v="4"/>
    <x v="0"/>
    <x v="0"/>
    <x v="485"/>
    <x v="1048"/>
    <n v="1264755.3400000001"/>
    <x v="0"/>
    <x v="4"/>
    <x v="2"/>
  </r>
  <r>
    <x v="0"/>
    <x v="0"/>
    <x v="0"/>
    <x v="0"/>
    <x v="0"/>
    <x v="486"/>
    <x v="1049"/>
    <n v="0"/>
    <x v="0"/>
    <x v="4"/>
    <x v="3"/>
  </r>
  <r>
    <x v="0"/>
    <x v="1"/>
    <x v="1"/>
    <x v="0"/>
    <x v="0"/>
    <x v="486"/>
    <x v="1049"/>
    <n v="14892.67"/>
    <x v="0"/>
    <x v="4"/>
    <x v="3"/>
  </r>
  <r>
    <x v="0"/>
    <x v="2"/>
    <x v="2"/>
    <x v="0"/>
    <x v="0"/>
    <x v="486"/>
    <x v="1049"/>
    <n v="0"/>
    <x v="0"/>
    <x v="4"/>
    <x v="3"/>
  </r>
  <r>
    <x v="0"/>
    <x v="3"/>
    <x v="3"/>
    <x v="0"/>
    <x v="0"/>
    <x v="486"/>
    <x v="1049"/>
    <n v="0"/>
    <x v="0"/>
    <x v="4"/>
    <x v="3"/>
  </r>
  <r>
    <x v="0"/>
    <x v="4"/>
    <x v="4"/>
    <x v="0"/>
    <x v="0"/>
    <x v="486"/>
    <x v="1049"/>
    <n v="14892.67"/>
    <x v="0"/>
    <x v="4"/>
    <x v="3"/>
  </r>
  <r>
    <x v="0"/>
    <x v="0"/>
    <x v="0"/>
    <x v="0"/>
    <x v="0"/>
    <x v="174"/>
    <x v="1050"/>
    <n v="71431.679999999993"/>
    <x v="0"/>
    <x v="4"/>
    <x v="3"/>
  </r>
  <r>
    <x v="0"/>
    <x v="1"/>
    <x v="1"/>
    <x v="0"/>
    <x v="0"/>
    <x v="174"/>
    <x v="1050"/>
    <n v="0"/>
    <x v="0"/>
    <x v="4"/>
    <x v="3"/>
  </r>
  <r>
    <x v="0"/>
    <x v="2"/>
    <x v="2"/>
    <x v="0"/>
    <x v="0"/>
    <x v="174"/>
    <x v="1050"/>
    <n v="256520.88"/>
    <x v="0"/>
    <x v="4"/>
    <x v="3"/>
  </r>
  <r>
    <x v="0"/>
    <x v="3"/>
    <x v="3"/>
    <x v="0"/>
    <x v="0"/>
    <x v="174"/>
    <x v="1050"/>
    <n v="12000.71"/>
    <x v="0"/>
    <x v="4"/>
    <x v="3"/>
  </r>
  <r>
    <x v="0"/>
    <x v="4"/>
    <x v="4"/>
    <x v="0"/>
    <x v="0"/>
    <x v="174"/>
    <x v="1050"/>
    <n v="339953.27"/>
    <x v="0"/>
    <x v="4"/>
    <x v="3"/>
  </r>
  <r>
    <x v="0"/>
    <x v="0"/>
    <x v="0"/>
    <x v="0"/>
    <x v="0"/>
    <x v="175"/>
    <x v="1051"/>
    <n v="0"/>
    <x v="0"/>
    <x v="4"/>
    <x v="3"/>
  </r>
  <r>
    <x v="0"/>
    <x v="1"/>
    <x v="1"/>
    <x v="0"/>
    <x v="0"/>
    <x v="175"/>
    <x v="1051"/>
    <n v="0"/>
    <x v="0"/>
    <x v="4"/>
    <x v="3"/>
  </r>
  <r>
    <x v="0"/>
    <x v="2"/>
    <x v="2"/>
    <x v="0"/>
    <x v="0"/>
    <x v="175"/>
    <x v="1051"/>
    <n v="907077.38"/>
    <x v="0"/>
    <x v="4"/>
    <x v="3"/>
  </r>
  <r>
    <x v="0"/>
    <x v="3"/>
    <x v="3"/>
    <x v="0"/>
    <x v="0"/>
    <x v="175"/>
    <x v="1051"/>
    <n v="310"/>
    <x v="0"/>
    <x v="4"/>
    <x v="3"/>
  </r>
  <r>
    <x v="0"/>
    <x v="4"/>
    <x v="4"/>
    <x v="0"/>
    <x v="0"/>
    <x v="175"/>
    <x v="1051"/>
    <n v="907387.38"/>
    <x v="0"/>
    <x v="4"/>
    <x v="3"/>
  </r>
  <r>
    <x v="0"/>
    <x v="0"/>
    <x v="0"/>
    <x v="0"/>
    <x v="0"/>
    <x v="63"/>
    <x v="1052"/>
    <n v="1305.42"/>
    <x v="0"/>
    <x v="4"/>
    <x v="3"/>
  </r>
  <r>
    <x v="0"/>
    <x v="1"/>
    <x v="1"/>
    <x v="0"/>
    <x v="0"/>
    <x v="63"/>
    <x v="1052"/>
    <n v="0"/>
    <x v="0"/>
    <x v="4"/>
    <x v="3"/>
  </r>
  <r>
    <x v="0"/>
    <x v="2"/>
    <x v="2"/>
    <x v="0"/>
    <x v="0"/>
    <x v="63"/>
    <x v="1052"/>
    <n v="915.58"/>
    <x v="0"/>
    <x v="4"/>
    <x v="3"/>
  </r>
  <r>
    <x v="0"/>
    <x v="3"/>
    <x v="3"/>
    <x v="0"/>
    <x v="0"/>
    <x v="63"/>
    <x v="1052"/>
    <n v="301.02"/>
    <x v="0"/>
    <x v="4"/>
    <x v="3"/>
  </r>
  <r>
    <x v="0"/>
    <x v="4"/>
    <x v="4"/>
    <x v="0"/>
    <x v="0"/>
    <x v="63"/>
    <x v="1052"/>
    <n v="2522.02"/>
    <x v="0"/>
    <x v="4"/>
    <x v="3"/>
  </r>
  <r>
    <x v="0"/>
    <x v="0"/>
    <x v="0"/>
    <x v="0"/>
    <x v="0"/>
    <x v="487"/>
    <x v="1053"/>
    <n v="1400903.56"/>
    <x v="0"/>
    <x v="4"/>
    <x v="2"/>
  </r>
  <r>
    <x v="0"/>
    <x v="1"/>
    <x v="1"/>
    <x v="0"/>
    <x v="0"/>
    <x v="487"/>
    <x v="1053"/>
    <n v="471020.92"/>
    <x v="0"/>
    <x v="4"/>
    <x v="2"/>
  </r>
  <r>
    <x v="0"/>
    <x v="2"/>
    <x v="2"/>
    <x v="0"/>
    <x v="0"/>
    <x v="487"/>
    <x v="1053"/>
    <n v="3965083.61"/>
    <x v="0"/>
    <x v="4"/>
    <x v="2"/>
  </r>
  <r>
    <x v="0"/>
    <x v="3"/>
    <x v="3"/>
    <x v="0"/>
    <x v="0"/>
    <x v="487"/>
    <x v="1053"/>
    <n v="237889.03"/>
    <x v="0"/>
    <x v="4"/>
    <x v="2"/>
  </r>
  <r>
    <x v="0"/>
    <x v="4"/>
    <x v="4"/>
    <x v="0"/>
    <x v="0"/>
    <x v="487"/>
    <x v="1053"/>
    <n v="6074897.1200000001"/>
    <x v="0"/>
    <x v="4"/>
    <x v="2"/>
  </r>
  <r>
    <x v="0"/>
    <x v="0"/>
    <x v="0"/>
    <x v="0"/>
    <x v="0"/>
    <x v="177"/>
    <x v="1054"/>
    <n v="41175.589999999997"/>
    <x v="0"/>
    <x v="4"/>
    <x v="3"/>
  </r>
  <r>
    <x v="0"/>
    <x v="1"/>
    <x v="1"/>
    <x v="0"/>
    <x v="0"/>
    <x v="177"/>
    <x v="1054"/>
    <n v="4200.43"/>
    <x v="0"/>
    <x v="4"/>
    <x v="3"/>
  </r>
  <r>
    <x v="0"/>
    <x v="2"/>
    <x v="2"/>
    <x v="0"/>
    <x v="0"/>
    <x v="177"/>
    <x v="1054"/>
    <n v="537462.79"/>
    <x v="0"/>
    <x v="4"/>
    <x v="3"/>
  </r>
  <r>
    <x v="0"/>
    <x v="3"/>
    <x v="3"/>
    <x v="0"/>
    <x v="0"/>
    <x v="177"/>
    <x v="1054"/>
    <n v="0"/>
    <x v="0"/>
    <x v="4"/>
    <x v="3"/>
  </r>
  <r>
    <x v="0"/>
    <x v="4"/>
    <x v="4"/>
    <x v="0"/>
    <x v="0"/>
    <x v="177"/>
    <x v="1054"/>
    <n v="582838.81000000006"/>
    <x v="0"/>
    <x v="4"/>
    <x v="3"/>
  </r>
  <r>
    <x v="0"/>
    <x v="0"/>
    <x v="0"/>
    <x v="0"/>
    <x v="0"/>
    <x v="178"/>
    <x v="1055"/>
    <n v="202138.04"/>
    <x v="0"/>
    <x v="4"/>
    <x v="3"/>
  </r>
  <r>
    <x v="0"/>
    <x v="1"/>
    <x v="1"/>
    <x v="0"/>
    <x v="0"/>
    <x v="178"/>
    <x v="1055"/>
    <n v="236132.15"/>
    <x v="0"/>
    <x v="4"/>
    <x v="3"/>
  </r>
  <r>
    <x v="0"/>
    <x v="2"/>
    <x v="2"/>
    <x v="0"/>
    <x v="0"/>
    <x v="178"/>
    <x v="1055"/>
    <n v="830642.61"/>
    <x v="0"/>
    <x v="4"/>
    <x v="3"/>
  </r>
  <r>
    <x v="0"/>
    <x v="3"/>
    <x v="3"/>
    <x v="0"/>
    <x v="0"/>
    <x v="178"/>
    <x v="1055"/>
    <n v="66814.179999999993"/>
    <x v="0"/>
    <x v="4"/>
    <x v="3"/>
  </r>
  <r>
    <x v="0"/>
    <x v="4"/>
    <x v="4"/>
    <x v="0"/>
    <x v="0"/>
    <x v="178"/>
    <x v="1055"/>
    <n v="1335726.98"/>
    <x v="0"/>
    <x v="4"/>
    <x v="3"/>
  </r>
  <r>
    <x v="0"/>
    <x v="0"/>
    <x v="0"/>
    <x v="0"/>
    <x v="0"/>
    <x v="179"/>
    <x v="1056"/>
    <n v="959056.66"/>
    <x v="0"/>
    <x v="4"/>
    <x v="3"/>
  </r>
  <r>
    <x v="0"/>
    <x v="1"/>
    <x v="1"/>
    <x v="0"/>
    <x v="0"/>
    <x v="179"/>
    <x v="1056"/>
    <n v="132371.78"/>
    <x v="0"/>
    <x v="4"/>
    <x v="3"/>
  </r>
  <r>
    <x v="0"/>
    <x v="2"/>
    <x v="2"/>
    <x v="0"/>
    <x v="0"/>
    <x v="179"/>
    <x v="1056"/>
    <n v="1410121"/>
    <x v="0"/>
    <x v="4"/>
    <x v="3"/>
  </r>
  <r>
    <x v="0"/>
    <x v="3"/>
    <x v="3"/>
    <x v="0"/>
    <x v="0"/>
    <x v="179"/>
    <x v="1056"/>
    <n v="47338.41"/>
    <x v="0"/>
    <x v="4"/>
    <x v="3"/>
  </r>
  <r>
    <x v="0"/>
    <x v="4"/>
    <x v="4"/>
    <x v="0"/>
    <x v="0"/>
    <x v="179"/>
    <x v="1056"/>
    <n v="2548887.85"/>
    <x v="0"/>
    <x v="4"/>
    <x v="3"/>
  </r>
  <r>
    <x v="0"/>
    <x v="0"/>
    <x v="0"/>
    <x v="0"/>
    <x v="0"/>
    <x v="180"/>
    <x v="1057"/>
    <n v="5786.36"/>
    <x v="0"/>
    <x v="4"/>
    <x v="3"/>
  </r>
  <r>
    <x v="0"/>
    <x v="1"/>
    <x v="1"/>
    <x v="0"/>
    <x v="0"/>
    <x v="180"/>
    <x v="1057"/>
    <n v="93310.97"/>
    <x v="0"/>
    <x v="4"/>
    <x v="3"/>
  </r>
  <r>
    <x v="0"/>
    <x v="2"/>
    <x v="2"/>
    <x v="0"/>
    <x v="0"/>
    <x v="180"/>
    <x v="1057"/>
    <n v="675714.84"/>
    <x v="0"/>
    <x v="4"/>
    <x v="3"/>
  </r>
  <r>
    <x v="0"/>
    <x v="3"/>
    <x v="3"/>
    <x v="0"/>
    <x v="0"/>
    <x v="180"/>
    <x v="1057"/>
    <n v="91302.88"/>
    <x v="0"/>
    <x v="4"/>
    <x v="3"/>
  </r>
  <r>
    <x v="0"/>
    <x v="4"/>
    <x v="4"/>
    <x v="0"/>
    <x v="0"/>
    <x v="180"/>
    <x v="1057"/>
    <n v="866115.05"/>
    <x v="0"/>
    <x v="4"/>
    <x v="3"/>
  </r>
  <r>
    <x v="0"/>
    <x v="0"/>
    <x v="0"/>
    <x v="0"/>
    <x v="0"/>
    <x v="181"/>
    <x v="1058"/>
    <n v="0"/>
    <x v="0"/>
    <x v="4"/>
    <x v="3"/>
  </r>
  <r>
    <x v="0"/>
    <x v="1"/>
    <x v="1"/>
    <x v="0"/>
    <x v="0"/>
    <x v="181"/>
    <x v="1058"/>
    <n v="0"/>
    <x v="0"/>
    <x v="4"/>
    <x v="3"/>
  </r>
  <r>
    <x v="0"/>
    <x v="2"/>
    <x v="2"/>
    <x v="0"/>
    <x v="0"/>
    <x v="181"/>
    <x v="1058"/>
    <n v="11574.46"/>
    <x v="0"/>
    <x v="4"/>
    <x v="3"/>
  </r>
  <r>
    <x v="0"/>
    <x v="3"/>
    <x v="3"/>
    <x v="0"/>
    <x v="0"/>
    <x v="181"/>
    <x v="1058"/>
    <n v="0"/>
    <x v="0"/>
    <x v="4"/>
    <x v="3"/>
  </r>
  <r>
    <x v="0"/>
    <x v="4"/>
    <x v="4"/>
    <x v="0"/>
    <x v="0"/>
    <x v="181"/>
    <x v="1058"/>
    <n v="11574.46"/>
    <x v="0"/>
    <x v="4"/>
    <x v="3"/>
  </r>
  <r>
    <x v="0"/>
    <x v="0"/>
    <x v="0"/>
    <x v="0"/>
    <x v="0"/>
    <x v="182"/>
    <x v="1059"/>
    <n v="181030.51"/>
    <x v="0"/>
    <x v="4"/>
    <x v="3"/>
  </r>
  <r>
    <x v="0"/>
    <x v="1"/>
    <x v="1"/>
    <x v="0"/>
    <x v="0"/>
    <x v="182"/>
    <x v="1059"/>
    <n v="0"/>
    <x v="0"/>
    <x v="4"/>
    <x v="3"/>
  </r>
  <r>
    <x v="0"/>
    <x v="2"/>
    <x v="2"/>
    <x v="0"/>
    <x v="0"/>
    <x v="182"/>
    <x v="1059"/>
    <n v="355263.31"/>
    <x v="0"/>
    <x v="4"/>
    <x v="3"/>
  </r>
  <r>
    <x v="0"/>
    <x v="3"/>
    <x v="3"/>
    <x v="0"/>
    <x v="0"/>
    <x v="182"/>
    <x v="1059"/>
    <n v="0"/>
    <x v="0"/>
    <x v="4"/>
    <x v="3"/>
  </r>
  <r>
    <x v="0"/>
    <x v="4"/>
    <x v="4"/>
    <x v="0"/>
    <x v="0"/>
    <x v="182"/>
    <x v="1059"/>
    <n v="536293.81999999995"/>
    <x v="0"/>
    <x v="4"/>
    <x v="3"/>
  </r>
  <r>
    <x v="0"/>
    <x v="0"/>
    <x v="0"/>
    <x v="0"/>
    <x v="0"/>
    <x v="183"/>
    <x v="1060"/>
    <n v="0"/>
    <x v="0"/>
    <x v="4"/>
    <x v="3"/>
  </r>
  <r>
    <x v="0"/>
    <x v="1"/>
    <x v="1"/>
    <x v="0"/>
    <x v="0"/>
    <x v="183"/>
    <x v="1060"/>
    <n v="0"/>
    <x v="0"/>
    <x v="4"/>
    <x v="3"/>
  </r>
  <r>
    <x v="0"/>
    <x v="2"/>
    <x v="2"/>
    <x v="0"/>
    <x v="0"/>
    <x v="183"/>
    <x v="1060"/>
    <n v="44410.37"/>
    <x v="0"/>
    <x v="4"/>
    <x v="3"/>
  </r>
  <r>
    <x v="0"/>
    <x v="3"/>
    <x v="3"/>
    <x v="0"/>
    <x v="0"/>
    <x v="183"/>
    <x v="1060"/>
    <n v="0"/>
    <x v="0"/>
    <x v="4"/>
    <x v="3"/>
  </r>
  <r>
    <x v="0"/>
    <x v="4"/>
    <x v="4"/>
    <x v="0"/>
    <x v="0"/>
    <x v="183"/>
    <x v="1060"/>
    <n v="44410.37"/>
    <x v="0"/>
    <x v="4"/>
    <x v="3"/>
  </r>
  <r>
    <x v="0"/>
    <x v="0"/>
    <x v="0"/>
    <x v="0"/>
    <x v="0"/>
    <x v="184"/>
    <x v="1061"/>
    <n v="0"/>
    <x v="0"/>
    <x v="4"/>
    <x v="3"/>
  </r>
  <r>
    <x v="0"/>
    <x v="1"/>
    <x v="1"/>
    <x v="0"/>
    <x v="0"/>
    <x v="184"/>
    <x v="1061"/>
    <n v="0"/>
    <x v="0"/>
    <x v="4"/>
    <x v="3"/>
  </r>
  <r>
    <x v="0"/>
    <x v="2"/>
    <x v="2"/>
    <x v="0"/>
    <x v="0"/>
    <x v="184"/>
    <x v="1061"/>
    <n v="0"/>
    <x v="0"/>
    <x v="4"/>
    <x v="3"/>
  </r>
  <r>
    <x v="0"/>
    <x v="3"/>
    <x v="3"/>
    <x v="0"/>
    <x v="0"/>
    <x v="184"/>
    <x v="1061"/>
    <n v="0"/>
    <x v="0"/>
    <x v="4"/>
    <x v="3"/>
  </r>
  <r>
    <x v="0"/>
    <x v="4"/>
    <x v="4"/>
    <x v="0"/>
    <x v="0"/>
    <x v="184"/>
    <x v="1061"/>
    <n v="0"/>
    <x v="0"/>
    <x v="4"/>
    <x v="3"/>
  </r>
  <r>
    <x v="0"/>
    <x v="0"/>
    <x v="0"/>
    <x v="0"/>
    <x v="0"/>
    <x v="185"/>
    <x v="1062"/>
    <n v="0"/>
    <x v="0"/>
    <x v="4"/>
    <x v="3"/>
  </r>
  <r>
    <x v="0"/>
    <x v="1"/>
    <x v="1"/>
    <x v="0"/>
    <x v="0"/>
    <x v="185"/>
    <x v="1062"/>
    <n v="1445.56"/>
    <x v="0"/>
    <x v="4"/>
    <x v="3"/>
  </r>
  <r>
    <x v="0"/>
    <x v="2"/>
    <x v="2"/>
    <x v="0"/>
    <x v="0"/>
    <x v="185"/>
    <x v="1062"/>
    <n v="10007.129999999999"/>
    <x v="0"/>
    <x v="4"/>
    <x v="3"/>
  </r>
  <r>
    <x v="0"/>
    <x v="3"/>
    <x v="3"/>
    <x v="0"/>
    <x v="0"/>
    <x v="185"/>
    <x v="1062"/>
    <n v="30467.91"/>
    <x v="0"/>
    <x v="4"/>
    <x v="3"/>
  </r>
  <r>
    <x v="0"/>
    <x v="4"/>
    <x v="4"/>
    <x v="0"/>
    <x v="0"/>
    <x v="185"/>
    <x v="1062"/>
    <n v="41920.6"/>
    <x v="0"/>
    <x v="4"/>
    <x v="3"/>
  </r>
  <r>
    <x v="0"/>
    <x v="0"/>
    <x v="0"/>
    <x v="0"/>
    <x v="0"/>
    <x v="186"/>
    <x v="1063"/>
    <n v="0"/>
    <x v="0"/>
    <x v="4"/>
    <x v="3"/>
  </r>
  <r>
    <x v="0"/>
    <x v="1"/>
    <x v="1"/>
    <x v="0"/>
    <x v="0"/>
    <x v="186"/>
    <x v="1063"/>
    <n v="117.33"/>
    <x v="0"/>
    <x v="4"/>
    <x v="3"/>
  </r>
  <r>
    <x v="0"/>
    <x v="2"/>
    <x v="2"/>
    <x v="0"/>
    <x v="0"/>
    <x v="186"/>
    <x v="1063"/>
    <n v="0"/>
    <x v="0"/>
    <x v="4"/>
    <x v="3"/>
  </r>
  <r>
    <x v="0"/>
    <x v="3"/>
    <x v="3"/>
    <x v="0"/>
    <x v="0"/>
    <x v="186"/>
    <x v="1063"/>
    <n v="0"/>
    <x v="0"/>
    <x v="4"/>
    <x v="3"/>
  </r>
  <r>
    <x v="0"/>
    <x v="4"/>
    <x v="4"/>
    <x v="0"/>
    <x v="0"/>
    <x v="186"/>
    <x v="1063"/>
    <n v="117.33"/>
    <x v="0"/>
    <x v="4"/>
    <x v="3"/>
  </r>
  <r>
    <x v="0"/>
    <x v="0"/>
    <x v="0"/>
    <x v="0"/>
    <x v="0"/>
    <x v="488"/>
    <x v="1064"/>
    <n v="11716.4"/>
    <x v="0"/>
    <x v="4"/>
    <x v="3"/>
  </r>
  <r>
    <x v="0"/>
    <x v="1"/>
    <x v="1"/>
    <x v="0"/>
    <x v="0"/>
    <x v="488"/>
    <x v="1064"/>
    <n v="3442.7"/>
    <x v="0"/>
    <x v="4"/>
    <x v="3"/>
  </r>
  <r>
    <x v="0"/>
    <x v="2"/>
    <x v="2"/>
    <x v="0"/>
    <x v="0"/>
    <x v="488"/>
    <x v="1064"/>
    <n v="89887.1"/>
    <x v="0"/>
    <x v="4"/>
    <x v="3"/>
  </r>
  <r>
    <x v="0"/>
    <x v="3"/>
    <x v="3"/>
    <x v="0"/>
    <x v="0"/>
    <x v="488"/>
    <x v="1064"/>
    <n v="1965.65"/>
    <x v="0"/>
    <x v="4"/>
    <x v="3"/>
  </r>
  <r>
    <x v="0"/>
    <x v="4"/>
    <x v="4"/>
    <x v="0"/>
    <x v="0"/>
    <x v="488"/>
    <x v="1064"/>
    <n v="107011.85"/>
    <x v="0"/>
    <x v="4"/>
    <x v="3"/>
  </r>
  <r>
    <x v="0"/>
    <x v="0"/>
    <x v="0"/>
    <x v="0"/>
    <x v="0"/>
    <x v="489"/>
    <x v="1065"/>
    <n v="0"/>
    <x v="0"/>
    <x v="4"/>
    <x v="3"/>
  </r>
  <r>
    <x v="0"/>
    <x v="1"/>
    <x v="1"/>
    <x v="0"/>
    <x v="0"/>
    <x v="489"/>
    <x v="1065"/>
    <n v="0"/>
    <x v="0"/>
    <x v="4"/>
    <x v="3"/>
  </r>
  <r>
    <x v="0"/>
    <x v="2"/>
    <x v="2"/>
    <x v="0"/>
    <x v="0"/>
    <x v="489"/>
    <x v="1065"/>
    <n v="0"/>
    <x v="0"/>
    <x v="4"/>
    <x v="3"/>
  </r>
  <r>
    <x v="0"/>
    <x v="3"/>
    <x v="3"/>
    <x v="0"/>
    <x v="0"/>
    <x v="489"/>
    <x v="1065"/>
    <n v="0"/>
    <x v="0"/>
    <x v="4"/>
    <x v="3"/>
  </r>
  <r>
    <x v="0"/>
    <x v="4"/>
    <x v="4"/>
    <x v="0"/>
    <x v="0"/>
    <x v="489"/>
    <x v="1065"/>
    <n v="0"/>
    <x v="0"/>
    <x v="4"/>
    <x v="3"/>
  </r>
  <r>
    <x v="0"/>
    <x v="0"/>
    <x v="0"/>
    <x v="0"/>
    <x v="0"/>
    <x v="490"/>
    <x v="1066"/>
    <n v="0"/>
    <x v="0"/>
    <x v="4"/>
    <x v="2"/>
  </r>
  <r>
    <x v="0"/>
    <x v="1"/>
    <x v="1"/>
    <x v="0"/>
    <x v="0"/>
    <x v="490"/>
    <x v="1066"/>
    <n v="0"/>
    <x v="0"/>
    <x v="4"/>
    <x v="2"/>
  </r>
  <r>
    <x v="0"/>
    <x v="2"/>
    <x v="2"/>
    <x v="0"/>
    <x v="0"/>
    <x v="490"/>
    <x v="1066"/>
    <n v="87933.05"/>
    <x v="0"/>
    <x v="4"/>
    <x v="2"/>
  </r>
  <r>
    <x v="0"/>
    <x v="3"/>
    <x v="3"/>
    <x v="0"/>
    <x v="0"/>
    <x v="490"/>
    <x v="1066"/>
    <n v="83.83"/>
    <x v="0"/>
    <x v="4"/>
    <x v="2"/>
  </r>
  <r>
    <x v="0"/>
    <x v="4"/>
    <x v="4"/>
    <x v="0"/>
    <x v="0"/>
    <x v="490"/>
    <x v="1066"/>
    <n v="88016.88"/>
    <x v="0"/>
    <x v="4"/>
    <x v="2"/>
  </r>
  <r>
    <x v="0"/>
    <x v="0"/>
    <x v="0"/>
    <x v="0"/>
    <x v="0"/>
    <x v="491"/>
    <x v="1067"/>
    <n v="0"/>
    <x v="0"/>
    <x v="4"/>
    <x v="3"/>
  </r>
  <r>
    <x v="0"/>
    <x v="1"/>
    <x v="1"/>
    <x v="0"/>
    <x v="0"/>
    <x v="491"/>
    <x v="1067"/>
    <n v="0"/>
    <x v="0"/>
    <x v="4"/>
    <x v="3"/>
  </r>
  <r>
    <x v="0"/>
    <x v="2"/>
    <x v="2"/>
    <x v="0"/>
    <x v="0"/>
    <x v="491"/>
    <x v="1067"/>
    <n v="0"/>
    <x v="0"/>
    <x v="4"/>
    <x v="3"/>
  </r>
  <r>
    <x v="0"/>
    <x v="3"/>
    <x v="3"/>
    <x v="0"/>
    <x v="0"/>
    <x v="491"/>
    <x v="1067"/>
    <n v="0"/>
    <x v="0"/>
    <x v="4"/>
    <x v="3"/>
  </r>
  <r>
    <x v="0"/>
    <x v="4"/>
    <x v="4"/>
    <x v="0"/>
    <x v="0"/>
    <x v="491"/>
    <x v="1067"/>
    <n v="0"/>
    <x v="0"/>
    <x v="4"/>
    <x v="3"/>
  </r>
  <r>
    <x v="0"/>
    <x v="0"/>
    <x v="0"/>
    <x v="0"/>
    <x v="0"/>
    <x v="68"/>
    <x v="1068"/>
    <n v="0"/>
    <x v="0"/>
    <x v="4"/>
    <x v="3"/>
  </r>
  <r>
    <x v="0"/>
    <x v="1"/>
    <x v="1"/>
    <x v="0"/>
    <x v="0"/>
    <x v="68"/>
    <x v="1068"/>
    <n v="0"/>
    <x v="0"/>
    <x v="4"/>
    <x v="3"/>
  </r>
  <r>
    <x v="0"/>
    <x v="2"/>
    <x v="2"/>
    <x v="0"/>
    <x v="0"/>
    <x v="68"/>
    <x v="1068"/>
    <n v="87933.05"/>
    <x v="0"/>
    <x v="4"/>
    <x v="3"/>
  </r>
  <r>
    <x v="0"/>
    <x v="3"/>
    <x v="3"/>
    <x v="0"/>
    <x v="0"/>
    <x v="68"/>
    <x v="1068"/>
    <n v="83.83"/>
    <x v="0"/>
    <x v="4"/>
    <x v="3"/>
  </r>
  <r>
    <x v="0"/>
    <x v="4"/>
    <x v="4"/>
    <x v="0"/>
    <x v="0"/>
    <x v="68"/>
    <x v="1068"/>
    <n v="88016.88"/>
    <x v="0"/>
    <x v="4"/>
    <x v="3"/>
  </r>
  <r>
    <x v="0"/>
    <x v="0"/>
    <x v="0"/>
    <x v="0"/>
    <x v="0"/>
    <x v="492"/>
    <x v="1069"/>
    <n v="11717.65"/>
    <x v="0"/>
    <x v="4"/>
    <x v="1"/>
  </r>
  <r>
    <x v="0"/>
    <x v="1"/>
    <x v="1"/>
    <x v="0"/>
    <x v="0"/>
    <x v="492"/>
    <x v="1069"/>
    <n v="674.65"/>
    <x v="0"/>
    <x v="4"/>
    <x v="1"/>
  </r>
  <r>
    <x v="0"/>
    <x v="2"/>
    <x v="2"/>
    <x v="0"/>
    <x v="0"/>
    <x v="492"/>
    <x v="1069"/>
    <n v="239872.29"/>
    <x v="0"/>
    <x v="4"/>
    <x v="1"/>
  </r>
  <r>
    <x v="0"/>
    <x v="3"/>
    <x v="3"/>
    <x v="0"/>
    <x v="0"/>
    <x v="492"/>
    <x v="1069"/>
    <n v="0"/>
    <x v="0"/>
    <x v="4"/>
    <x v="1"/>
  </r>
  <r>
    <x v="0"/>
    <x v="4"/>
    <x v="4"/>
    <x v="0"/>
    <x v="0"/>
    <x v="492"/>
    <x v="1069"/>
    <n v="252264.59"/>
    <x v="0"/>
    <x v="4"/>
    <x v="1"/>
  </r>
  <r>
    <x v="0"/>
    <x v="0"/>
    <x v="0"/>
    <x v="0"/>
    <x v="0"/>
    <x v="72"/>
    <x v="1070"/>
    <n v="0"/>
    <x v="0"/>
    <x v="4"/>
    <x v="2"/>
  </r>
  <r>
    <x v="0"/>
    <x v="1"/>
    <x v="1"/>
    <x v="0"/>
    <x v="0"/>
    <x v="72"/>
    <x v="1070"/>
    <n v="21.83"/>
    <x v="0"/>
    <x v="4"/>
    <x v="2"/>
  </r>
  <r>
    <x v="0"/>
    <x v="2"/>
    <x v="2"/>
    <x v="0"/>
    <x v="0"/>
    <x v="72"/>
    <x v="1070"/>
    <n v="95823.79"/>
    <x v="0"/>
    <x v="4"/>
    <x v="2"/>
  </r>
  <r>
    <x v="0"/>
    <x v="3"/>
    <x v="3"/>
    <x v="0"/>
    <x v="0"/>
    <x v="72"/>
    <x v="1070"/>
    <n v="0"/>
    <x v="0"/>
    <x v="4"/>
    <x v="2"/>
  </r>
  <r>
    <x v="0"/>
    <x v="4"/>
    <x v="4"/>
    <x v="0"/>
    <x v="0"/>
    <x v="72"/>
    <x v="1070"/>
    <n v="95845.62"/>
    <x v="0"/>
    <x v="4"/>
    <x v="2"/>
  </r>
  <r>
    <x v="0"/>
    <x v="0"/>
    <x v="0"/>
    <x v="0"/>
    <x v="0"/>
    <x v="166"/>
    <x v="1071"/>
    <n v="0"/>
    <x v="0"/>
    <x v="4"/>
    <x v="2"/>
  </r>
  <r>
    <x v="0"/>
    <x v="1"/>
    <x v="1"/>
    <x v="0"/>
    <x v="0"/>
    <x v="166"/>
    <x v="1071"/>
    <n v="0"/>
    <x v="0"/>
    <x v="4"/>
    <x v="2"/>
  </r>
  <r>
    <x v="0"/>
    <x v="2"/>
    <x v="2"/>
    <x v="0"/>
    <x v="0"/>
    <x v="166"/>
    <x v="1071"/>
    <n v="0"/>
    <x v="0"/>
    <x v="4"/>
    <x v="2"/>
  </r>
  <r>
    <x v="0"/>
    <x v="3"/>
    <x v="3"/>
    <x v="0"/>
    <x v="0"/>
    <x v="166"/>
    <x v="1071"/>
    <n v="0"/>
    <x v="0"/>
    <x v="4"/>
    <x v="2"/>
  </r>
  <r>
    <x v="0"/>
    <x v="4"/>
    <x v="4"/>
    <x v="0"/>
    <x v="0"/>
    <x v="166"/>
    <x v="1071"/>
    <n v="0"/>
    <x v="0"/>
    <x v="4"/>
    <x v="2"/>
  </r>
  <r>
    <x v="0"/>
    <x v="0"/>
    <x v="0"/>
    <x v="0"/>
    <x v="0"/>
    <x v="493"/>
    <x v="1072"/>
    <n v="0"/>
    <x v="0"/>
    <x v="4"/>
    <x v="2"/>
  </r>
  <r>
    <x v="0"/>
    <x v="1"/>
    <x v="1"/>
    <x v="0"/>
    <x v="0"/>
    <x v="493"/>
    <x v="1072"/>
    <n v="0"/>
    <x v="0"/>
    <x v="4"/>
    <x v="2"/>
  </r>
  <r>
    <x v="0"/>
    <x v="2"/>
    <x v="2"/>
    <x v="0"/>
    <x v="0"/>
    <x v="493"/>
    <x v="1072"/>
    <n v="0"/>
    <x v="0"/>
    <x v="4"/>
    <x v="2"/>
  </r>
  <r>
    <x v="0"/>
    <x v="3"/>
    <x v="3"/>
    <x v="0"/>
    <x v="0"/>
    <x v="493"/>
    <x v="1072"/>
    <n v="0"/>
    <x v="0"/>
    <x v="4"/>
    <x v="2"/>
  </r>
  <r>
    <x v="0"/>
    <x v="4"/>
    <x v="4"/>
    <x v="0"/>
    <x v="0"/>
    <x v="493"/>
    <x v="1072"/>
    <n v="0"/>
    <x v="0"/>
    <x v="4"/>
    <x v="2"/>
  </r>
  <r>
    <x v="0"/>
    <x v="0"/>
    <x v="0"/>
    <x v="0"/>
    <x v="0"/>
    <x v="494"/>
    <x v="1073"/>
    <n v="0"/>
    <x v="0"/>
    <x v="4"/>
    <x v="2"/>
  </r>
  <r>
    <x v="0"/>
    <x v="1"/>
    <x v="1"/>
    <x v="0"/>
    <x v="0"/>
    <x v="494"/>
    <x v="1073"/>
    <n v="0"/>
    <x v="0"/>
    <x v="4"/>
    <x v="2"/>
  </r>
  <r>
    <x v="0"/>
    <x v="2"/>
    <x v="2"/>
    <x v="0"/>
    <x v="0"/>
    <x v="494"/>
    <x v="1073"/>
    <n v="0"/>
    <x v="0"/>
    <x v="4"/>
    <x v="2"/>
  </r>
  <r>
    <x v="0"/>
    <x v="3"/>
    <x v="3"/>
    <x v="0"/>
    <x v="0"/>
    <x v="494"/>
    <x v="1073"/>
    <n v="0"/>
    <x v="0"/>
    <x v="4"/>
    <x v="2"/>
  </r>
  <r>
    <x v="0"/>
    <x v="4"/>
    <x v="4"/>
    <x v="0"/>
    <x v="0"/>
    <x v="494"/>
    <x v="1073"/>
    <n v="0"/>
    <x v="0"/>
    <x v="4"/>
    <x v="2"/>
  </r>
  <r>
    <x v="0"/>
    <x v="0"/>
    <x v="0"/>
    <x v="0"/>
    <x v="0"/>
    <x v="495"/>
    <x v="1074"/>
    <n v="0"/>
    <x v="0"/>
    <x v="4"/>
    <x v="2"/>
  </r>
  <r>
    <x v="0"/>
    <x v="1"/>
    <x v="1"/>
    <x v="0"/>
    <x v="0"/>
    <x v="495"/>
    <x v="1074"/>
    <n v="0"/>
    <x v="0"/>
    <x v="4"/>
    <x v="2"/>
  </r>
  <r>
    <x v="0"/>
    <x v="2"/>
    <x v="2"/>
    <x v="0"/>
    <x v="0"/>
    <x v="495"/>
    <x v="1074"/>
    <n v="3360.66"/>
    <x v="0"/>
    <x v="4"/>
    <x v="2"/>
  </r>
  <r>
    <x v="0"/>
    <x v="3"/>
    <x v="3"/>
    <x v="0"/>
    <x v="0"/>
    <x v="495"/>
    <x v="1074"/>
    <n v="0"/>
    <x v="0"/>
    <x v="4"/>
    <x v="2"/>
  </r>
  <r>
    <x v="0"/>
    <x v="4"/>
    <x v="4"/>
    <x v="0"/>
    <x v="0"/>
    <x v="495"/>
    <x v="1074"/>
    <n v="3360.66"/>
    <x v="0"/>
    <x v="4"/>
    <x v="2"/>
  </r>
  <r>
    <x v="0"/>
    <x v="0"/>
    <x v="0"/>
    <x v="0"/>
    <x v="0"/>
    <x v="190"/>
    <x v="1075"/>
    <n v="11717.65"/>
    <x v="0"/>
    <x v="4"/>
    <x v="2"/>
  </r>
  <r>
    <x v="0"/>
    <x v="1"/>
    <x v="1"/>
    <x v="0"/>
    <x v="0"/>
    <x v="190"/>
    <x v="1075"/>
    <n v="652.82000000000005"/>
    <x v="0"/>
    <x v="4"/>
    <x v="2"/>
  </r>
  <r>
    <x v="0"/>
    <x v="2"/>
    <x v="2"/>
    <x v="0"/>
    <x v="0"/>
    <x v="190"/>
    <x v="1075"/>
    <n v="140687.84"/>
    <x v="0"/>
    <x v="4"/>
    <x v="2"/>
  </r>
  <r>
    <x v="0"/>
    <x v="3"/>
    <x v="3"/>
    <x v="0"/>
    <x v="0"/>
    <x v="190"/>
    <x v="1075"/>
    <n v="0"/>
    <x v="0"/>
    <x v="4"/>
    <x v="2"/>
  </r>
  <r>
    <x v="0"/>
    <x v="4"/>
    <x v="4"/>
    <x v="0"/>
    <x v="0"/>
    <x v="190"/>
    <x v="1075"/>
    <n v="153058.31"/>
    <x v="0"/>
    <x v="4"/>
    <x v="2"/>
  </r>
  <r>
    <x v="0"/>
    <x v="0"/>
    <x v="0"/>
    <x v="0"/>
    <x v="0"/>
    <x v="496"/>
    <x v="1076"/>
    <n v="596.78"/>
    <x v="0"/>
    <x v="4"/>
    <x v="1"/>
  </r>
  <r>
    <x v="0"/>
    <x v="1"/>
    <x v="1"/>
    <x v="0"/>
    <x v="0"/>
    <x v="496"/>
    <x v="1076"/>
    <n v="0"/>
    <x v="0"/>
    <x v="4"/>
    <x v="1"/>
  </r>
  <r>
    <x v="0"/>
    <x v="2"/>
    <x v="2"/>
    <x v="0"/>
    <x v="0"/>
    <x v="496"/>
    <x v="1076"/>
    <n v="331619.90999999997"/>
    <x v="0"/>
    <x v="4"/>
    <x v="1"/>
  </r>
  <r>
    <x v="0"/>
    <x v="3"/>
    <x v="3"/>
    <x v="0"/>
    <x v="0"/>
    <x v="496"/>
    <x v="1076"/>
    <n v="0"/>
    <x v="0"/>
    <x v="4"/>
    <x v="1"/>
  </r>
  <r>
    <x v="0"/>
    <x v="4"/>
    <x v="4"/>
    <x v="0"/>
    <x v="0"/>
    <x v="496"/>
    <x v="1076"/>
    <n v="332216.69"/>
    <x v="0"/>
    <x v="4"/>
    <x v="1"/>
  </r>
  <r>
    <x v="0"/>
    <x v="0"/>
    <x v="0"/>
    <x v="0"/>
    <x v="0"/>
    <x v="424"/>
    <x v="1077"/>
    <n v="0"/>
    <x v="0"/>
    <x v="4"/>
    <x v="2"/>
  </r>
  <r>
    <x v="0"/>
    <x v="1"/>
    <x v="1"/>
    <x v="0"/>
    <x v="0"/>
    <x v="424"/>
    <x v="1077"/>
    <n v="0"/>
    <x v="0"/>
    <x v="4"/>
    <x v="2"/>
  </r>
  <r>
    <x v="0"/>
    <x v="2"/>
    <x v="2"/>
    <x v="0"/>
    <x v="0"/>
    <x v="424"/>
    <x v="1077"/>
    <n v="0"/>
    <x v="0"/>
    <x v="4"/>
    <x v="2"/>
  </r>
  <r>
    <x v="0"/>
    <x v="3"/>
    <x v="3"/>
    <x v="0"/>
    <x v="0"/>
    <x v="424"/>
    <x v="1077"/>
    <n v="0"/>
    <x v="0"/>
    <x v="4"/>
    <x v="2"/>
  </r>
  <r>
    <x v="0"/>
    <x v="4"/>
    <x v="4"/>
    <x v="0"/>
    <x v="0"/>
    <x v="424"/>
    <x v="1077"/>
    <n v="0"/>
    <x v="0"/>
    <x v="4"/>
    <x v="2"/>
  </r>
  <r>
    <x v="0"/>
    <x v="0"/>
    <x v="0"/>
    <x v="0"/>
    <x v="0"/>
    <x v="425"/>
    <x v="1078"/>
    <n v="0"/>
    <x v="0"/>
    <x v="4"/>
    <x v="2"/>
  </r>
  <r>
    <x v="0"/>
    <x v="1"/>
    <x v="1"/>
    <x v="0"/>
    <x v="0"/>
    <x v="425"/>
    <x v="1078"/>
    <n v="0"/>
    <x v="0"/>
    <x v="4"/>
    <x v="2"/>
  </r>
  <r>
    <x v="0"/>
    <x v="2"/>
    <x v="2"/>
    <x v="0"/>
    <x v="0"/>
    <x v="425"/>
    <x v="1078"/>
    <n v="0.05"/>
    <x v="0"/>
    <x v="4"/>
    <x v="2"/>
  </r>
  <r>
    <x v="0"/>
    <x v="3"/>
    <x v="3"/>
    <x v="0"/>
    <x v="0"/>
    <x v="425"/>
    <x v="1078"/>
    <n v="0"/>
    <x v="0"/>
    <x v="4"/>
    <x v="2"/>
  </r>
  <r>
    <x v="0"/>
    <x v="4"/>
    <x v="4"/>
    <x v="0"/>
    <x v="0"/>
    <x v="425"/>
    <x v="1078"/>
    <n v="0.05"/>
    <x v="0"/>
    <x v="4"/>
    <x v="2"/>
  </r>
  <r>
    <x v="0"/>
    <x v="0"/>
    <x v="0"/>
    <x v="0"/>
    <x v="0"/>
    <x v="426"/>
    <x v="1079"/>
    <n v="0"/>
    <x v="0"/>
    <x v="4"/>
    <x v="3"/>
  </r>
  <r>
    <x v="0"/>
    <x v="1"/>
    <x v="1"/>
    <x v="0"/>
    <x v="0"/>
    <x v="426"/>
    <x v="1079"/>
    <n v="0"/>
    <x v="0"/>
    <x v="4"/>
    <x v="3"/>
  </r>
  <r>
    <x v="0"/>
    <x v="2"/>
    <x v="2"/>
    <x v="0"/>
    <x v="0"/>
    <x v="426"/>
    <x v="1079"/>
    <n v="0"/>
    <x v="0"/>
    <x v="4"/>
    <x v="3"/>
  </r>
  <r>
    <x v="0"/>
    <x v="3"/>
    <x v="3"/>
    <x v="0"/>
    <x v="0"/>
    <x v="426"/>
    <x v="1079"/>
    <n v="0"/>
    <x v="0"/>
    <x v="4"/>
    <x v="3"/>
  </r>
  <r>
    <x v="0"/>
    <x v="4"/>
    <x v="4"/>
    <x v="0"/>
    <x v="0"/>
    <x v="426"/>
    <x v="1079"/>
    <n v="0"/>
    <x v="0"/>
    <x v="4"/>
    <x v="3"/>
  </r>
  <r>
    <x v="0"/>
    <x v="0"/>
    <x v="0"/>
    <x v="0"/>
    <x v="0"/>
    <x v="427"/>
    <x v="1080"/>
    <n v="0"/>
    <x v="0"/>
    <x v="4"/>
    <x v="3"/>
  </r>
  <r>
    <x v="0"/>
    <x v="1"/>
    <x v="1"/>
    <x v="0"/>
    <x v="0"/>
    <x v="427"/>
    <x v="1080"/>
    <n v="0"/>
    <x v="0"/>
    <x v="4"/>
    <x v="3"/>
  </r>
  <r>
    <x v="0"/>
    <x v="2"/>
    <x v="2"/>
    <x v="0"/>
    <x v="0"/>
    <x v="427"/>
    <x v="1080"/>
    <n v="0.05"/>
    <x v="0"/>
    <x v="4"/>
    <x v="3"/>
  </r>
  <r>
    <x v="0"/>
    <x v="3"/>
    <x v="3"/>
    <x v="0"/>
    <x v="0"/>
    <x v="427"/>
    <x v="1080"/>
    <n v="0"/>
    <x v="0"/>
    <x v="4"/>
    <x v="3"/>
  </r>
  <r>
    <x v="0"/>
    <x v="4"/>
    <x v="4"/>
    <x v="0"/>
    <x v="0"/>
    <x v="427"/>
    <x v="1080"/>
    <n v="0.05"/>
    <x v="0"/>
    <x v="4"/>
    <x v="3"/>
  </r>
  <r>
    <x v="0"/>
    <x v="0"/>
    <x v="0"/>
    <x v="0"/>
    <x v="0"/>
    <x v="190"/>
    <x v="1081"/>
    <n v="0"/>
    <x v="0"/>
    <x v="4"/>
    <x v="3"/>
  </r>
  <r>
    <x v="0"/>
    <x v="1"/>
    <x v="1"/>
    <x v="0"/>
    <x v="0"/>
    <x v="190"/>
    <x v="1081"/>
    <n v="0"/>
    <x v="0"/>
    <x v="4"/>
    <x v="3"/>
  </r>
  <r>
    <x v="0"/>
    <x v="2"/>
    <x v="2"/>
    <x v="0"/>
    <x v="0"/>
    <x v="190"/>
    <x v="1081"/>
    <n v="0"/>
    <x v="0"/>
    <x v="4"/>
    <x v="3"/>
  </r>
  <r>
    <x v="0"/>
    <x v="3"/>
    <x v="3"/>
    <x v="0"/>
    <x v="0"/>
    <x v="190"/>
    <x v="1081"/>
    <n v="0"/>
    <x v="0"/>
    <x v="4"/>
    <x v="3"/>
  </r>
  <r>
    <x v="0"/>
    <x v="4"/>
    <x v="4"/>
    <x v="0"/>
    <x v="0"/>
    <x v="190"/>
    <x v="1081"/>
    <n v="0"/>
    <x v="0"/>
    <x v="4"/>
    <x v="3"/>
  </r>
  <r>
    <x v="0"/>
    <x v="0"/>
    <x v="0"/>
    <x v="0"/>
    <x v="0"/>
    <x v="497"/>
    <x v="1082"/>
    <n v="596.78"/>
    <x v="0"/>
    <x v="4"/>
    <x v="2"/>
  </r>
  <r>
    <x v="0"/>
    <x v="1"/>
    <x v="1"/>
    <x v="0"/>
    <x v="0"/>
    <x v="497"/>
    <x v="1082"/>
    <n v="0"/>
    <x v="0"/>
    <x v="4"/>
    <x v="2"/>
  </r>
  <r>
    <x v="0"/>
    <x v="2"/>
    <x v="2"/>
    <x v="0"/>
    <x v="0"/>
    <x v="497"/>
    <x v="1082"/>
    <n v="329151.13"/>
    <x v="0"/>
    <x v="4"/>
    <x v="2"/>
  </r>
  <r>
    <x v="0"/>
    <x v="3"/>
    <x v="3"/>
    <x v="0"/>
    <x v="0"/>
    <x v="497"/>
    <x v="1082"/>
    <n v="0"/>
    <x v="0"/>
    <x v="4"/>
    <x v="2"/>
  </r>
  <r>
    <x v="0"/>
    <x v="4"/>
    <x v="4"/>
    <x v="0"/>
    <x v="0"/>
    <x v="497"/>
    <x v="1082"/>
    <n v="329747.90999999997"/>
    <x v="0"/>
    <x v="4"/>
    <x v="2"/>
  </r>
  <r>
    <x v="0"/>
    <x v="0"/>
    <x v="0"/>
    <x v="0"/>
    <x v="0"/>
    <x v="498"/>
    <x v="1083"/>
    <n v="0"/>
    <x v="0"/>
    <x v="4"/>
    <x v="2"/>
  </r>
  <r>
    <x v="0"/>
    <x v="1"/>
    <x v="1"/>
    <x v="0"/>
    <x v="0"/>
    <x v="498"/>
    <x v="1083"/>
    <n v="0"/>
    <x v="0"/>
    <x v="4"/>
    <x v="2"/>
  </r>
  <r>
    <x v="0"/>
    <x v="2"/>
    <x v="2"/>
    <x v="0"/>
    <x v="0"/>
    <x v="498"/>
    <x v="1083"/>
    <n v="2468.73"/>
    <x v="0"/>
    <x v="4"/>
    <x v="2"/>
  </r>
  <r>
    <x v="0"/>
    <x v="3"/>
    <x v="3"/>
    <x v="0"/>
    <x v="0"/>
    <x v="498"/>
    <x v="1083"/>
    <n v="0"/>
    <x v="0"/>
    <x v="4"/>
    <x v="2"/>
  </r>
  <r>
    <x v="0"/>
    <x v="4"/>
    <x v="4"/>
    <x v="0"/>
    <x v="0"/>
    <x v="498"/>
    <x v="1083"/>
    <n v="2468.73"/>
    <x v="0"/>
    <x v="4"/>
    <x v="2"/>
  </r>
  <r>
    <x v="0"/>
    <x v="0"/>
    <x v="0"/>
    <x v="0"/>
    <x v="0"/>
    <x v="68"/>
    <x v="1084"/>
    <n v="0"/>
    <x v="0"/>
    <x v="4"/>
    <x v="2"/>
  </r>
  <r>
    <x v="0"/>
    <x v="1"/>
    <x v="1"/>
    <x v="0"/>
    <x v="0"/>
    <x v="68"/>
    <x v="1084"/>
    <n v="0"/>
    <x v="0"/>
    <x v="4"/>
    <x v="2"/>
  </r>
  <r>
    <x v="0"/>
    <x v="2"/>
    <x v="2"/>
    <x v="0"/>
    <x v="0"/>
    <x v="68"/>
    <x v="1084"/>
    <n v="0"/>
    <x v="0"/>
    <x v="4"/>
    <x v="2"/>
  </r>
  <r>
    <x v="0"/>
    <x v="3"/>
    <x v="3"/>
    <x v="0"/>
    <x v="0"/>
    <x v="68"/>
    <x v="1084"/>
    <n v="0"/>
    <x v="0"/>
    <x v="4"/>
    <x v="2"/>
  </r>
  <r>
    <x v="0"/>
    <x v="4"/>
    <x v="4"/>
    <x v="0"/>
    <x v="0"/>
    <x v="68"/>
    <x v="1084"/>
    <n v="0"/>
    <x v="0"/>
    <x v="4"/>
    <x v="2"/>
  </r>
  <r>
    <x v="0"/>
    <x v="0"/>
    <x v="0"/>
    <x v="0"/>
    <x v="0"/>
    <x v="499"/>
    <x v="1085"/>
    <n v="24485.46"/>
    <x v="0"/>
    <x v="4"/>
    <x v="1"/>
  </r>
  <r>
    <x v="0"/>
    <x v="1"/>
    <x v="1"/>
    <x v="0"/>
    <x v="0"/>
    <x v="499"/>
    <x v="1085"/>
    <n v="22596.240000000002"/>
    <x v="0"/>
    <x v="4"/>
    <x v="1"/>
  </r>
  <r>
    <x v="0"/>
    <x v="2"/>
    <x v="2"/>
    <x v="0"/>
    <x v="0"/>
    <x v="499"/>
    <x v="1085"/>
    <n v="143491.07"/>
    <x v="0"/>
    <x v="4"/>
    <x v="1"/>
  </r>
  <r>
    <x v="0"/>
    <x v="3"/>
    <x v="3"/>
    <x v="0"/>
    <x v="0"/>
    <x v="499"/>
    <x v="1085"/>
    <n v="4579.49"/>
    <x v="0"/>
    <x v="4"/>
    <x v="1"/>
  </r>
  <r>
    <x v="0"/>
    <x v="4"/>
    <x v="4"/>
    <x v="0"/>
    <x v="0"/>
    <x v="499"/>
    <x v="1085"/>
    <n v="195152.26"/>
    <x v="0"/>
    <x v="4"/>
    <x v="1"/>
  </r>
  <r>
    <x v="0"/>
    <x v="0"/>
    <x v="0"/>
    <x v="0"/>
    <x v="0"/>
    <x v="500"/>
    <x v="1086"/>
    <n v="0"/>
    <x v="0"/>
    <x v="4"/>
    <x v="2"/>
  </r>
  <r>
    <x v="0"/>
    <x v="1"/>
    <x v="1"/>
    <x v="0"/>
    <x v="0"/>
    <x v="500"/>
    <x v="1086"/>
    <n v="0"/>
    <x v="0"/>
    <x v="4"/>
    <x v="2"/>
  </r>
  <r>
    <x v="0"/>
    <x v="2"/>
    <x v="2"/>
    <x v="0"/>
    <x v="0"/>
    <x v="500"/>
    <x v="1086"/>
    <n v="14.7"/>
    <x v="0"/>
    <x v="4"/>
    <x v="2"/>
  </r>
  <r>
    <x v="0"/>
    <x v="3"/>
    <x v="3"/>
    <x v="0"/>
    <x v="0"/>
    <x v="500"/>
    <x v="1086"/>
    <n v="0"/>
    <x v="0"/>
    <x v="4"/>
    <x v="2"/>
  </r>
  <r>
    <x v="0"/>
    <x v="4"/>
    <x v="4"/>
    <x v="0"/>
    <x v="0"/>
    <x v="500"/>
    <x v="1086"/>
    <n v="14.7"/>
    <x v="0"/>
    <x v="4"/>
    <x v="2"/>
  </r>
  <r>
    <x v="0"/>
    <x v="0"/>
    <x v="0"/>
    <x v="0"/>
    <x v="0"/>
    <x v="456"/>
    <x v="1087"/>
    <n v="24485.46"/>
    <x v="0"/>
    <x v="4"/>
    <x v="2"/>
  </r>
  <r>
    <x v="0"/>
    <x v="1"/>
    <x v="1"/>
    <x v="0"/>
    <x v="0"/>
    <x v="456"/>
    <x v="1087"/>
    <n v="22596.240000000002"/>
    <x v="0"/>
    <x v="4"/>
    <x v="2"/>
  </r>
  <r>
    <x v="0"/>
    <x v="2"/>
    <x v="2"/>
    <x v="0"/>
    <x v="0"/>
    <x v="456"/>
    <x v="1087"/>
    <n v="143476.37"/>
    <x v="0"/>
    <x v="4"/>
    <x v="2"/>
  </r>
  <r>
    <x v="0"/>
    <x v="3"/>
    <x v="3"/>
    <x v="0"/>
    <x v="0"/>
    <x v="456"/>
    <x v="1087"/>
    <n v="4579.49"/>
    <x v="0"/>
    <x v="4"/>
    <x v="2"/>
  </r>
  <r>
    <x v="0"/>
    <x v="4"/>
    <x v="4"/>
    <x v="0"/>
    <x v="0"/>
    <x v="456"/>
    <x v="1087"/>
    <n v="195137.56"/>
    <x v="0"/>
    <x v="4"/>
    <x v="2"/>
  </r>
  <r>
    <x v="0"/>
    <x v="0"/>
    <x v="0"/>
    <x v="0"/>
    <x v="0"/>
    <x v="501"/>
    <x v="1088"/>
    <n v="17809.330000000002"/>
    <x v="0"/>
    <x v="4"/>
    <x v="3"/>
  </r>
  <r>
    <x v="0"/>
    <x v="1"/>
    <x v="1"/>
    <x v="0"/>
    <x v="0"/>
    <x v="501"/>
    <x v="1088"/>
    <n v="20855.77"/>
    <x v="0"/>
    <x v="4"/>
    <x v="3"/>
  </r>
  <r>
    <x v="0"/>
    <x v="2"/>
    <x v="2"/>
    <x v="0"/>
    <x v="0"/>
    <x v="501"/>
    <x v="1088"/>
    <n v="91191.66"/>
    <x v="0"/>
    <x v="4"/>
    <x v="3"/>
  </r>
  <r>
    <x v="0"/>
    <x v="3"/>
    <x v="3"/>
    <x v="0"/>
    <x v="0"/>
    <x v="501"/>
    <x v="1088"/>
    <n v="4579.49"/>
    <x v="0"/>
    <x v="4"/>
    <x v="3"/>
  </r>
  <r>
    <x v="0"/>
    <x v="4"/>
    <x v="4"/>
    <x v="0"/>
    <x v="0"/>
    <x v="501"/>
    <x v="1088"/>
    <n v="134436.25"/>
    <x v="0"/>
    <x v="4"/>
    <x v="3"/>
  </r>
  <r>
    <x v="0"/>
    <x v="0"/>
    <x v="0"/>
    <x v="0"/>
    <x v="0"/>
    <x v="502"/>
    <x v="1089"/>
    <n v="6676.13"/>
    <x v="0"/>
    <x v="4"/>
    <x v="3"/>
  </r>
  <r>
    <x v="0"/>
    <x v="1"/>
    <x v="1"/>
    <x v="0"/>
    <x v="0"/>
    <x v="502"/>
    <x v="1089"/>
    <n v="1740.47"/>
    <x v="0"/>
    <x v="4"/>
    <x v="3"/>
  </r>
  <r>
    <x v="0"/>
    <x v="2"/>
    <x v="2"/>
    <x v="0"/>
    <x v="0"/>
    <x v="502"/>
    <x v="1089"/>
    <n v="52284.71"/>
    <x v="0"/>
    <x v="4"/>
    <x v="3"/>
  </r>
  <r>
    <x v="0"/>
    <x v="3"/>
    <x v="3"/>
    <x v="0"/>
    <x v="0"/>
    <x v="502"/>
    <x v="1089"/>
    <n v="0"/>
    <x v="0"/>
    <x v="4"/>
    <x v="3"/>
  </r>
  <r>
    <x v="0"/>
    <x v="4"/>
    <x v="4"/>
    <x v="0"/>
    <x v="0"/>
    <x v="502"/>
    <x v="1089"/>
    <n v="60701.31"/>
    <x v="0"/>
    <x v="4"/>
    <x v="3"/>
  </r>
  <r>
    <x v="0"/>
    <x v="0"/>
    <x v="0"/>
    <x v="0"/>
    <x v="0"/>
    <x v="503"/>
    <x v="1090"/>
    <n v="1000.67"/>
    <x v="0"/>
    <x v="4"/>
    <x v="1"/>
  </r>
  <r>
    <x v="0"/>
    <x v="1"/>
    <x v="1"/>
    <x v="0"/>
    <x v="0"/>
    <x v="503"/>
    <x v="1090"/>
    <n v="88.55"/>
    <x v="0"/>
    <x v="4"/>
    <x v="1"/>
  </r>
  <r>
    <x v="0"/>
    <x v="2"/>
    <x v="2"/>
    <x v="0"/>
    <x v="0"/>
    <x v="503"/>
    <x v="1090"/>
    <n v="454047.86"/>
    <x v="0"/>
    <x v="4"/>
    <x v="1"/>
  </r>
  <r>
    <x v="0"/>
    <x v="3"/>
    <x v="3"/>
    <x v="0"/>
    <x v="0"/>
    <x v="503"/>
    <x v="1090"/>
    <n v="3268.85"/>
    <x v="0"/>
    <x v="4"/>
    <x v="1"/>
  </r>
  <r>
    <x v="0"/>
    <x v="4"/>
    <x v="4"/>
    <x v="0"/>
    <x v="0"/>
    <x v="503"/>
    <x v="1090"/>
    <n v="458405.93"/>
    <x v="0"/>
    <x v="4"/>
    <x v="1"/>
  </r>
  <r>
    <x v="0"/>
    <x v="0"/>
    <x v="0"/>
    <x v="0"/>
    <x v="0"/>
    <x v="504"/>
    <x v="1091"/>
    <n v="1000.67"/>
    <x v="0"/>
    <x v="4"/>
    <x v="2"/>
  </r>
  <r>
    <x v="0"/>
    <x v="1"/>
    <x v="1"/>
    <x v="0"/>
    <x v="0"/>
    <x v="504"/>
    <x v="1091"/>
    <n v="88.55"/>
    <x v="0"/>
    <x v="4"/>
    <x v="2"/>
  </r>
  <r>
    <x v="0"/>
    <x v="2"/>
    <x v="2"/>
    <x v="0"/>
    <x v="0"/>
    <x v="504"/>
    <x v="1091"/>
    <n v="42390.83"/>
    <x v="0"/>
    <x v="4"/>
    <x v="2"/>
  </r>
  <r>
    <x v="0"/>
    <x v="3"/>
    <x v="3"/>
    <x v="0"/>
    <x v="0"/>
    <x v="504"/>
    <x v="1091"/>
    <n v="0"/>
    <x v="0"/>
    <x v="4"/>
    <x v="2"/>
  </r>
  <r>
    <x v="0"/>
    <x v="4"/>
    <x v="4"/>
    <x v="0"/>
    <x v="0"/>
    <x v="504"/>
    <x v="1091"/>
    <n v="43480.05"/>
    <x v="0"/>
    <x v="4"/>
    <x v="2"/>
  </r>
  <r>
    <x v="0"/>
    <x v="0"/>
    <x v="0"/>
    <x v="0"/>
    <x v="0"/>
    <x v="505"/>
    <x v="1092"/>
    <n v="0"/>
    <x v="0"/>
    <x v="4"/>
    <x v="2"/>
  </r>
  <r>
    <x v="0"/>
    <x v="1"/>
    <x v="1"/>
    <x v="0"/>
    <x v="0"/>
    <x v="505"/>
    <x v="1092"/>
    <n v="0"/>
    <x v="0"/>
    <x v="4"/>
    <x v="2"/>
  </r>
  <r>
    <x v="0"/>
    <x v="2"/>
    <x v="2"/>
    <x v="0"/>
    <x v="0"/>
    <x v="505"/>
    <x v="1092"/>
    <n v="22441.79"/>
    <x v="0"/>
    <x v="4"/>
    <x v="2"/>
  </r>
  <r>
    <x v="0"/>
    <x v="3"/>
    <x v="3"/>
    <x v="0"/>
    <x v="0"/>
    <x v="505"/>
    <x v="1092"/>
    <n v="3268.85"/>
    <x v="0"/>
    <x v="4"/>
    <x v="2"/>
  </r>
  <r>
    <x v="0"/>
    <x v="4"/>
    <x v="4"/>
    <x v="0"/>
    <x v="0"/>
    <x v="505"/>
    <x v="1092"/>
    <n v="25710.639999999999"/>
    <x v="0"/>
    <x v="4"/>
    <x v="2"/>
  </r>
  <r>
    <x v="0"/>
    <x v="0"/>
    <x v="0"/>
    <x v="0"/>
    <x v="0"/>
    <x v="68"/>
    <x v="1093"/>
    <n v="0"/>
    <x v="0"/>
    <x v="4"/>
    <x v="2"/>
  </r>
  <r>
    <x v="0"/>
    <x v="1"/>
    <x v="1"/>
    <x v="0"/>
    <x v="0"/>
    <x v="68"/>
    <x v="1093"/>
    <n v="0"/>
    <x v="0"/>
    <x v="4"/>
    <x v="2"/>
  </r>
  <r>
    <x v="0"/>
    <x v="2"/>
    <x v="2"/>
    <x v="0"/>
    <x v="0"/>
    <x v="68"/>
    <x v="1093"/>
    <n v="389215.24"/>
    <x v="0"/>
    <x v="4"/>
    <x v="2"/>
  </r>
  <r>
    <x v="0"/>
    <x v="3"/>
    <x v="3"/>
    <x v="0"/>
    <x v="0"/>
    <x v="68"/>
    <x v="1093"/>
    <n v="0"/>
    <x v="0"/>
    <x v="4"/>
    <x v="2"/>
  </r>
  <r>
    <x v="0"/>
    <x v="4"/>
    <x v="4"/>
    <x v="0"/>
    <x v="0"/>
    <x v="68"/>
    <x v="1093"/>
    <n v="389215.24"/>
    <x v="0"/>
    <x v="4"/>
    <x v="2"/>
  </r>
  <r>
    <x v="0"/>
    <x v="0"/>
    <x v="0"/>
    <x v="0"/>
    <x v="0"/>
    <x v="506"/>
    <x v="1094"/>
    <n v="192098.07"/>
    <x v="0"/>
    <x v="4"/>
    <x v="1"/>
  </r>
  <r>
    <x v="0"/>
    <x v="1"/>
    <x v="1"/>
    <x v="0"/>
    <x v="0"/>
    <x v="506"/>
    <x v="1094"/>
    <n v="60199.08"/>
    <x v="0"/>
    <x v="4"/>
    <x v="1"/>
  </r>
  <r>
    <x v="0"/>
    <x v="2"/>
    <x v="2"/>
    <x v="0"/>
    <x v="0"/>
    <x v="506"/>
    <x v="1094"/>
    <n v="827915.29"/>
    <x v="0"/>
    <x v="4"/>
    <x v="1"/>
  </r>
  <r>
    <x v="0"/>
    <x v="3"/>
    <x v="3"/>
    <x v="0"/>
    <x v="0"/>
    <x v="506"/>
    <x v="1094"/>
    <n v="22885.53"/>
    <x v="0"/>
    <x v="4"/>
    <x v="1"/>
  </r>
  <r>
    <x v="0"/>
    <x v="4"/>
    <x v="4"/>
    <x v="0"/>
    <x v="0"/>
    <x v="506"/>
    <x v="1094"/>
    <n v="1103097.97"/>
    <x v="0"/>
    <x v="4"/>
    <x v="1"/>
  </r>
  <r>
    <x v="0"/>
    <x v="0"/>
    <x v="0"/>
    <x v="0"/>
    <x v="0"/>
    <x v="507"/>
    <x v="1095"/>
    <n v="0"/>
    <x v="0"/>
    <x v="4"/>
    <x v="2"/>
  </r>
  <r>
    <x v="0"/>
    <x v="1"/>
    <x v="1"/>
    <x v="0"/>
    <x v="0"/>
    <x v="507"/>
    <x v="1095"/>
    <n v="0"/>
    <x v="0"/>
    <x v="4"/>
    <x v="2"/>
  </r>
  <r>
    <x v="0"/>
    <x v="2"/>
    <x v="2"/>
    <x v="0"/>
    <x v="0"/>
    <x v="507"/>
    <x v="1095"/>
    <n v="0"/>
    <x v="0"/>
    <x v="4"/>
    <x v="2"/>
  </r>
  <r>
    <x v="0"/>
    <x v="3"/>
    <x v="3"/>
    <x v="0"/>
    <x v="0"/>
    <x v="507"/>
    <x v="1095"/>
    <n v="0"/>
    <x v="0"/>
    <x v="4"/>
    <x v="2"/>
  </r>
  <r>
    <x v="0"/>
    <x v="4"/>
    <x v="4"/>
    <x v="0"/>
    <x v="0"/>
    <x v="507"/>
    <x v="1095"/>
    <n v="0"/>
    <x v="0"/>
    <x v="4"/>
    <x v="2"/>
  </r>
  <r>
    <x v="0"/>
    <x v="0"/>
    <x v="0"/>
    <x v="0"/>
    <x v="0"/>
    <x v="508"/>
    <x v="1096"/>
    <n v="0"/>
    <x v="0"/>
    <x v="4"/>
    <x v="2"/>
  </r>
  <r>
    <x v="0"/>
    <x v="1"/>
    <x v="1"/>
    <x v="0"/>
    <x v="0"/>
    <x v="508"/>
    <x v="1096"/>
    <n v="0"/>
    <x v="0"/>
    <x v="4"/>
    <x v="2"/>
  </r>
  <r>
    <x v="0"/>
    <x v="2"/>
    <x v="2"/>
    <x v="0"/>
    <x v="0"/>
    <x v="508"/>
    <x v="1096"/>
    <n v="0"/>
    <x v="0"/>
    <x v="4"/>
    <x v="2"/>
  </r>
  <r>
    <x v="0"/>
    <x v="3"/>
    <x v="3"/>
    <x v="0"/>
    <x v="0"/>
    <x v="508"/>
    <x v="1096"/>
    <n v="0"/>
    <x v="0"/>
    <x v="4"/>
    <x v="2"/>
  </r>
  <r>
    <x v="0"/>
    <x v="4"/>
    <x v="4"/>
    <x v="0"/>
    <x v="0"/>
    <x v="508"/>
    <x v="1096"/>
    <n v="0"/>
    <x v="0"/>
    <x v="4"/>
    <x v="2"/>
  </r>
  <r>
    <x v="0"/>
    <x v="0"/>
    <x v="0"/>
    <x v="0"/>
    <x v="0"/>
    <x v="215"/>
    <x v="1097"/>
    <n v="0"/>
    <x v="0"/>
    <x v="4"/>
    <x v="2"/>
  </r>
  <r>
    <x v="0"/>
    <x v="1"/>
    <x v="1"/>
    <x v="0"/>
    <x v="0"/>
    <x v="215"/>
    <x v="1097"/>
    <n v="815.2"/>
    <x v="0"/>
    <x v="4"/>
    <x v="2"/>
  </r>
  <r>
    <x v="0"/>
    <x v="2"/>
    <x v="2"/>
    <x v="0"/>
    <x v="0"/>
    <x v="215"/>
    <x v="1097"/>
    <n v="40369.39"/>
    <x v="0"/>
    <x v="4"/>
    <x v="2"/>
  </r>
  <r>
    <x v="0"/>
    <x v="3"/>
    <x v="3"/>
    <x v="0"/>
    <x v="0"/>
    <x v="215"/>
    <x v="1097"/>
    <n v="0"/>
    <x v="0"/>
    <x v="4"/>
    <x v="2"/>
  </r>
  <r>
    <x v="0"/>
    <x v="4"/>
    <x v="4"/>
    <x v="0"/>
    <x v="0"/>
    <x v="215"/>
    <x v="1097"/>
    <n v="41184.589999999997"/>
    <x v="0"/>
    <x v="4"/>
    <x v="2"/>
  </r>
  <r>
    <x v="0"/>
    <x v="0"/>
    <x v="0"/>
    <x v="0"/>
    <x v="0"/>
    <x v="509"/>
    <x v="1098"/>
    <n v="184927.12"/>
    <x v="0"/>
    <x v="4"/>
    <x v="2"/>
  </r>
  <r>
    <x v="0"/>
    <x v="1"/>
    <x v="1"/>
    <x v="0"/>
    <x v="0"/>
    <x v="509"/>
    <x v="1098"/>
    <n v="56412.82"/>
    <x v="0"/>
    <x v="4"/>
    <x v="2"/>
  </r>
  <r>
    <x v="0"/>
    <x v="2"/>
    <x v="2"/>
    <x v="0"/>
    <x v="0"/>
    <x v="509"/>
    <x v="1098"/>
    <n v="769899.09"/>
    <x v="0"/>
    <x v="4"/>
    <x v="2"/>
  </r>
  <r>
    <x v="0"/>
    <x v="3"/>
    <x v="3"/>
    <x v="0"/>
    <x v="0"/>
    <x v="509"/>
    <x v="1098"/>
    <n v="22753.54"/>
    <x v="0"/>
    <x v="4"/>
    <x v="2"/>
  </r>
  <r>
    <x v="0"/>
    <x v="4"/>
    <x v="4"/>
    <x v="0"/>
    <x v="0"/>
    <x v="509"/>
    <x v="1098"/>
    <n v="1033992.57"/>
    <x v="0"/>
    <x v="4"/>
    <x v="2"/>
  </r>
  <r>
    <x v="0"/>
    <x v="0"/>
    <x v="0"/>
    <x v="0"/>
    <x v="0"/>
    <x v="510"/>
    <x v="1099"/>
    <n v="55103.53"/>
    <x v="0"/>
    <x v="4"/>
    <x v="3"/>
  </r>
  <r>
    <x v="0"/>
    <x v="1"/>
    <x v="1"/>
    <x v="0"/>
    <x v="0"/>
    <x v="510"/>
    <x v="1099"/>
    <n v="1149.71"/>
    <x v="0"/>
    <x v="4"/>
    <x v="3"/>
  </r>
  <r>
    <x v="0"/>
    <x v="2"/>
    <x v="2"/>
    <x v="0"/>
    <x v="0"/>
    <x v="510"/>
    <x v="1099"/>
    <n v="31654.54"/>
    <x v="0"/>
    <x v="4"/>
    <x v="3"/>
  </r>
  <r>
    <x v="0"/>
    <x v="3"/>
    <x v="3"/>
    <x v="0"/>
    <x v="0"/>
    <x v="510"/>
    <x v="1099"/>
    <n v="0"/>
    <x v="0"/>
    <x v="4"/>
    <x v="3"/>
  </r>
  <r>
    <x v="0"/>
    <x v="4"/>
    <x v="4"/>
    <x v="0"/>
    <x v="0"/>
    <x v="510"/>
    <x v="1099"/>
    <n v="87907.78"/>
    <x v="0"/>
    <x v="4"/>
    <x v="3"/>
  </r>
  <r>
    <x v="0"/>
    <x v="0"/>
    <x v="0"/>
    <x v="0"/>
    <x v="0"/>
    <x v="511"/>
    <x v="1100"/>
    <n v="49269.3"/>
    <x v="0"/>
    <x v="4"/>
    <x v="3"/>
  </r>
  <r>
    <x v="0"/>
    <x v="1"/>
    <x v="1"/>
    <x v="0"/>
    <x v="0"/>
    <x v="511"/>
    <x v="1100"/>
    <n v="39072.14"/>
    <x v="0"/>
    <x v="4"/>
    <x v="3"/>
  </r>
  <r>
    <x v="0"/>
    <x v="2"/>
    <x v="2"/>
    <x v="0"/>
    <x v="0"/>
    <x v="511"/>
    <x v="1100"/>
    <n v="490309.88"/>
    <x v="0"/>
    <x v="4"/>
    <x v="3"/>
  </r>
  <r>
    <x v="0"/>
    <x v="3"/>
    <x v="3"/>
    <x v="0"/>
    <x v="0"/>
    <x v="511"/>
    <x v="1100"/>
    <n v="9182.7900000000009"/>
    <x v="0"/>
    <x v="4"/>
    <x v="3"/>
  </r>
  <r>
    <x v="0"/>
    <x v="4"/>
    <x v="4"/>
    <x v="0"/>
    <x v="0"/>
    <x v="511"/>
    <x v="1100"/>
    <n v="587834.11"/>
    <x v="0"/>
    <x v="4"/>
    <x v="3"/>
  </r>
  <r>
    <x v="0"/>
    <x v="0"/>
    <x v="0"/>
    <x v="0"/>
    <x v="0"/>
    <x v="512"/>
    <x v="1101"/>
    <n v="0"/>
    <x v="0"/>
    <x v="4"/>
    <x v="3"/>
  </r>
  <r>
    <x v="0"/>
    <x v="1"/>
    <x v="1"/>
    <x v="0"/>
    <x v="0"/>
    <x v="512"/>
    <x v="1101"/>
    <n v="0"/>
    <x v="0"/>
    <x v="4"/>
    <x v="3"/>
  </r>
  <r>
    <x v="0"/>
    <x v="2"/>
    <x v="2"/>
    <x v="0"/>
    <x v="0"/>
    <x v="512"/>
    <x v="1101"/>
    <n v="0"/>
    <x v="0"/>
    <x v="4"/>
    <x v="3"/>
  </r>
  <r>
    <x v="0"/>
    <x v="3"/>
    <x v="3"/>
    <x v="0"/>
    <x v="0"/>
    <x v="512"/>
    <x v="1101"/>
    <n v="0"/>
    <x v="0"/>
    <x v="4"/>
    <x v="3"/>
  </r>
  <r>
    <x v="0"/>
    <x v="4"/>
    <x v="4"/>
    <x v="0"/>
    <x v="0"/>
    <x v="512"/>
    <x v="1101"/>
    <n v="0"/>
    <x v="0"/>
    <x v="4"/>
    <x v="3"/>
  </r>
  <r>
    <x v="0"/>
    <x v="0"/>
    <x v="0"/>
    <x v="0"/>
    <x v="0"/>
    <x v="513"/>
    <x v="1102"/>
    <n v="80554.289999999994"/>
    <x v="0"/>
    <x v="4"/>
    <x v="3"/>
  </r>
  <r>
    <x v="0"/>
    <x v="1"/>
    <x v="1"/>
    <x v="0"/>
    <x v="0"/>
    <x v="513"/>
    <x v="1102"/>
    <n v="16190.97"/>
    <x v="0"/>
    <x v="4"/>
    <x v="3"/>
  </r>
  <r>
    <x v="0"/>
    <x v="2"/>
    <x v="2"/>
    <x v="0"/>
    <x v="0"/>
    <x v="513"/>
    <x v="1102"/>
    <n v="247934.67"/>
    <x v="0"/>
    <x v="4"/>
    <x v="3"/>
  </r>
  <r>
    <x v="0"/>
    <x v="3"/>
    <x v="3"/>
    <x v="0"/>
    <x v="0"/>
    <x v="513"/>
    <x v="1102"/>
    <n v="13570.75"/>
    <x v="0"/>
    <x v="4"/>
    <x v="3"/>
  </r>
  <r>
    <x v="0"/>
    <x v="4"/>
    <x v="4"/>
    <x v="0"/>
    <x v="0"/>
    <x v="513"/>
    <x v="1102"/>
    <n v="358250.68"/>
    <x v="0"/>
    <x v="4"/>
    <x v="3"/>
  </r>
  <r>
    <x v="0"/>
    <x v="0"/>
    <x v="0"/>
    <x v="0"/>
    <x v="0"/>
    <x v="68"/>
    <x v="1103"/>
    <n v="7170.95"/>
    <x v="0"/>
    <x v="4"/>
    <x v="2"/>
  </r>
  <r>
    <x v="0"/>
    <x v="1"/>
    <x v="1"/>
    <x v="0"/>
    <x v="0"/>
    <x v="68"/>
    <x v="1103"/>
    <n v="2971.06"/>
    <x v="0"/>
    <x v="4"/>
    <x v="2"/>
  </r>
  <r>
    <x v="0"/>
    <x v="2"/>
    <x v="2"/>
    <x v="0"/>
    <x v="0"/>
    <x v="68"/>
    <x v="1103"/>
    <n v="17646.810000000001"/>
    <x v="0"/>
    <x v="4"/>
    <x v="2"/>
  </r>
  <r>
    <x v="0"/>
    <x v="3"/>
    <x v="3"/>
    <x v="0"/>
    <x v="0"/>
    <x v="68"/>
    <x v="1103"/>
    <n v="131.99"/>
    <x v="0"/>
    <x v="4"/>
    <x v="2"/>
  </r>
  <r>
    <x v="0"/>
    <x v="4"/>
    <x v="4"/>
    <x v="0"/>
    <x v="0"/>
    <x v="68"/>
    <x v="1103"/>
    <n v="27920.81"/>
    <x v="0"/>
    <x v="4"/>
    <x v="2"/>
  </r>
  <r>
    <x v="0"/>
    <x v="0"/>
    <x v="0"/>
    <x v="0"/>
    <x v="0"/>
    <x v="514"/>
    <x v="1104"/>
    <n v="0"/>
    <x v="0"/>
    <x v="4"/>
    <x v="1"/>
  </r>
  <r>
    <x v="0"/>
    <x v="1"/>
    <x v="1"/>
    <x v="0"/>
    <x v="0"/>
    <x v="514"/>
    <x v="1104"/>
    <n v="0"/>
    <x v="0"/>
    <x v="4"/>
    <x v="1"/>
  </r>
  <r>
    <x v="0"/>
    <x v="2"/>
    <x v="2"/>
    <x v="0"/>
    <x v="0"/>
    <x v="514"/>
    <x v="1104"/>
    <n v="0"/>
    <x v="0"/>
    <x v="4"/>
    <x v="1"/>
  </r>
  <r>
    <x v="0"/>
    <x v="3"/>
    <x v="3"/>
    <x v="0"/>
    <x v="0"/>
    <x v="514"/>
    <x v="1104"/>
    <n v="0"/>
    <x v="0"/>
    <x v="4"/>
    <x v="1"/>
  </r>
  <r>
    <x v="0"/>
    <x v="4"/>
    <x v="4"/>
    <x v="0"/>
    <x v="0"/>
    <x v="514"/>
    <x v="1104"/>
    <n v="0"/>
    <x v="0"/>
    <x v="4"/>
    <x v="1"/>
  </r>
  <r>
    <x v="0"/>
    <x v="0"/>
    <x v="0"/>
    <x v="0"/>
    <x v="0"/>
    <x v="515"/>
    <x v="1105"/>
    <n v="9948170.3800000008"/>
    <x v="0"/>
    <x v="5"/>
    <x v="0"/>
  </r>
  <r>
    <x v="0"/>
    <x v="1"/>
    <x v="1"/>
    <x v="0"/>
    <x v="0"/>
    <x v="515"/>
    <x v="1105"/>
    <n v="905704.66"/>
    <x v="0"/>
    <x v="5"/>
    <x v="0"/>
  </r>
  <r>
    <x v="0"/>
    <x v="2"/>
    <x v="2"/>
    <x v="0"/>
    <x v="0"/>
    <x v="515"/>
    <x v="1105"/>
    <n v="44681844.090000004"/>
    <x v="0"/>
    <x v="5"/>
    <x v="0"/>
  </r>
  <r>
    <x v="0"/>
    <x v="3"/>
    <x v="3"/>
    <x v="0"/>
    <x v="0"/>
    <x v="515"/>
    <x v="1105"/>
    <n v="0"/>
    <x v="0"/>
    <x v="5"/>
    <x v="0"/>
  </r>
  <r>
    <x v="0"/>
    <x v="4"/>
    <x v="4"/>
    <x v="0"/>
    <x v="0"/>
    <x v="515"/>
    <x v="1105"/>
    <n v="55535719.130000003"/>
    <x v="0"/>
    <x v="5"/>
    <x v="0"/>
  </r>
  <r>
    <x v="0"/>
    <x v="0"/>
    <x v="0"/>
    <x v="0"/>
    <x v="0"/>
    <x v="516"/>
    <x v="1106"/>
    <n v="0"/>
    <x v="0"/>
    <x v="5"/>
    <x v="1"/>
  </r>
  <r>
    <x v="0"/>
    <x v="1"/>
    <x v="1"/>
    <x v="0"/>
    <x v="0"/>
    <x v="516"/>
    <x v="1106"/>
    <n v="0"/>
    <x v="0"/>
    <x v="5"/>
    <x v="1"/>
  </r>
  <r>
    <x v="0"/>
    <x v="2"/>
    <x v="2"/>
    <x v="0"/>
    <x v="0"/>
    <x v="516"/>
    <x v="1106"/>
    <n v="0"/>
    <x v="0"/>
    <x v="5"/>
    <x v="1"/>
  </r>
  <r>
    <x v="0"/>
    <x v="3"/>
    <x v="3"/>
    <x v="0"/>
    <x v="0"/>
    <x v="516"/>
    <x v="1106"/>
    <n v="0"/>
    <x v="0"/>
    <x v="5"/>
    <x v="1"/>
  </r>
  <r>
    <x v="0"/>
    <x v="4"/>
    <x v="4"/>
    <x v="0"/>
    <x v="0"/>
    <x v="516"/>
    <x v="1106"/>
    <n v="0"/>
    <x v="0"/>
    <x v="5"/>
    <x v="1"/>
  </r>
  <r>
    <x v="0"/>
    <x v="0"/>
    <x v="0"/>
    <x v="0"/>
    <x v="0"/>
    <x v="517"/>
    <x v="1107"/>
    <n v="0"/>
    <x v="0"/>
    <x v="5"/>
    <x v="2"/>
  </r>
  <r>
    <x v="0"/>
    <x v="1"/>
    <x v="1"/>
    <x v="0"/>
    <x v="0"/>
    <x v="517"/>
    <x v="1107"/>
    <n v="0"/>
    <x v="0"/>
    <x v="5"/>
    <x v="2"/>
  </r>
  <r>
    <x v="0"/>
    <x v="2"/>
    <x v="2"/>
    <x v="0"/>
    <x v="0"/>
    <x v="517"/>
    <x v="1107"/>
    <n v="0"/>
    <x v="0"/>
    <x v="5"/>
    <x v="2"/>
  </r>
  <r>
    <x v="0"/>
    <x v="3"/>
    <x v="3"/>
    <x v="0"/>
    <x v="0"/>
    <x v="517"/>
    <x v="1107"/>
    <n v="0"/>
    <x v="0"/>
    <x v="5"/>
    <x v="2"/>
  </r>
  <r>
    <x v="0"/>
    <x v="4"/>
    <x v="4"/>
    <x v="0"/>
    <x v="0"/>
    <x v="517"/>
    <x v="1107"/>
    <n v="0"/>
    <x v="0"/>
    <x v="5"/>
    <x v="2"/>
  </r>
  <r>
    <x v="0"/>
    <x v="0"/>
    <x v="0"/>
    <x v="0"/>
    <x v="0"/>
    <x v="518"/>
    <x v="1108"/>
    <n v="9948170.3800000008"/>
    <x v="0"/>
    <x v="5"/>
    <x v="1"/>
  </r>
  <r>
    <x v="0"/>
    <x v="1"/>
    <x v="1"/>
    <x v="0"/>
    <x v="0"/>
    <x v="518"/>
    <x v="1108"/>
    <n v="905704.66"/>
    <x v="0"/>
    <x v="5"/>
    <x v="1"/>
  </r>
  <r>
    <x v="0"/>
    <x v="2"/>
    <x v="2"/>
    <x v="0"/>
    <x v="0"/>
    <x v="518"/>
    <x v="1108"/>
    <n v="44681844.090000004"/>
    <x v="0"/>
    <x v="5"/>
    <x v="1"/>
  </r>
  <r>
    <x v="0"/>
    <x v="3"/>
    <x v="3"/>
    <x v="0"/>
    <x v="0"/>
    <x v="518"/>
    <x v="1108"/>
    <n v="0"/>
    <x v="0"/>
    <x v="5"/>
    <x v="1"/>
  </r>
  <r>
    <x v="0"/>
    <x v="4"/>
    <x v="4"/>
    <x v="0"/>
    <x v="0"/>
    <x v="518"/>
    <x v="1108"/>
    <n v="55535719.130000003"/>
    <x v="0"/>
    <x v="5"/>
    <x v="1"/>
  </r>
  <r>
    <x v="0"/>
    <x v="0"/>
    <x v="0"/>
    <x v="0"/>
    <x v="0"/>
    <x v="493"/>
    <x v="1109"/>
    <n v="0"/>
    <x v="0"/>
    <x v="5"/>
    <x v="2"/>
  </r>
  <r>
    <x v="0"/>
    <x v="1"/>
    <x v="1"/>
    <x v="0"/>
    <x v="0"/>
    <x v="493"/>
    <x v="1109"/>
    <n v="0"/>
    <x v="0"/>
    <x v="5"/>
    <x v="2"/>
  </r>
  <r>
    <x v="0"/>
    <x v="2"/>
    <x v="2"/>
    <x v="0"/>
    <x v="0"/>
    <x v="493"/>
    <x v="1109"/>
    <n v="0"/>
    <x v="0"/>
    <x v="5"/>
    <x v="2"/>
  </r>
  <r>
    <x v="0"/>
    <x v="3"/>
    <x v="3"/>
    <x v="0"/>
    <x v="0"/>
    <x v="493"/>
    <x v="1109"/>
    <n v="0"/>
    <x v="0"/>
    <x v="5"/>
    <x v="2"/>
  </r>
  <r>
    <x v="0"/>
    <x v="4"/>
    <x v="4"/>
    <x v="0"/>
    <x v="0"/>
    <x v="493"/>
    <x v="1109"/>
    <n v="0"/>
    <x v="0"/>
    <x v="5"/>
    <x v="2"/>
  </r>
  <r>
    <x v="0"/>
    <x v="0"/>
    <x v="0"/>
    <x v="0"/>
    <x v="0"/>
    <x v="519"/>
    <x v="1110"/>
    <n v="0"/>
    <x v="0"/>
    <x v="5"/>
    <x v="3"/>
  </r>
  <r>
    <x v="0"/>
    <x v="1"/>
    <x v="1"/>
    <x v="0"/>
    <x v="0"/>
    <x v="519"/>
    <x v="1110"/>
    <n v="0"/>
    <x v="0"/>
    <x v="5"/>
    <x v="3"/>
  </r>
  <r>
    <x v="0"/>
    <x v="2"/>
    <x v="2"/>
    <x v="0"/>
    <x v="0"/>
    <x v="519"/>
    <x v="1110"/>
    <n v="0"/>
    <x v="0"/>
    <x v="5"/>
    <x v="3"/>
  </r>
  <r>
    <x v="0"/>
    <x v="3"/>
    <x v="3"/>
    <x v="0"/>
    <x v="0"/>
    <x v="519"/>
    <x v="1110"/>
    <n v="0"/>
    <x v="0"/>
    <x v="5"/>
    <x v="3"/>
  </r>
  <r>
    <x v="0"/>
    <x v="4"/>
    <x v="4"/>
    <x v="0"/>
    <x v="0"/>
    <x v="519"/>
    <x v="1110"/>
    <n v="0"/>
    <x v="0"/>
    <x v="5"/>
    <x v="3"/>
  </r>
  <r>
    <x v="0"/>
    <x v="0"/>
    <x v="0"/>
    <x v="0"/>
    <x v="0"/>
    <x v="520"/>
    <x v="1111"/>
    <n v="0"/>
    <x v="0"/>
    <x v="5"/>
    <x v="3"/>
  </r>
  <r>
    <x v="0"/>
    <x v="1"/>
    <x v="1"/>
    <x v="0"/>
    <x v="0"/>
    <x v="520"/>
    <x v="1111"/>
    <n v="0"/>
    <x v="0"/>
    <x v="5"/>
    <x v="3"/>
  </r>
  <r>
    <x v="0"/>
    <x v="2"/>
    <x v="2"/>
    <x v="0"/>
    <x v="0"/>
    <x v="520"/>
    <x v="1111"/>
    <n v="0"/>
    <x v="0"/>
    <x v="5"/>
    <x v="3"/>
  </r>
  <r>
    <x v="0"/>
    <x v="3"/>
    <x v="3"/>
    <x v="0"/>
    <x v="0"/>
    <x v="520"/>
    <x v="1111"/>
    <n v="0"/>
    <x v="0"/>
    <x v="5"/>
    <x v="3"/>
  </r>
  <r>
    <x v="0"/>
    <x v="4"/>
    <x v="4"/>
    <x v="0"/>
    <x v="0"/>
    <x v="520"/>
    <x v="1111"/>
    <n v="0"/>
    <x v="0"/>
    <x v="5"/>
    <x v="3"/>
  </r>
  <r>
    <x v="0"/>
    <x v="0"/>
    <x v="0"/>
    <x v="0"/>
    <x v="0"/>
    <x v="521"/>
    <x v="1112"/>
    <n v="0"/>
    <x v="0"/>
    <x v="5"/>
    <x v="2"/>
  </r>
  <r>
    <x v="0"/>
    <x v="1"/>
    <x v="1"/>
    <x v="0"/>
    <x v="0"/>
    <x v="521"/>
    <x v="1112"/>
    <n v="0"/>
    <x v="0"/>
    <x v="5"/>
    <x v="2"/>
  </r>
  <r>
    <x v="0"/>
    <x v="2"/>
    <x v="2"/>
    <x v="0"/>
    <x v="0"/>
    <x v="521"/>
    <x v="1112"/>
    <n v="551563.5"/>
    <x v="0"/>
    <x v="5"/>
    <x v="2"/>
  </r>
  <r>
    <x v="0"/>
    <x v="3"/>
    <x v="3"/>
    <x v="0"/>
    <x v="0"/>
    <x v="521"/>
    <x v="1112"/>
    <n v="0"/>
    <x v="0"/>
    <x v="5"/>
    <x v="2"/>
  </r>
  <r>
    <x v="0"/>
    <x v="4"/>
    <x v="4"/>
    <x v="0"/>
    <x v="0"/>
    <x v="521"/>
    <x v="1112"/>
    <n v="551563.5"/>
    <x v="0"/>
    <x v="5"/>
    <x v="2"/>
  </r>
  <r>
    <x v="0"/>
    <x v="0"/>
    <x v="0"/>
    <x v="0"/>
    <x v="0"/>
    <x v="522"/>
    <x v="1113"/>
    <n v="0"/>
    <x v="0"/>
    <x v="5"/>
    <x v="3"/>
  </r>
  <r>
    <x v="0"/>
    <x v="1"/>
    <x v="1"/>
    <x v="0"/>
    <x v="0"/>
    <x v="522"/>
    <x v="1113"/>
    <n v="0"/>
    <x v="0"/>
    <x v="5"/>
    <x v="3"/>
  </r>
  <r>
    <x v="0"/>
    <x v="2"/>
    <x v="2"/>
    <x v="0"/>
    <x v="0"/>
    <x v="522"/>
    <x v="1113"/>
    <n v="0"/>
    <x v="0"/>
    <x v="5"/>
    <x v="3"/>
  </r>
  <r>
    <x v="0"/>
    <x v="3"/>
    <x v="3"/>
    <x v="0"/>
    <x v="0"/>
    <x v="522"/>
    <x v="1113"/>
    <n v="0"/>
    <x v="0"/>
    <x v="5"/>
    <x v="3"/>
  </r>
  <r>
    <x v="0"/>
    <x v="4"/>
    <x v="4"/>
    <x v="0"/>
    <x v="0"/>
    <x v="522"/>
    <x v="1113"/>
    <n v="0"/>
    <x v="0"/>
    <x v="5"/>
    <x v="3"/>
  </r>
  <r>
    <x v="0"/>
    <x v="0"/>
    <x v="0"/>
    <x v="0"/>
    <x v="0"/>
    <x v="523"/>
    <x v="1114"/>
    <n v="0"/>
    <x v="0"/>
    <x v="5"/>
    <x v="3"/>
  </r>
  <r>
    <x v="0"/>
    <x v="1"/>
    <x v="1"/>
    <x v="0"/>
    <x v="0"/>
    <x v="523"/>
    <x v="1114"/>
    <n v="0"/>
    <x v="0"/>
    <x v="5"/>
    <x v="3"/>
  </r>
  <r>
    <x v="0"/>
    <x v="2"/>
    <x v="2"/>
    <x v="0"/>
    <x v="0"/>
    <x v="523"/>
    <x v="1114"/>
    <n v="0"/>
    <x v="0"/>
    <x v="5"/>
    <x v="3"/>
  </r>
  <r>
    <x v="0"/>
    <x v="3"/>
    <x v="3"/>
    <x v="0"/>
    <x v="0"/>
    <x v="523"/>
    <x v="1114"/>
    <n v="0"/>
    <x v="0"/>
    <x v="5"/>
    <x v="3"/>
  </r>
  <r>
    <x v="0"/>
    <x v="4"/>
    <x v="4"/>
    <x v="0"/>
    <x v="0"/>
    <x v="523"/>
    <x v="1114"/>
    <n v="0"/>
    <x v="0"/>
    <x v="5"/>
    <x v="3"/>
  </r>
  <r>
    <x v="0"/>
    <x v="0"/>
    <x v="0"/>
    <x v="0"/>
    <x v="0"/>
    <x v="524"/>
    <x v="1115"/>
    <n v="0"/>
    <x v="0"/>
    <x v="5"/>
    <x v="3"/>
  </r>
  <r>
    <x v="0"/>
    <x v="1"/>
    <x v="1"/>
    <x v="0"/>
    <x v="0"/>
    <x v="524"/>
    <x v="1115"/>
    <n v="0"/>
    <x v="0"/>
    <x v="5"/>
    <x v="3"/>
  </r>
  <r>
    <x v="0"/>
    <x v="2"/>
    <x v="2"/>
    <x v="0"/>
    <x v="0"/>
    <x v="524"/>
    <x v="1115"/>
    <n v="0"/>
    <x v="0"/>
    <x v="5"/>
    <x v="3"/>
  </r>
  <r>
    <x v="0"/>
    <x v="3"/>
    <x v="3"/>
    <x v="0"/>
    <x v="0"/>
    <x v="524"/>
    <x v="1115"/>
    <n v="0"/>
    <x v="0"/>
    <x v="5"/>
    <x v="3"/>
  </r>
  <r>
    <x v="0"/>
    <x v="4"/>
    <x v="4"/>
    <x v="0"/>
    <x v="0"/>
    <x v="524"/>
    <x v="1115"/>
    <n v="0"/>
    <x v="0"/>
    <x v="5"/>
    <x v="3"/>
  </r>
  <r>
    <x v="0"/>
    <x v="0"/>
    <x v="0"/>
    <x v="0"/>
    <x v="0"/>
    <x v="190"/>
    <x v="1116"/>
    <n v="0"/>
    <x v="0"/>
    <x v="5"/>
    <x v="3"/>
  </r>
  <r>
    <x v="0"/>
    <x v="1"/>
    <x v="1"/>
    <x v="0"/>
    <x v="0"/>
    <x v="190"/>
    <x v="1116"/>
    <n v="0"/>
    <x v="0"/>
    <x v="5"/>
    <x v="3"/>
  </r>
  <r>
    <x v="0"/>
    <x v="2"/>
    <x v="2"/>
    <x v="0"/>
    <x v="0"/>
    <x v="190"/>
    <x v="1116"/>
    <n v="551563.5"/>
    <x v="0"/>
    <x v="5"/>
    <x v="3"/>
  </r>
  <r>
    <x v="0"/>
    <x v="3"/>
    <x v="3"/>
    <x v="0"/>
    <x v="0"/>
    <x v="190"/>
    <x v="1116"/>
    <n v="0"/>
    <x v="0"/>
    <x v="5"/>
    <x v="3"/>
  </r>
  <r>
    <x v="0"/>
    <x v="4"/>
    <x v="4"/>
    <x v="0"/>
    <x v="0"/>
    <x v="190"/>
    <x v="1116"/>
    <n v="551563.5"/>
    <x v="0"/>
    <x v="5"/>
    <x v="3"/>
  </r>
  <r>
    <x v="0"/>
    <x v="0"/>
    <x v="0"/>
    <x v="0"/>
    <x v="0"/>
    <x v="495"/>
    <x v="1117"/>
    <n v="0"/>
    <x v="0"/>
    <x v="5"/>
    <x v="2"/>
  </r>
  <r>
    <x v="0"/>
    <x v="1"/>
    <x v="1"/>
    <x v="0"/>
    <x v="0"/>
    <x v="495"/>
    <x v="1117"/>
    <n v="0"/>
    <x v="0"/>
    <x v="5"/>
    <x v="2"/>
  </r>
  <r>
    <x v="0"/>
    <x v="2"/>
    <x v="2"/>
    <x v="0"/>
    <x v="0"/>
    <x v="495"/>
    <x v="1117"/>
    <n v="0"/>
    <x v="0"/>
    <x v="5"/>
    <x v="2"/>
  </r>
  <r>
    <x v="0"/>
    <x v="3"/>
    <x v="3"/>
    <x v="0"/>
    <x v="0"/>
    <x v="495"/>
    <x v="1117"/>
    <n v="0"/>
    <x v="0"/>
    <x v="5"/>
    <x v="2"/>
  </r>
  <r>
    <x v="0"/>
    <x v="4"/>
    <x v="4"/>
    <x v="0"/>
    <x v="0"/>
    <x v="495"/>
    <x v="1117"/>
    <n v="0"/>
    <x v="0"/>
    <x v="5"/>
    <x v="2"/>
  </r>
  <r>
    <x v="0"/>
    <x v="0"/>
    <x v="0"/>
    <x v="0"/>
    <x v="0"/>
    <x v="525"/>
    <x v="1118"/>
    <n v="0"/>
    <x v="0"/>
    <x v="5"/>
    <x v="3"/>
  </r>
  <r>
    <x v="0"/>
    <x v="1"/>
    <x v="1"/>
    <x v="0"/>
    <x v="0"/>
    <x v="525"/>
    <x v="1118"/>
    <n v="0"/>
    <x v="0"/>
    <x v="5"/>
    <x v="3"/>
  </r>
  <r>
    <x v="0"/>
    <x v="2"/>
    <x v="2"/>
    <x v="0"/>
    <x v="0"/>
    <x v="525"/>
    <x v="1118"/>
    <n v="0"/>
    <x v="0"/>
    <x v="5"/>
    <x v="3"/>
  </r>
  <r>
    <x v="0"/>
    <x v="3"/>
    <x v="3"/>
    <x v="0"/>
    <x v="0"/>
    <x v="525"/>
    <x v="1118"/>
    <n v="0"/>
    <x v="0"/>
    <x v="5"/>
    <x v="3"/>
  </r>
  <r>
    <x v="0"/>
    <x v="4"/>
    <x v="4"/>
    <x v="0"/>
    <x v="0"/>
    <x v="525"/>
    <x v="1118"/>
    <n v="0"/>
    <x v="0"/>
    <x v="5"/>
    <x v="3"/>
  </r>
  <r>
    <x v="0"/>
    <x v="0"/>
    <x v="0"/>
    <x v="0"/>
    <x v="0"/>
    <x v="526"/>
    <x v="1119"/>
    <n v="0"/>
    <x v="0"/>
    <x v="5"/>
    <x v="3"/>
  </r>
  <r>
    <x v="0"/>
    <x v="1"/>
    <x v="1"/>
    <x v="0"/>
    <x v="0"/>
    <x v="526"/>
    <x v="1119"/>
    <n v="0"/>
    <x v="0"/>
    <x v="5"/>
    <x v="3"/>
  </r>
  <r>
    <x v="0"/>
    <x v="2"/>
    <x v="2"/>
    <x v="0"/>
    <x v="0"/>
    <x v="526"/>
    <x v="1119"/>
    <n v="0"/>
    <x v="0"/>
    <x v="5"/>
    <x v="3"/>
  </r>
  <r>
    <x v="0"/>
    <x v="3"/>
    <x v="3"/>
    <x v="0"/>
    <x v="0"/>
    <x v="526"/>
    <x v="1119"/>
    <n v="0"/>
    <x v="0"/>
    <x v="5"/>
    <x v="3"/>
  </r>
  <r>
    <x v="0"/>
    <x v="4"/>
    <x v="4"/>
    <x v="0"/>
    <x v="0"/>
    <x v="526"/>
    <x v="1119"/>
    <n v="0"/>
    <x v="0"/>
    <x v="5"/>
    <x v="3"/>
  </r>
  <r>
    <x v="0"/>
    <x v="0"/>
    <x v="0"/>
    <x v="0"/>
    <x v="0"/>
    <x v="527"/>
    <x v="1120"/>
    <n v="0"/>
    <x v="0"/>
    <x v="5"/>
    <x v="3"/>
  </r>
  <r>
    <x v="0"/>
    <x v="1"/>
    <x v="1"/>
    <x v="0"/>
    <x v="0"/>
    <x v="527"/>
    <x v="1120"/>
    <n v="0"/>
    <x v="0"/>
    <x v="5"/>
    <x v="3"/>
  </r>
  <r>
    <x v="0"/>
    <x v="2"/>
    <x v="2"/>
    <x v="0"/>
    <x v="0"/>
    <x v="527"/>
    <x v="1120"/>
    <n v="0"/>
    <x v="0"/>
    <x v="5"/>
    <x v="3"/>
  </r>
  <r>
    <x v="0"/>
    <x v="3"/>
    <x v="3"/>
    <x v="0"/>
    <x v="0"/>
    <x v="527"/>
    <x v="1120"/>
    <n v="0"/>
    <x v="0"/>
    <x v="5"/>
    <x v="3"/>
  </r>
  <r>
    <x v="0"/>
    <x v="4"/>
    <x v="4"/>
    <x v="0"/>
    <x v="0"/>
    <x v="527"/>
    <x v="1120"/>
    <n v="0"/>
    <x v="0"/>
    <x v="5"/>
    <x v="3"/>
  </r>
  <r>
    <x v="0"/>
    <x v="0"/>
    <x v="0"/>
    <x v="0"/>
    <x v="0"/>
    <x v="528"/>
    <x v="1121"/>
    <n v="9948170.3800000008"/>
    <x v="0"/>
    <x v="5"/>
    <x v="2"/>
  </r>
  <r>
    <x v="0"/>
    <x v="1"/>
    <x v="1"/>
    <x v="0"/>
    <x v="0"/>
    <x v="528"/>
    <x v="1121"/>
    <n v="905704.66"/>
    <x v="0"/>
    <x v="5"/>
    <x v="2"/>
  </r>
  <r>
    <x v="0"/>
    <x v="2"/>
    <x v="2"/>
    <x v="0"/>
    <x v="0"/>
    <x v="528"/>
    <x v="1121"/>
    <n v="41121927.460000001"/>
    <x v="0"/>
    <x v="5"/>
    <x v="2"/>
  </r>
  <r>
    <x v="0"/>
    <x v="3"/>
    <x v="3"/>
    <x v="0"/>
    <x v="0"/>
    <x v="528"/>
    <x v="1121"/>
    <n v="0"/>
    <x v="0"/>
    <x v="5"/>
    <x v="2"/>
  </r>
  <r>
    <x v="0"/>
    <x v="4"/>
    <x v="4"/>
    <x v="0"/>
    <x v="0"/>
    <x v="528"/>
    <x v="1121"/>
    <n v="51975802.5"/>
    <x v="0"/>
    <x v="5"/>
    <x v="2"/>
  </r>
  <r>
    <x v="0"/>
    <x v="0"/>
    <x v="0"/>
    <x v="0"/>
    <x v="0"/>
    <x v="177"/>
    <x v="1122"/>
    <n v="40000"/>
    <x v="0"/>
    <x v="5"/>
    <x v="3"/>
  </r>
  <r>
    <x v="0"/>
    <x v="1"/>
    <x v="1"/>
    <x v="0"/>
    <x v="0"/>
    <x v="177"/>
    <x v="1122"/>
    <n v="0"/>
    <x v="0"/>
    <x v="5"/>
    <x v="3"/>
  </r>
  <r>
    <x v="0"/>
    <x v="2"/>
    <x v="2"/>
    <x v="0"/>
    <x v="0"/>
    <x v="177"/>
    <x v="1122"/>
    <n v="1407197.19"/>
    <x v="0"/>
    <x v="5"/>
    <x v="3"/>
  </r>
  <r>
    <x v="0"/>
    <x v="3"/>
    <x v="3"/>
    <x v="0"/>
    <x v="0"/>
    <x v="177"/>
    <x v="1122"/>
    <n v="0"/>
    <x v="0"/>
    <x v="5"/>
    <x v="3"/>
  </r>
  <r>
    <x v="0"/>
    <x v="4"/>
    <x v="4"/>
    <x v="0"/>
    <x v="0"/>
    <x v="177"/>
    <x v="1122"/>
    <n v="1447197.19"/>
    <x v="0"/>
    <x v="5"/>
    <x v="3"/>
  </r>
  <r>
    <x v="0"/>
    <x v="0"/>
    <x v="0"/>
    <x v="0"/>
    <x v="0"/>
    <x v="178"/>
    <x v="1123"/>
    <n v="9274345.3800000008"/>
    <x v="0"/>
    <x v="5"/>
    <x v="3"/>
  </r>
  <r>
    <x v="0"/>
    <x v="1"/>
    <x v="1"/>
    <x v="0"/>
    <x v="0"/>
    <x v="178"/>
    <x v="1123"/>
    <n v="905704.66"/>
    <x v="0"/>
    <x v="5"/>
    <x v="3"/>
  </r>
  <r>
    <x v="0"/>
    <x v="2"/>
    <x v="2"/>
    <x v="0"/>
    <x v="0"/>
    <x v="178"/>
    <x v="1123"/>
    <n v="39240963.869999997"/>
    <x v="0"/>
    <x v="5"/>
    <x v="3"/>
  </r>
  <r>
    <x v="0"/>
    <x v="3"/>
    <x v="3"/>
    <x v="0"/>
    <x v="0"/>
    <x v="178"/>
    <x v="1123"/>
    <n v="0"/>
    <x v="0"/>
    <x v="5"/>
    <x v="3"/>
  </r>
  <r>
    <x v="0"/>
    <x v="4"/>
    <x v="4"/>
    <x v="0"/>
    <x v="0"/>
    <x v="178"/>
    <x v="1123"/>
    <n v="49421013.909999996"/>
    <x v="0"/>
    <x v="5"/>
    <x v="3"/>
  </r>
  <r>
    <x v="0"/>
    <x v="0"/>
    <x v="0"/>
    <x v="0"/>
    <x v="0"/>
    <x v="179"/>
    <x v="1124"/>
    <n v="633825"/>
    <x v="0"/>
    <x v="5"/>
    <x v="3"/>
  </r>
  <r>
    <x v="0"/>
    <x v="1"/>
    <x v="1"/>
    <x v="0"/>
    <x v="0"/>
    <x v="179"/>
    <x v="1124"/>
    <n v="0"/>
    <x v="0"/>
    <x v="5"/>
    <x v="3"/>
  </r>
  <r>
    <x v="0"/>
    <x v="2"/>
    <x v="2"/>
    <x v="0"/>
    <x v="0"/>
    <x v="179"/>
    <x v="1124"/>
    <n v="457003"/>
    <x v="0"/>
    <x v="5"/>
    <x v="3"/>
  </r>
  <r>
    <x v="0"/>
    <x v="3"/>
    <x v="3"/>
    <x v="0"/>
    <x v="0"/>
    <x v="179"/>
    <x v="1124"/>
    <n v="0"/>
    <x v="0"/>
    <x v="5"/>
    <x v="3"/>
  </r>
  <r>
    <x v="0"/>
    <x v="4"/>
    <x v="4"/>
    <x v="0"/>
    <x v="0"/>
    <x v="179"/>
    <x v="1124"/>
    <n v="1090828"/>
    <x v="0"/>
    <x v="5"/>
    <x v="3"/>
  </r>
  <r>
    <x v="0"/>
    <x v="0"/>
    <x v="0"/>
    <x v="0"/>
    <x v="0"/>
    <x v="180"/>
    <x v="1125"/>
    <n v="0"/>
    <x v="0"/>
    <x v="5"/>
    <x v="3"/>
  </r>
  <r>
    <x v="0"/>
    <x v="1"/>
    <x v="1"/>
    <x v="0"/>
    <x v="0"/>
    <x v="180"/>
    <x v="1125"/>
    <n v="0"/>
    <x v="0"/>
    <x v="5"/>
    <x v="3"/>
  </r>
  <r>
    <x v="0"/>
    <x v="2"/>
    <x v="2"/>
    <x v="0"/>
    <x v="0"/>
    <x v="180"/>
    <x v="1125"/>
    <n v="0"/>
    <x v="0"/>
    <x v="5"/>
    <x v="3"/>
  </r>
  <r>
    <x v="0"/>
    <x v="3"/>
    <x v="3"/>
    <x v="0"/>
    <x v="0"/>
    <x v="180"/>
    <x v="1125"/>
    <n v="0"/>
    <x v="0"/>
    <x v="5"/>
    <x v="3"/>
  </r>
  <r>
    <x v="0"/>
    <x v="4"/>
    <x v="4"/>
    <x v="0"/>
    <x v="0"/>
    <x v="180"/>
    <x v="1125"/>
    <n v="0"/>
    <x v="0"/>
    <x v="5"/>
    <x v="3"/>
  </r>
  <r>
    <x v="0"/>
    <x v="0"/>
    <x v="0"/>
    <x v="0"/>
    <x v="0"/>
    <x v="181"/>
    <x v="1126"/>
    <n v="0"/>
    <x v="0"/>
    <x v="5"/>
    <x v="3"/>
  </r>
  <r>
    <x v="0"/>
    <x v="1"/>
    <x v="1"/>
    <x v="0"/>
    <x v="0"/>
    <x v="181"/>
    <x v="1126"/>
    <n v="0"/>
    <x v="0"/>
    <x v="5"/>
    <x v="3"/>
  </r>
  <r>
    <x v="0"/>
    <x v="2"/>
    <x v="2"/>
    <x v="0"/>
    <x v="0"/>
    <x v="181"/>
    <x v="1126"/>
    <n v="0"/>
    <x v="0"/>
    <x v="5"/>
    <x v="3"/>
  </r>
  <r>
    <x v="0"/>
    <x v="3"/>
    <x v="3"/>
    <x v="0"/>
    <x v="0"/>
    <x v="181"/>
    <x v="1126"/>
    <n v="0"/>
    <x v="0"/>
    <x v="5"/>
    <x v="3"/>
  </r>
  <r>
    <x v="0"/>
    <x v="4"/>
    <x v="4"/>
    <x v="0"/>
    <x v="0"/>
    <x v="181"/>
    <x v="1126"/>
    <n v="0"/>
    <x v="0"/>
    <x v="5"/>
    <x v="3"/>
  </r>
  <r>
    <x v="0"/>
    <x v="0"/>
    <x v="0"/>
    <x v="0"/>
    <x v="0"/>
    <x v="182"/>
    <x v="1127"/>
    <n v="0"/>
    <x v="0"/>
    <x v="5"/>
    <x v="3"/>
  </r>
  <r>
    <x v="0"/>
    <x v="1"/>
    <x v="1"/>
    <x v="0"/>
    <x v="0"/>
    <x v="182"/>
    <x v="1127"/>
    <n v="0"/>
    <x v="0"/>
    <x v="5"/>
    <x v="3"/>
  </r>
  <r>
    <x v="0"/>
    <x v="2"/>
    <x v="2"/>
    <x v="0"/>
    <x v="0"/>
    <x v="182"/>
    <x v="1127"/>
    <n v="0"/>
    <x v="0"/>
    <x v="5"/>
    <x v="3"/>
  </r>
  <r>
    <x v="0"/>
    <x v="3"/>
    <x v="3"/>
    <x v="0"/>
    <x v="0"/>
    <x v="182"/>
    <x v="1127"/>
    <n v="0"/>
    <x v="0"/>
    <x v="5"/>
    <x v="3"/>
  </r>
  <r>
    <x v="0"/>
    <x v="4"/>
    <x v="4"/>
    <x v="0"/>
    <x v="0"/>
    <x v="182"/>
    <x v="1127"/>
    <n v="0"/>
    <x v="0"/>
    <x v="5"/>
    <x v="3"/>
  </r>
  <r>
    <x v="0"/>
    <x v="0"/>
    <x v="0"/>
    <x v="0"/>
    <x v="0"/>
    <x v="183"/>
    <x v="1128"/>
    <n v="0"/>
    <x v="0"/>
    <x v="5"/>
    <x v="3"/>
  </r>
  <r>
    <x v="0"/>
    <x v="1"/>
    <x v="1"/>
    <x v="0"/>
    <x v="0"/>
    <x v="183"/>
    <x v="1128"/>
    <n v="0"/>
    <x v="0"/>
    <x v="5"/>
    <x v="3"/>
  </r>
  <r>
    <x v="0"/>
    <x v="2"/>
    <x v="2"/>
    <x v="0"/>
    <x v="0"/>
    <x v="183"/>
    <x v="1128"/>
    <n v="16763.400000000001"/>
    <x v="0"/>
    <x v="5"/>
    <x v="3"/>
  </r>
  <r>
    <x v="0"/>
    <x v="3"/>
    <x v="3"/>
    <x v="0"/>
    <x v="0"/>
    <x v="183"/>
    <x v="1128"/>
    <n v="0"/>
    <x v="0"/>
    <x v="5"/>
    <x v="3"/>
  </r>
  <r>
    <x v="0"/>
    <x v="4"/>
    <x v="4"/>
    <x v="0"/>
    <x v="0"/>
    <x v="183"/>
    <x v="1128"/>
    <n v="16763.400000000001"/>
    <x v="0"/>
    <x v="5"/>
    <x v="3"/>
  </r>
  <r>
    <x v="0"/>
    <x v="0"/>
    <x v="0"/>
    <x v="0"/>
    <x v="0"/>
    <x v="184"/>
    <x v="1129"/>
    <n v="0"/>
    <x v="0"/>
    <x v="5"/>
    <x v="3"/>
  </r>
  <r>
    <x v="0"/>
    <x v="1"/>
    <x v="1"/>
    <x v="0"/>
    <x v="0"/>
    <x v="184"/>
    <x v="1129"/>
    <n v="0"/>
    <x v="0"/>
    <x v="5"/>
    <x v="3"/>
  </r>
  <r>
    <x v="0"/>
    <x v="2"/>
    <x v="2"/>
    <x v="0"/>
    <x v="0"/>
    <x v="184"/>
    <x v="1129"/>
    <n v="0"/>
    <x v="0"/>
    <x v="5"/>
    <x v="3"/>
  </r>
  <r>
    <x v="0"/>
    <x v="3"/>
    <x v="3"/>
    <x v="0"/>
    <x v="0"/>
    <x v="184"/>
    <x v="1129"/>
    <n v="0"/>
    <x v="0"/>
    <x v="5"/>
    <x v="3"/>
  </r>
  <r>
    <x v="0"/>
    <x v="4"/>
    <x v="4"/>
    <x v="0"/>
    <x v="0"/>
    <x v="184"/>
    <x v="1129"/>
    <n v="0"/>
    <x v="0"/>
    <x v="5"/>
    <x v="3"/>
  </r>
  <r>
    <x v="0"/>
    <x v="0"/>
    <x v="0"/>
    <x v="0"/>
    <x v="0"/>
    <x v="529"/>
    <x v="1130"/>
    <n v="0"/>
    <x v="0"/>
    <x v="5"/>
    <x v="2"/>
  </r>
  <r>
    <x v="0"/>
    <x v="1"/>
    <x v="1"/>
    <x v="0"/>
    <x v="0"/>
    <x v="529"/>
    <x v="1130"/>
    <n v="0"/>
    <x v="0"/>
    <x v="5"/>
    <x v="2"/>
  </r>
  <r>
    <x v="0"/>
    <x v="2"/>
    <x v="2"/>
    <x v="0"/>
    <x v="0"/>
    <x v="529"/>
    <x v="1130"/>
    <n v="3008353.13"/>
    <x v="0"/>
    <x v="5"/>
    <x v="2"/>
  </r>
  <r>
    <x v="0"/>
    <x v="3"/>
    <x v="3"/>
    <x v="0"/>
    <x v="0"/>
    <x v="529"/>
    <x v="1130"/>
    <n v="0"/>
    <x v="0"/>
    <x v="5"/>
    <x v="2"/>
  </r>
  <r>
    <x v="0"/>
    <x v="4"/>
    <x v="4"/>
    <x v="0"/>
    <x v="0"/>
    <x v="529"/>
    <x v="1130"/>
    <n v="3008353.13"/>
    <x v="0"/>
    <x v="5"/>
    <x v="2"/>
  </r>
  <r>
    <x v="0"/>
    <x v="0"/>
    <x v="0"/>
    <x v="0"/>
    <x v="0"/>
    <x v="530"/>
    <x v="1131"/>
    <n v="0"/>
    <x v="0"/>
    <x v="5"/>
    <x v="3"/>
  </r>
  <r>
    <x v="0"/>
    <x v="1"/>
    <x v="1"/>
    <x v="0"/>
    <x v="0"/>
    <x v="530"/>
    <x v="1131"/>
    <n v="0"/>
    <x v="0"/>
    <x v="5"/>
    <x v="3"/>
  </r>
  <r>
    <x v="0"/>
    <x v="2"/>
    <x v="2"/>
    <x v="0"/>
    <x v="0"/>
    <x v="530"/>
    <x v="1131"/>
    <n v="3008353.13"/>
    <x v="0"/>
    <x v="5"/>
    <x v="3"/>
  </r>
  <r>
    <x v="0"/>
    <x v="3"/>
    <x v="3"/>
    <x v="0"/>
    <x v="0"/>
    <x v="530"/>
    <x v="1131"/>
    <n v="0"/>
    <x v="0"/>
    <x v="5"/>
    <x v="3"/>
  </r>
  <r>
    <x v="0"/>
    <x v="4"/>
    <x v="4"/>
    <x v="0"/>
    <x v="0"/>
    <x v="530"/>
    <x v="1131"/>
    <n v="3008353.13"/>
    <x v="0"/>
    <x v="5"/>
    <x v="3"/>
  </r>
  <r>
    <x v="0"/>
    <x v="0"/>
    <x v="0"/>
    <x v="0"/>
    <x v="0"/>
    <x v="531"/>
    <x v="1132"/>
    <n v="0"/>
    <x v="0"/>
    <x v="5"/>
    <x v="3"/>
  </r>
  <r>
    <x v="0"/>
    <x v="1"/>
    <x v="1"/>
    <x v="0"/>
    <x v="0"/>
    <x v="531"/>
    <x v="1132"/>
    <n v="0"/>
    <x v="0"/>
    <x v="5"/>
    <x v="3"/>
  </r>
  <r>
    <x v="0"/>
    <x v="2"/>
    <x v="2"/>
    <x v="0"/>
    <x v="0"/>
    <x v="531"/>
    <x v="1132"/>
    <n v="0"/>
    <x v="0"/>
    <x v="5"/>
    <x v="3"/>
  </r>
  <r>
    <x v="0"/>
    <x v="3"/>
    <x v="3"/>
    <x v="0"/>
    <x v="0"/>
    <x v="531"/>
    <x v="1132"/>
    <n v="0"/>
    <x v="0"/>
    <x v="5"/>
    <x v="3"/>
  </r>
  <r>
    <x v="0"/>
    <x v="4"/>
    <x v="4"/>
    <x v="0"/>
    <x v="0"/>
    <x v="531"/>
    <x v="1132"/>
    <n v="0"/>
    <x v="0"/>
    <x v="5"/>
    <x v="3"/>
  </r>
  <r>
    <x v="0"/>
    <x v="0"/>
    <x v="0"/>
    <x v="0"/>
    <x v="0"/>
    <x v="532"/>
    <x v="1133"/>
    <n v="0"/>
    <x v="0"/>
    <x v="5"/>
    <x v="3"/>
  </r>
  <r>
    <x v="0"/>
    <x v="1"/>
    <x v="1"/>
    <x v="0"/>
    <x v="0"/>
    <x v="532"/>
    <x v="1133"/>
    <n v="0"/>
    <x v="0"/>
    <x v="5"/>
    <x v="3"/>
  </r>
  <r>
    <x v="0"/>
    <x v="2"/>
    <x v="2"/>
    <x v="0"/>
    <x v="0"/>
    <x v="532"/>
    <x v="1133"/>
    <n v="0"/>
    <x v="0"/>
    <x v="5"/>
    <x v="3"/>
  </r>
  <r>
    <x v="0"/>
    <x v="3"/>
    <x v="3"/>
    <x v="0"/>
    <x v="0"/>
    <x v="532"/>
    <x v="1133"/>
    <n v="0"/>
    <x v="0"/>
    <x v="5"/>
    <x v="3"/>
  </r>
  <r>
    <x v="0"/>
    <x v="4"/>
    <x v="4"/>
    <x v="0"/>
    <x v="0"/>
    <x v="532"/>
    <x v="1133"/>
    <n v="0"/>
    <x v="0"/>
    <x v="5"/>
    <x v="3"/>
  </r>
  <r>
    <x v="0"/>
    <x v="0"/>
    <x v="0"/>
    <x v="0"/>
    <x v="0"/>
    <x v="533"/>
    <x v="1134"/>
    <n v="601601930.37"/>
    <x v="0"/>
    <x v="6"/>
    <x v="0"/>
  </r>
  <r>
    <x v="0"/>
    <x v="1"/>
    <x v="1"/>
    <x v="0"/>
    <x v="0"/>
    <x v="533"/>
    <x v="1134"/>
    <n v="97633307.480000004"/>
    <x v="0"/>
    <x v="6"/>
    <x v="0"/>
  </r>
  <r>
    <x v="0"/>
    <x v="2"/>
    <x v="2"/>
    <x v="0"/>
    <x v="0"/>
    <x v="533"/>
    <x v="1134"/>
    <n v="1012961356.27"/>
    <x v="0"/>
    <x v="6"/>
    <x v="0"/>
  </r>
  <r>
    <x v="0"/>
    <x v="3"/>
    <x v="3"/>
    <x v="0"/>
    <x v="0"/>
    <x v="533"/>
    <x v="1134"/>
    <n v="82032738.819999993"/>
    <x v="0"/>
    <x v="6"/>
    <x v="0"/>
  </r>
  <r>
    <x v="0"/>
    <x v="4"/>
    <x v="4"/>
    <x v="0"/>
    <x v="0"/>
    <x v="533"/>
    <x v="1134"/>
    <n v="1794229332.9399998"/>
    <x v="0"/>
    <x v="6"/>
    <x v="0"/>
  </r>
  <r>
    <x v="0"/>
    <x v="0"/>
    <x v="0"/>
    <x v="0"/>
    <x v="0"/>
    <x v="534"/>
    <x v="1135"/>
    <n v="17729164.010000002"/>
    <x v="0"/>
    <x v="6"/>
    <x v="1"/>
  </r>
  <r>
    <x v="0"/>
    <x v="1"/>
    <x v="1"/>
    <x v="0"/>
    <x v="0"/>
    <x v="534"/>
    <x v="1135"/>
    <n v="7373114.4000000004"/>
    <x v="0"/>
    <x v="6"/>
    <x v="1"/>
  </r>
  <r>
    <x v="0"/>
    <x v="2"/>
    <x v="2"/>
    <x v="0"/>
    <x v="0"/>
    <x v="534"/>
    <x v="1135"/>
    <n v="47627618.32"/>
    <x v="0"/>
    <x v="6"/>
    <x v="1"/>
  </r>
  <r>
    <x v="0"/>
    <x v="3"/>
    <x v="3"/>
    <x v="0"/>
    <x v="0"/>
    <x v="534"/>
    <x v="1135"/>
    <n v="6772785.1799999997"/>
    <x v="0"/>
    <x v="6"/>
    <x v="1"/>
  </r>
  <r>
    <x v="0"/>
    <x v="4"/>
    <x v="4"/>
    <x v="0"/>
    <x v="0"/>
    <x v="534"/>
    <x v="1135"/>
    <n v="79502681.909999996"/>
    <x v="0"/>
    <x v="6"/>
    <x v="1"/>
  </r>
  <r>
    <x v="0"/>
    <x v="0"/>
    <x v="0"/>
    <x v="0"/>
    <x v="0"/>
    <x v="535"/>
    <x v="1136"/>
    <n v="153022.54"/>
    <x v="0"/>
    <x v="6"/>
    <x v="2"/>
  </r>
  <r>
    <x v="0"/>
    <x v="1"/>
    <x v="1"/>
    <x v="0"/>
    <x v="0"/>
    <x v="535"/>
    <x v="1136"/>
    <n v="0"/>
    <x v="0"/>
    <x v="6"/>
    <x v="2"/>
  </r>
  <r>
    <x v="0"/>
    <x v="2"/>
    <x v="2"/>
    <x v="0"/>
    <x v="0"/>
    <x v="535"/>
    <x v="1136"/>
    <n v="1105178.67"/>
    <x v="0"/>
    <x v="6"/>
    <x v="2"/>
  </r>
  <r>
    <x v="0"/>
    <x v="3"/>
    <x v="3"/>
    <x v="0"/>
    <x v="0"/>
    <x v="535"/>
    <x v="1136"/>
    <n v="0"/>
    <x v="0"/>
    <x v="6"/>
    <x v="2"/>
  </r>
  <r>
    <x v="0"/>
    <x v="4"/>
    <x v="4"/>
    <x v="0"/>
    <x v="0"/>
    <x v="535"/>
    <x v="1136"/>
    <n v="1258201.21"/>
    <x v="0"/>
    <x v="6"/>
    <x v="2"/>
  </r>
  <r>
    <x v="0"/>
    <x v="0"/>
    <x v="0"/>
    <x v="0"/>
    <x v="0"/>
    <x v="536"/>
    <x v="1137"/>
    <n v="0"/>
    <x v="0"/>
    <x v="6"/>
    <x v="3"/>
  </r>
  <r>
    <x v="0"/>
    <x v="1"/>
    <x v="1"/>
    <x v="0"/>
    <x v="0"/>
    <x v="536"/>
    <x v="1137"/>
    <n v="0"/>
    <x v="0"/>
    <x v="6"/>
    <x v="3"/>
  </r>
  <r>
    <x v="0"/>
    <x v="2"/>
    <x v="2"/>
    <x v="0"/>
    <x v="0"/>
    <x v="536"/>
    <x v="1137"/>
    <n v="0"/>
    <x v="0"/>
    <x v="6"/>
    <x v="3"/>
  </r>
  <r>
    <x v="0"/>
    <x v="3"/>
    <x v="3"/>
    <x v="0"/>
    <x v="0"/>
    <x v="536"/>
    <x v="1137"/>
    <n v="0"/>
    <x v="0"/>
    <x v="6"/>
    <x v="3"/>
  </r>
  <r>
    <x v="0"/>
    <x v="4"/>
    <x v="4"/>
    <x v="0"/>
    <x v="0"/>
    <x v="536"/>
    <x v="1137"/>
    <n v="0"/>
    <x v="0"/>
    <x v="6"/>
    <x v="3"/>
  </r>
  <r>
    <x v="0"/>
    <x v="0"/>
    <x v="0"/>
    <x v="0"/>
    <x v="0"/>
    <x v="537"/>
    <x v="1138"/>
    <n v="0"/>
    <x v="0"/>
    <x v="6"/>
    <x v="3"/>
  </r>
  <r>
    <x v="0"/>
    <x v="1"/>
    <x v="1"/>
    <x v="0"/>
    <x v="0"/>
    <x v="537"/>
    <x v="1138"/>
    <n v="0"/>
    <x v="0"/>
    <x v="6"/>
    <x v="3"/>
  </r>
  <r>
    <x v="0"/>
    <x v="2"/>
    <x v="2"/>
    <x v="0"/>
    <x v="0"/>
    <x v="537"/>
    <x v="1138"/>
    <n v="0"/>
    <x v="0"/>
    <x v="6"/>
    <x v="3"/>
  </r>
  <r>
    <x v="0"/>
    <x v="3"/>
    <x v="3"/>
    <x v="0"/>
    <x v="0"/>
    <x v="537"/>
    <x v="1138"/>
    <n v="0"/>
    <x v="0"/>
    <x v="6"/>
    <x v="3"/>
  </r>
  <r>
    <x v="0"/>
    <x v="4"/>
    <x v="4"/>
    <x v="0"/>
    <x v="0"/>
    <x v="537"/>
    <x v="1138"/>
    <n v="0"/>
    <x v="0"/>
    <x v="6"/>
    <x v="3"/>
  </r>
  <r>
    <x v="0"/>
    <x v="0"/>
    <x v="0"/>
    <x v="0"/>
    <x v="0"/>
    <x v="538"/>
    <x v="1139"/>
    <n v="0"/>
    <x v="0"/>
    <x v="6"/>
    <x v="3"/>
  </r>
  <r>
    <x v="0"/>
    <x v="1"/>
    <x v="1"/>
    <x v="0"/>
    <x v="0"/>
    <x v="538"/>
    <x v="1139"/>
    <n v="0"/>
    <x v="0"/>
    <x v="6"/>
    <x v="3"/>
  </r>
  <r>
    <x v="0"/>
    <x v="2"/>
    <x v="2"/>
    <x v="0"/>
    <x v="0"/>
    <x v="538"/>
    <x v="1139"/>
    <n v="1105178.67"/>
    <x v="0"/>
    <x v="6"/>
    <x v="3"/>
  </r>
  <r>
    <x v="0"/>
    <x v="3"/>
    <x v="3"/>
    <x v="0"/>
    <x v="0"/>
    <x v="538"/>
    <x v="1139"/>
    <n v="0"/>
    <x v="0"/>
    <x v="6"/>
    <x v="3"/>
  </r>
  <r>
    <x v="0"/>
    <x v="4"/>
    <x v="4"/>
    <x v="0"/>
    <x v="0"/>
    <x v="538"/>
    <x v="1139"/>
    <n v="1105178.67"/>
    <x v="0"/>
    <x v="6"/>
    <x v="3"/>
  </r>
  <r>
    <x v="0"/>
    <x v="0"/>
    <x v="0"/>
    <x v="0"/>
    <x v="0"/>
    <x v="539"/>
    <x v="1140"/>
    <n v="0"/>
    <x v="0"/>
    <x v="6"/>
    <x v="3"/>
  </r>
  <r>
    <x v="0"/>
    <x v="1"/>
    <x v="1"/>
    <x v="0"/>
    <x v="0"/>
    <x v="539"/>
    <x v="1140"/>
    <n v="0"/>
    <x v="0"/>
    <x v="6"/>
    <x v="3"/>
  </r>
  <r>
    <x v="0"/>
    <x v="2"/>
    <x v="2"/>
    <x v="0"/>
    <x v="0"/>
    <x v="539"/>
    <x v="1140"/>
    <n v="0"/>
    <x v="0"/>
    <x v="6"/>
    <x v="3"/>
  </r>
  <r>
    <x v="0"/>
    <x v="3"/>
    <x v="3"/>
    <x v="0"/>
    <x v="0"/>
    <x v="539"/>
    <x v="1140"/>
    <n v="0"/>
    <x v="0"/>
    <x v="6"/>
    <x v="3"/>
  </r>
  <r>
    <x v="0"/>
    <x v="4"/>
    <x v="4"/>
    <x v="0"/>
    <x v="0"/>
    <x v="539"/>
    <x v="1140"/>
    <n v="0"/>
    <x v="0"/>
    <x v="6"/>
    <x v="3"/>
  </r>
  <r>
    <x v="0"/>
    <x v="0"/>
    <x v="0"/>
    <x v="0"/>
    <x v="0"/>
    <x v="540"/>
    <x v="1141"/>
    <n v="0"/>
    <x v="0"/>
    <x v="6"/>
    <x v="3"/>
  </r>
  <r>
    <x v="0"/>
    <x v="1"/>
    <x v="1"/>
    <x v="0"/>
    <x v="0"/>
    <x v="540"/>
    <x v="1141"/>
    <n v="0"/>
    <x v="0"/>
    <x v="6"/>
    <x v="3"/>
  </r>
  <r>
    <x v="0"/>
    <x v="2"/>
    <x v="2"/>
    <x v="0"/>
    <x v="0"/>
    <x v="540"/>
    <x v="1141"/>
    <n v="0"/>
    <x v="0"/>
    <x v="6"/>
    <x v="3"/>
  </r>
  <r>
    <x v="0"/>
    <x v="3"/>
    <x v="3"/>
    <x v="0"/>
    <x v="0"/>
    <x v="540"/>
    <x v="1141"/>
    <n v="0"/>
    <x v="0"/>
    <x v="6"/>
    <x v="3"/>
  </r>
  <r>
    <x v="0"/>
    <x v="4"/>
    <x v="4"/>
    <x v="0"/>
    <x v="0"/>
    <x v="540"/>
    <x v="1141"/>
    <n v="0"/>
    <x v="0"/>
    <x v="6"/>
    <x v="3"/>
  </r>
  <r>
    <x v="0"/>
    <x v="0"/>
    <x v="0"/>
    <x v="0"/>
    <x v="0"/>
    <x v="68"/>
    <x v="1142"/>
    <n v="153022.54"/>
    <x v="0"/>
    <x v="6"/>
    <x v="3"/>
  </r>
  <r>
    <x v="0"/>
    <x v="1"/>
    <x v="1"/>
    <x v="0"/>
    <x v="0"/>
    <x v="68"/>
    <x v="1142"/>
    <n v="0"/>
    <x v="0"/>
    <x v="6"/>
    <x v="3"/>
  </r>
  <r>
    <x v="0"/>
    <x v="2"/>
    <x v="2"/>
    <x v="0"/>
    <x v="0"/>
    <x v="68"/>
    <x v="1142"/>
    <n v="0"/>
    <x v="0"/>
    <x v="6"/>
    <x v="3"/>
  </r>
  <r>
    <x v="0"/>
    <x v="3"/>
    <x v="3"/>
    <x v="0"/>
    <x v="0"/>
    <x v="68"/>
    <x v="1142"/>
    <n v="0"/>
    <x v="0"/>
    <x v="6"/>
    <x v="3"/>
  </r>
  <r>
    <x v="0"/>
    <x v="4"/>
    <x v="4"/>
    <x v="0"/>
    <x v="0"/>
    <x v="68"/>
    <x v="1142"/>
    <n v="153022.54"/>
    <x v="0"/>
    <x v="6"/>
    <x v="3"/>
  </r>
  <r>
    <x v="0"/>
    <x v="0"/>
    <x v="0"/>
    <x v="0"/>
    <x v="0"/>
    <x v="541"/>
    <x v="1143"/>
    <n v="316515.78999999998"/>
    <x v="0"/>
    <x v="6"/>
    <x v="2"/>
  </r>
  <r>
    <x v="0"/>
    <x v="1"/>
    <x v="1"/>
    <x v="0"/>
    <x v="0"/>
    <x v="541"/>
    <x v="1143"/>
    <n v="0"/>
    <x v="0"/>
    <x v="6"/>
    <x v="2"/>
  </r>
  <r>
    <x v="0"/>
    <x v="2"/>
    <x v="2"/>
    <x v="0"/>
    <x v="0"/>
    <x v="541"/>
    <x v="1143"/>
    <n v="11973270.960000001"/>
    <x v="0"/>
    <x v="6"/>
    <x v="2"/>
  </r>
  <r>
    <x v="0"/>
    <x v="3"/>
    <x v="3"/>
    <x v="0"/>
    <x v="0"/>
    <x v="541"/>
    <x v="1143"/>
    <n v="0"/>
    <x v="0"/>
    <x v="6"/>
    <x v="2"/>
  </r>
  <r>
    <x v="0"/>
    <x v="4"/>
    <x v="4"/>
    <x v="0"/>
    <x v="0"/>
    <x v="541"/>
    <x v="1143"/>
    <n v="12289786.75"/>
    <x v="0"/>
    <x v="6"/>
    <x v="2"/>
  </r>
  <r>
    <x v="0"/>
    <x v="0"/>
    <x v="0"/>
    <x v="0"/>
    <x v="0"/>
    <x v="542"/>
    <x v="1144"/>
    <n v="0"/>
    <x v="0"/>
    <x v="6"/>
    <x v="3"/>
  </r>
  <r>
    <x v="0"/>
    <x v="1"/>
    <x v="1"/>
    <x v="0"/>
    <x v="0"/>
    <x v="542"/>
    <x v="1144"/>
    <n v="0"/>
    <x v="0"/>
    <x v="6"/>
    <x v="3"/>
  </r>
  <r>
    <x v="0"/>
    <x v="2"/>
    <x v="2"/>
    <x v="0"/>
    <x v="0"/>
    <x v="542"/>
    <x v="1144"/>
    <n v="0"/>
    <x v="0"/>
    <x v="6"/>
    <x v="3"/>
  </r>
  <r>
    <x v="0"/>
    <x v="3"/>
    <x v="3"/>
    <x v="0"/>
    <x v="0"/>
    <x v="542"/>
    <x v="1144"/>
    <n v="0"/>
    <x v="0"/>
    <x v="6"/>
    <x v="3"/>
  </r>
  <r>
    <x v="0"/>
    <x v="4"/>
    <x v="4"/>
    <x v="0"/>
    <x v="0"/>
    <x v="542"/>
    <x v="1144"/>
    <n v="0"/>
    <x v="0"/>
    <x v="6"/>
    <x v="3"/>
  </r>
  <r>
    <x v="0"/>
    <x v="0"/>
    <x v="0"/>
    <x v="0"/>
    <x v="0"/>
    <x v="543"/>
    <x v="1145"/>
    <n v="0"/>
    <x v="0"/>
    <x v="6"/>
    <x v="3"/>
  </r>
  <r>
    <x v="0"/>
    <x v="1"/>
    <x v="1"/>
    <x v="0"/>
    <x v="0"/>
    <x v="543"/>
    <x v="1145"/>
    <n v="0"/>
    <x v="0"/>
    <x v="6"/>
    <x v="3"/>
  </r>
  <r>
    <x v="0"/>
    <x v="2"/>
    <x v="2"/>
    <x v="0"/>
    <x v="0"/>
    <x v="543"/>
    <x v="1145"/>
    <n v="0"/>
    <x v="0"/>
    <x v="6"/>
    <x v="3"/>
  </r>
  <r>
    <x v="0"/>
    <x v="3"/>
    <x v="3"/>
    <x v="0"/>
    <x v="0"/>
    <x v="543"/>
    <x v="1145"/>
    <n v="0"/>
    <x v="0"/>
    <x v="6"/>
    <x v="3"/>
  </r>
  <r>
    <x v="0"/>
    <x v="4"/>
    <x v="4"/>
    <x v="0"/>
    <x v="0"/>
    <x v="543"/>
    <x v="1145"/>
    <n v="0"/>
    <x v="0"/>
    <x v="6"/>
    <x v="3"/>
  </r>
  <r>
    <x v="0"/>
    <x v="0"/>
    <x v="0"/>
    <x v="0"/>
    <x v="0"/>
    <x v="544"/>
    <x v="1146"/>
    <n v="0"/>
    <x v="0"/>
    <x v="6"/>
    <x v="3"/>
  </r>
  <r>
    <x v="0"/>
    <x v="1"/>
    <x v="1"/>
    <x v="0"/>
    <x v="0"/>
    <x v="544"/>
    <x v="1146"/>
    <n v="0"/>
    <x v="0"/>
    <x v="6"/>
    <x v="3"/>
  </r>
  <r>
    <x v="0"/>
    <x v="2"/>
    <x v="2"/>
    <x v="0"/>
    <x v="0"/>
    <x v="544"/>
    <x v="1146"/>
    <n v="0"/>
    <x v="0"/>
    <x v="6"/>
    <x v="3"/>
  </r>
  <r>
    <x v="0"/>
    <x v="3"/>
    <x v="3"/>
    <x v="0"/>
    <x v="0"/>
    <x v="544"/>
    <x v="1146"/>
    <n v="0"/>
    <x v="0"/>
    <x v="6"/>
    <x v="3"/>
  </r>
  <r>
    <x v="0"/>
    <x v="4"/>
    <x v="4"/>
    <x v="0"/>
    <x v="0"/>
    <x v="544"/>
    <x v="1146"/>
    <n v="0"/>
    <x v="0"/>
    <x v="6"/>
    <x v="3"/>
  </r>
  <r>
    <x v="0"/>
    <x v="0"/>
    <x v="0"/>
    <x v="0"/>
    <x v="0"/>
    <x v="545"/>
    <x v="1147"/>
    <n v="316515.78999999998"/>
    <x v="0"/>
    <x v="6"/>
    <x v="3"/>
  </r>
  <r>
    <x v="0"/>
    <x v="1"/>
    <x v="1"/>
    <x v="0"/>
    <x v="0"/>
    <x v="545"/>
    <x v="1147"/>
    <n v="0"/>
    <x v="0"/>
    <x v="6"/>
    <x v="3"/>
  </r>
  <r>
    <x v="0"/>
    <x v="2"/>
    <x v="2"/>
    <x v="0"/>
    <x v="0"/>
    <x v="545"/>
    <x v="1147"/>
    <n v="0"/>
    <x v="0"/>
    <x v="6"/>
    <x v="3"/>
  </r>
  <r>
    <x v="0"/>
    <x v="3"/>
    <x v="3"/>
    <x v="0"/>
    <x v="0"/>
    <x v="545"/>
    <x v="1147"/>
    <n v="0"/>
    <x v="0"/>
    <x v="6"/>
    <x v="3"/>
  </r>
  <r>
    <x v="0"/>
    <x v="4"/>
    <x v="4"/>
    <x v="0"/>
    <x v="0"/>
    <x v="545"/>
    <x v="1147"/>
    <n v="316515.78999999998"/>
    <x v="0"/>
    <x v="6"/>
    <x v="3"/>
  </r>
  <r>
    <x v="0"/>
    <x v="0"/>
    <x v="0"/>
    <x v="0"/>
    <x v="0"/>
    <x v="177"/>
    <x v="1148"/>
    <n v="0"/>
    <x v="0"/>
    <x v="6"/>
    <x v="3"/>
  </r>
  <r>
    <x v="0"/>
    <x v="1"/>
    <x v="1"/>
    <x v="0"/>
    <x v="0"/>
    <x v="177"/>
    <x v="1148"/>
    <n v="0"/>
    <x v="0"/>
    <x v="6"/>
    <x v="3"/>
  </r>
  <r>
    <x v="0"/>
    <x v="2"/>
    <x v="2"/>
    <x v="0"/>
    <x v="0"/>
    <x v="177"/>
    <x v="1148"/>
    <n v="0"/>
    <x v="0"/>
    <x v="6"/>
    <x v="3"/>
  </r>
  <r>
    <x v="0"/>
    <x v="3"/>
    <x v="3"/>
    <x v="0"/>
    <x v="0"/>
    <x v="177"/>
    <x v="1148"/>
    <n v="0"/>
    <x v="0"/>
    <x v="6"/>
    <x v="3"/>
  </r>
  <r>
    <x v="0"/>
    <x v="4"/>
    <x v="4"/>
    <x v="0"/>
    <x v="0"/>
    <x v="177"/>
    <x v="1148"/>
    <n v="0"/>
    <x v="0"/>
    <x v="6"/>
    <x v="3"/>
  </r>
  <r>
    <x v="0"/>
    <x v="0"/>
    <x v="0"/>
    <x v="0"/>
    <x v="0"/>
    <x v="178"/>
    <x v="1149"/>
    <n v="0"/>
    <x v="0"/>
    <x v="6"/>
    <x v="3"/>
  </r>
  <r>
    <x v="0"/>
    <x v="1"/>
    <x v="1"/>
    <x v="0"/>
    <x v="0"/>
    <x v="178"/>
    <x v="1149"/>
    <n v="0"/>
    <x v="0"/>
    <x v="6"/>
    <x v="3"/>
  </r>
  <r>
    <x v="0"/>
    <x v="2"/>
    <x v="2"/>
    <x v="0"/>
    <x v="0"/>
    <x v="178"/>
    <x v="1149"/>
    <n v="0"/>
    <x v="0"/>
    <x v="6"/>
    <x v="3"/>
  </r>
  <r>
    <x v="0"/>
    <x v="3"/>
    <x v="3"/>
    <x v="0"/>
    <x v="0"/>
    <x v="178"/>
    <x v="1149"/>
    <n v="0"/>
    <x v="0"/>
    <x v="6"/>
    <x v="3"/>
  </r>
  <r>
    <x v="0"/>
    <x v="4"/>
    <x v="4"/>
    <x v="0"/>
    <x v="0"/>
    <x v="178"/>
    <x v="1149"/>
    <n v="0"/>
    <x v="0"/>
    <x v="6"/>
    <x v="3"/>
  </r>
  <r>
    <x v="0"/>
    <x v="0"/>
    <x v="0"/>
    <x v="0"/>
    <x v="0"/>
    <x v="179"/>
    <x v="1150"/>
    <n v="0"/>
    <x v="0"/>
    <x v="6"/>
    <x v="3"/>
  </r>
  <r>
    <x v="0"/>
    <x v="1"/>
    <x v="1"/>
    <x v="0"/>
    <x v="0"/>
    <x v="179"/>
    <x v="1150"/>
    <n v="0"/>
    <x v="0"/>
    <x v="6"/>
    <x v="3"/>
  </r>
  <r>
    <x v="0"/>
    <x v="2"/>
    <x v="2"/>
    <x v="0"/>
    <x v="0"/>
    <x v="179"/>
    <x v="1150"/>
    <n v="11973270.960000001"/>
    <x v="0"/>
    <x v="6"/>
    <x v="3"/>
  </r>
  <r>
    <x v="0"/>
    <x v="3"/>
    <x v="3"/>
    <x v="0"/>
    <x v="0"/>
    <x v="179"/>
    <x v="1150"/>
    <n v="0"/>
    <x v="0"/>
    <x v="6"/>
    <x v="3"/>
  </r>
  <r>
    <x v="0"/>
    <x v="4"/>
    <x v="4"/>
    <x v="0"/>
    <x v="0"/>
    <x v="179"/>
    <x v="1150"/>
    <n v="11973270.960000001"/>
    <x v="0"/>
    <x v="6"/>
    <x v="3"/>
  </r>
  <r>
    <x v="0"/>
    <x v="0"/>
    <x v="0"/>
    <x v="0"/>
    <x v="0"/>
    <x v="180"/>
    <x v="1151"/>
    <n v="0"/>
    <x v="0"/>
    <x v="6"/>
    <x v="3"/>
  </r>
  <r>
    <x v="0"/>
    <x v="1"/>
    <x v="1"/>
    <x v="0"/>
    <x v="0"/>
    <x v="180"/>
    <x v="1151"/>
    <n v="0"/>
    <x v="0"/>
    <x v="6"/>
    <x v="3"/>
  </r>
  <r>
    <x v="0"/>
    <x v="2"/>
    <x v="2"/>
    <x v="0"/>
    <x v="0"/>
    <x v="180"/>
    <x v="1151"/>
    <n v="0"/>
    <x v="0"/>
    <x v="6"/>
    <x v="3"/>
  </r>
  <r>
    <x v="0"/>
    <x v="3"/>
    <x v="3"/>
    <x v="0"/>
    <x v="0"/>
    <x v="180"/>
    <x v="1151"/>
    <n v="0"/>
    <x v="0"/>
    <x v="6"/>
    <x v="3"/>
  </r>
  <r>
    <x v="0"/>
    <x v="4"/>
    <x v="4"/>
    <x v="0"/>
    <x v="0"/>
    <x v="180"/>
    <x v="1151"/>
    <n v="0"/>
    <x v="0"/>
    <x v="6"/>
    <x v="3"/>
  </r>
  <r>
    <x v="0"/>
    <x v="0"/>
    <x v="0"/>
    <x v="0"/>
    <x v="0"/>
    <x v="181"/>
    <x v="1152"/>
    <n v="0"/>
    <x v="0"/>
    <x v="6"/>
    <x v="3"/>
  </r>
  <r>
    <x v="0"/>
    <x v="1"/>
    <x v="1"/>
    <x v="0"/>
    <x v="0"/>
    <x v="181"/>
    <x v="1152"/>
    <n v="0"/>
    <x v="0"/>
    <x v="6"/>
    <x v="3"/>
  </r>
  <r>
    <x v="0"/>
    <x v="2"/>
    <x v="2"/>
    <x v="0"/>
    <x v="0"/>
    <x v="181"/>
    <x v="1152"/>
    <n v="0"/>
    <x v="0"/>
    <x v="6"/>
    <x v="3"/>
  </r>
  <r>
    <x v="0"/>
    <x v="3"/>
    <x v="3"/>
    <x v="0"/>
    <x v="0"/>
    <x v="181"/>
    <x v="1152"/>
    <n v="0"/>
    <x v="0"/>
    <x v="6"/>
    <x v="3"/>
  </r>
  <r>
    <x v="0"/>
    <x v="4"/>
    <x v="4"/>
    <x v="0"/>
    <x v="0"/>
    <x v="181"/>
    <x v="1152"/>
    <n v="0"/>
    <x v="0"/>
    <x v="6"/>
    <x v="3"/>
  </r>
  <r>
    <x v="0"/>
    <x v="0"/>
    <x v="0"/>
    <x v="0"/>
    <x v="0"/>
    <x v="182"/>
    <x v="1153"/>
    <n v="0"/>
    <x v="0"/>
    <x v="6"/>
    <x v="3"/>
  </r>
  <r>
    <x v="0"/>
    <x v="1"/>
    <x v="1"/>
    <x v="0"/>
    <x v="0"/>
    <x v="182"/>
    <x v="1153"/>
    <n v="0"/>
    <x v="0"/>
    <x v="6"/>
    <x v="3"/>
  </r>
  <r>
    <x v="0"/>
    <x v="2"/>
    <x v="2"/>
    <x v="0"/>
    <x v="0"/>
    <x v="182"/>
    <x v="1153"/>
    <n v="0"/>
    <x v="0"/>
    <x v="6"/>
    <x v="3"/>
  </r>
  <r>
    <x v="0"/>
    <x v="3"/>
    <x v="3"/>
    <x v="0"/>
    <x v="0"/>
    <x v="182"/>
    <x v="1153"/>
    <n v="0"/>
    <x v="0"/>
    <x v="6"/>
    <x v="3"/>
  </r>
  <r>
    <x v="0"/>
    <x v="4"/>
    <x v="4"/>
    <x v="0"/>
    <x v="0"/>
    <x v="182"/>
    <x v="1153"/>
    <n v="0"/>
    <x v="0"/>
    <x v="6"/>
    <x v="3"/>
  </r>
  <r>
    <x v="0"/>
    <x v="0"/>
    <x v="0"/>
    <x v="0"/>
    <x v="0"/>
    <x v="183"/>
    <x v="1154"/>
    <n v="0"/>
    <x v="0"/>
    <x v="6"/>
    <x v="3"/>
  </r>
  <r>
    <x v="0"/>
    <x v="1"/>
    <x v="1"/>
    <x v="0"/>
    <x v="0"/>
    <x v="183"/>
    <x v="1154"/>
    <n v="0"/>
    <x v="0"/>
    <x v="6"/>
    <x v="3"/>
  </r>
  <r>
    <x v="0"/>
    <x v="2"/>
    <x v="2"/>
    <x v="0"/>
    <x v="0"/>
    <x v="183"/>
    <x v="1154"/>
    <n v="0"/>
    <x v="0"/>
    <x v="6"/>
    <x v="3"/>
  </r>
  <r>
    <x v="0"/>
    <x v="3"/>
    <x v="3"/>
    <x v="0"/>
    <x v="0"/>
    <x v="183"/>
    <x v="1154"/>
    <n v="0"/>
    <x v="0"/>
    <x v="6"/>
    <x v="3"/>
  </r>
  <r>
    <x v="0"/>
    <x v="4"/>
    <x v="4"/>
    <x v="0"/>
    <x v="0"/>
    <x v="183"/>
    <x v="1154"/>
    <n v="0"/>
    <x v="0"/>
    <x v="6"/>
    <x v="3"/>
  </r>
  <r>
    <x v="0"/>
    <x v="0"/>
    <x v="0"/>
    <x v="0"/>
    <x v="0"/>
    <x v="184"/>
    <x v="1155"/>
    <n v="0"/>
    <x v="0"/>
    <x v="6"/>
    <x v="3"/>
  </r>
  <r>
    <x v="0"/>
    <x v="1"/>
    <x v="1"/>
    <x v="0"/>
    <x v="0"/>
    <x v="184"/>
    <x v="1155"/>
    <n v="0"/>
    <x v="0"/>
    <x v="6"/>
    <x v="3"/>
  </r>
  <r>
    <x v="0"/>
    <x v="2"/>
    <x v="2"/>
    <x v="0"/>
    <x v="0"/>
    <x v="184"/>
    <x v="1155"/>
    <n v="0"/>
    <x v="0"/>
    <x v="6"/>
    <x v="3"/>
  </r>
  <r>
    <x v="0"/>
    <x v="3"/>
    <x v="3"/>
    <x v="0"/>
    <x v="0"/>
    <x v="184"/>
    <x v="1155"/>
    <n v="0"/>
    <x v="0"/>
    <x v="6"/>
    <x v="3"/>
  </r>
  <r>
    <x v="0"/>
    <x v="4"/>
    <x v="4"/>
    <x v="0"/>
    <x v="0"/>
    <x v="184"/>
    <x v="1155"/>
    <n v="0"/>
    <x v="0"/>
    <x v="6"/>
    <x v="3"/>
  </r>
  <r>
    <x v="0"/>
    <x v="0"/>
    <x v="0"/>
    <x v="0"/>
    <x v="0"/>
    <x v="185"/>
    <x v="1156"/>
    <n v="0"/>
    <x v="0"/>
    <x v="6"/>
    <x v="3"/>
  </r>
  <r>
    <x v="0"/>
    <x v="1"/>
    <x v="1"/>
    <x v="0"/>
    <x v="0"/>
    <x v="185"/>
    <x v="1156"/>
    <n v="0"/>
    <x v="0"/>
    <x v="6"/>
    <x v="3"/>
  </r>
  <r>
    <x v="0"/>
    <x v="2"/>
    <x v="2"/>
    <x v="0"/>
    <x v="0"/>
    <x v="185"/>
    <x v="1156"/>
    <n v="0"/>
    <x v="0"/>
    <x v="6"/>
    <x v="3"/>
  </r>
  <r>
    <x v="0"/>
    <x v="3"/>
    <x v="3"/>
    <x v="0"/>
    <x v="0"/>
    <x v="185"/>
    <x v="1156"/>
    <n v="0"/>
    <x v="0"/>
    <x v="6"/>
    <x v="3"/>
  </r>
  <r>
    <x v="0"/>
    <x v="4"/>
    <x v="4"/>
    <x v="0"/>
    <x v="0"/>
    <x v="185"/>
    <x v="1156"/>
    <n v="0"/>
    <x v="0"/>
    <x v="6"/>
    <x v="3"/>
  </r>
  <r>
    <x v="0"/>
    <x v="0"/>
    <x v="0"/>
    <x v="0"/>
    <x v="0"/>
    <x v="186"/>
    <x v="1157"/>
    <n v="0"/>
    <x v="0"/>
    <x v="6"/>
    <x v="3"/>
  </r>
  <r>
    <x v="0"/>
    <x v="1"/>
    <x v="1"/>
    <x v="0"/>
    <x v="0"/>
    <x v="186"/>
    <x v="1157"/>
    <n v="0"/>
    <x v="0"/>
    <x v="6"/>
    <x v="3"/>
  </r>
  <r>
    <x v="0"/>
    <x v="2"/>
    <x v="2"/>
    <x v="0"/>
    <x v="0"/>
    <x v="186"/>
    <x v="1157"/>
    <n v="0"/>
    <x v="0"/>
    <x v="6"/>
    <x v="3"/>
  </r>
  <r>
    <x v="0"/>
    <x v="3"/>
    <x v="3"/>
    <x v="0"/>
    <x v="0"/>
    <x v="186"/>
    <x v="1157"/>
    <n v="0"/>
    <x v="0"/>
    <x v="6"/>
    <x v="3"/>
  </r>
  <r>
    <x v="0"/>
    <x v="4"/>
    <x v="4"/>
    <x v="0"/>
    <x v="0"/>
    <x v="186"/>
    <x v="1157"/>
    <n v="0"/>
    <x v="0"/>
    <x v="6"/>
    <x v="3"/>
  </r>
  <r>
    <x v="0"/>
    <x v="0"/>
    <x v="0"/>
    <x v="0"/>
    <x v="0"/>
    <x v="546"/>
    <x v="1158"/>
    <n v="0"/>
    <x v="0"/>
    <x v="6"/>
    <x v="3"/>
  </r>
  <r>
    <x v="0"/>
    <x v="1"/>
    <x v="1"/>
    <x v="0"/>
    <x v="0"/>
    <x v="546"/>
    <x v="1158"/>
    <n v="0"/>
    <x v="0"/>
    <x v="6"/>
    <x v="3"/>
  </r>
  <r>
    <x v="0"/>
    <x v="2"/>
    <x v="2"/>
    <x v="0"/>
    <x v="0"/>
    <x v="546"/>
    <x v="1158"/>
    <n v="0"/>
    <x v="0"/>
    <x v="6"/>
    <x v="3"/>
  </r>
  <r>
    <x v="0"/>
    <x v="3"/>
    <x v="3"/>
    <x v="0"/>
    <x v="0"/>
    <x v="546"/>
    <x v="1158"/>
    <n v="0"/>
    <x v="0"/>
    <x v="6"/>
    <x v="3"/>
  </r>
  <r>
    <x v="0"/>
    <x v="4"/>
    <x v="4"/>
    <x v="0"/>
    <x v="0"/>
    <x v="546"/>
    <x v="1158"/>
    <n v="0"/>
    <x v="0"/>
    <x v="6"/>
    <x v="3"/>
  </r>
  <r>
    <x v="0"/>
    <x v="0"/>
    <x v="0"/>
    <x v="0"/>
    <x v="0"/>
    <x v="547"/>
    <x v="1159"/>
    <n v="0"/>
    <x v="0"/>
    <x v="6"/>
    <x v="3"/>
  </r>
  <r>
    <x v="0"/>
    <x v="1"/>
    <x v="1"/>
    <x v="0"/>
    <x v="0"/>
    <x v="547"/>
    <x v="1159"/>
    <n v="0"/>
    <x v="0"/>
    <x v="6"/>
    <x v="3"/>
  </r>
  <r>
    <x v="0"/>
    <x v="2"/>
    <x v="2"/>
    <x v="0"/>
    <x v="0"/>
    <x v="547"/>
    <x v="1159"/>
    <n v="0"/>
    <x v="0"/>
    <x v="6"/>
    <x v="3"/>
  </r>
  <r>
    <x v="0"/>
    <x v="3"/>
    <x v="3"/>
    <x v="0"/>
    <x v="0"/>
    <x v="547"/>
    <x v="1159"/>
    <n v="0"/>
    <x v="0"/>
    <x v="6"/>
    <x v="3"/>
  </r>
  <r>
    <x v="0"/>
    <x v="4"/>
    <x v="4"/>
    <x v="0"/>
    <x v="0"/>
    <x v="547"/>
    <x v="1159"/>
    <n v="0"/>
    <x v="0"/>
    <x v="6"/>
    <x v="3"/>
  </r>
  <r>
    <x v="0"/>
    <x v="0"/>
    <x v="0"/>
    <x v="0"/>
    <x v="0"/>
    <x v="264"/>
    <x v="1160"/>
    <n v="0"/>
    <x v="0"/>
    <x v="6"/>
    <x v="3"/>
  </r>
  <r>
    <x v="0"/>
    <x v="1"/>
    <x v="1"/>
    <x v="0"/>
    <x v="0"/>
    <x v="264"/>
    <x v="1160"/>
    <n v="0"/>
    <x v="0"/>
    <x v="6"/>
    <x v="3"/>
  </r>
  <r>
    <x v="0"/>
    <x v="2"/>
    <x v="2"/>
    <x v="0"/>
    <x v="0"/>
    <x v="264"/>
    <x v="1160"/>
    <n v="0"/>
    <x v="0"/>
    <x v="6"/>
    <x v="3"/>
  </r>
  <r>
    <x v="0"/>
    <x v="3"/>
    <x v="3"/>
    <x v="0"/>
    <x v="0"/>
    <x v="264"/>
    <x v="1160"/>
    <n v="0"/>
    <x v="0"/>
    <x v="6"/>
    <x v="3"/>
  </r>
  <r>
    <x v="0"/>
    <x v="4"/>
    <x v="4"/>
    <x v="0"/>
    <x v="0"/>
    <x v="264"/>
    <x v="1160"/>
    <n v="0"/>
    <x v="0"/>
    <x v="6"/>
    <x v="3"/>
  </r>
  <r>
    <x v="0"/>
    <x v="0"/>
    <x v="0"/>
    <x v="0"/>
    <x v="0"/>
    <x v="548"/>
    <x v="1161"/>
    <n v="1488500.38"/>
    <x v="0"/>
    <x v="6"/>
    <x v="2"/>
  </r>
  <r>
    <x v="0"/>
    <x v="1"/>
    <x v="1"/>
    <x v="0"/>
    <x v="0"/>
    <x v="548"/>
    <x v="1161"/>
    <n v="1708315.32"/>
    <x v="0"/>
    <x v="6"/>
    <x v="2"/>
  </r>
  <r>
    <x v="0"/>
    <x v="2"/>
    <x v="2"/>
    <x v="0"/>
    <x v="0"/>
    <x v="548"/>
    <x v="1161"/>
    <n v="7869148.5099999998"/>
    <x v="0"/>
    <x v="6"/>
    <x v="2"/>
  </r>
  <r>
    <x v="0"/>
    <x v="3"/>
    <x v="3"/>
    <x v="0"/>
    <x v="0"/>
    <x v="548"/>
    <x v="1161"/>
    <n v="27268.11"/>
    <x v="0"/>
    <x v="6"/>
    <x v="2"/>
  </r>
  <r>
    <x v="0"/>
    <x v="4"/>
    <x v="4"/>
    <x v="0"/>
    <x v="0"/>
    <x v="548"/>
    <x v="1161"/>
    <n v="11093232.32"/>
    <x v="0"/>
    <x v="6"/>
    <x v="2"/>
  </r>
  <r>
    <x v="0"/>
    <x v="0"/>
    <x v="0"/>
    <x v="0"/>
    <x v="0"/>
    <x v="26"/>
    <x v="1162"/>
    <n v="0"/>
    <x v="0"/>
    <x v="6"/>
    <x v="3"/>
  </r>
  <r>
    <x v="0"/>
    <x v="1"/>
    <x v="1"/>
    <x v="0"/>
    <x v="0"/>
    <x v="26"/>
    <x v="1162"/>
    <n v="0"/>
    <x v="0"/>
    <x v="6"/>
    <x v="3"/>
  </r>
  <r>
    <x v="0"/>
    <x v="2"/>
    <x v="2"/>
    <x v="0"/>
    <x v="0"/>
    <x v="26"/>
    <x v="1162"/>
    <n v="8849.33"/>
    <x v="0"/>
    <x v="6"/>
    <x v="3"/>
  </r>
  <r>
    <x v="0"/>
    <x v="3"/>
    <x v="3"/>
    <x v="0"/>
    <x v="0"/>
    <x v="26"/>
    <x v="1162"/>
    <n v="0"/>
    <x v="0"/>
    <x v="6"/>
    <x v="3"/>
  </r>
  <r>
    <x v="0"/>
    <x v="4"/>
    <x v="4"/>
    <x v="0"/>
    <x v="0"/>
    <x v="26"/>
    <x v="1162"/>
    <n v="8849.33"/>
    <x v="0"/>
    <x v="6"/>
    <x v="3"/>
  </r>
  <r>
    <x v="0"/>
    <x v="0"/>
    <x v="0"/>
    <x v="0"/>
    <x v="0"/>
    <x v="72"/>
    <x v="1163"/>
    <n v="1184506.99"/>
    <x v="0"/>
    <x v="6"/>
    <x v="3"/>
  </r>
  <r>
    <x v="0"/>
    <x v="1"/>
    <x v="1"/>
    <x v="0"/>
    <x v="0"/>
    <x v="72"/>
    <x v="1163"/>
    <n v="1669355.93"/>
    <x v="0"/>
    <x v="6"/>
    <x v="3"/>
  </r>
  <r>
    <x v="0"/>
    <x v="2"/>
    <x v="2"/>
    <x v="0"/>
    <x v="0"/>
    <x v="72"/>
    <x v="1163"/>
    <n v="7215146.2800000003"/>
    <x v="0"/>
    <x v="6"/>
    <x v="3"/>
  </r>
  <r>
    <x v="0"/>
    <x v="3"/>
    <x v="3"/>
    <x v="0"/>
    <x v="0"/>
    <x v="72"/>
    <x v="1163"/>
    <n v="27268.11"/>
    <x v="0"/>
    <x v="6"/>
    <x v="3"/>
  </r>
  <r>
    <x v="0"/>
    <x v="4"/>
    <x v="4"/>
    <x v="0"/>
    <x v="0"/>
    <x v="72"/>
    <x v="1163"/>
    <n v="10096277.310000001"/>
    <x v="0"/>
    <x v="6"/>
    <x v="3"/>
  </r>
  <r>
    <x v="0"/>
    <x v="0"/>
    <x v="0"/>
    <x v="0"/>
    <x v="0"/>
    <x v="166"/>
    <x v="1164"/>
    <n v="0"/>
    <x v="0"/>
    <x v="6"/>
    <x v="3"/>
  </r>
  <r>
    <x v="0"/>
    <x v="1"/>
    <x v="1"/>
    <x v="0"/>
    <x v="0"/>
    <x v="166"/>
    <x v="1164"/>
    <n v="0"/>
    <x v="0"/>
    <x v="6"/>
    <x v="3"/>
  </r>
  <r>
    <x v="0"/>
    <x v="2"/>
    <x v="2"/>
    <x v="0"/>
    <x v="0"/>
    <x v="166"/>
    <x v="1164"/>
    <n v="0"/>
    <x v="0"/>
    <x v="6"/>
    <x v="3"/>
  </r>
  <r>
    <x v="0"/>
    <x v="3"/>
    <x v="3"/>
    <x v="0"/>
    <x v="0"/>
    <x v="166"/>
    <x v="1164"/>
    <n v="0"/>
    <x v="0"/>
    <x v="6"/>
    <x v="3"/>
  </r>
  <r>
    <x v="0"/>
    <x v="4"/>
    <x v="4"/>
    <x v="0"/>
    <x v="0"/>
    <x v="166"/>
    <x v="1164"/>
    <n v="0"/>
    <x v="0"/>
    <x v="6"/>
    <x v="3"/>
  </r>
  <r>
    <x v="0"/>
    <x v="0"/>
    <x v="0"/>
    <x v="0"/>
    <x v="0"/>
    <x v="169"/>
    <x v="1165"/>
    <n v="303840.39"/>
    <x v="0"/>
    <x v="6"/>
    <x v="3"/>
  </r>
  <r>
    <x v="0"/>
    <x v="1"/>
    <x v="1"/>
    <x v="0"/>
    <x v="0"/>
    <x v="169"/>
    <x v="1165"/>
    <n v="38959.39"/>
    <x v="0"/>
    <x v="6"/>
    <x v="3"/>
  </r>
  <r>
    <x v="0"/>
    <x v="2"/>
    <x v="2"/>
    <x v="0"/>
    <x v="0"/>
    <x v="169"/>
    <x v="1165"/>
    <n v="634431.1"/>
    <x v="0"/>
    <x v="6"/>
    <x v="3"/>
  </r>
  <r>
    <x v="0"/>
    <x v="3"/>
    <x v="3"/>
    <x v="0"/>
    <x v="0"/>
    <x v="169"/>
    <x v="1165"/>
    <n v="0"/>
    <x v="0"/>
    <x v="6"/>
    <x v="3"/>
  </r>
  <r>
    <x v="0"/>
    <x v="4"/>
    <x v="4"/>
    <x v="0"/>
    <x v="0"/>
    <x v="169"/>
    <x v="1165"/>
    <n v="977230.88"/>
    <x v="0"/>
    <x v="6"/>
    <x v="3"/>
  </r>
  <r>
    <x v="0"/>
    <x v="0"/>
    <x v="0"/>
    <x v="0"/>
    <x v="0"/>
    <x v="223"/>
    <x v="1166"/>
    <n v="0"/>
    <x v="0"/>
    <x v="6"/>
    <x v="3"/>
  </r>
  <r>
    <x v="0"/>
    <x v="1"/>
    <x v="1"/>
    <x v="0"/>
    <x v="0"/>
    <x v="223"/>
    <x v="1166"/>
    <n v="0"/>
    <x v="0"/>
    <x v="6"/>
    <x v="3"/>
  </r>
  <r>
    <x v="0"/>
    <x v="2"/>
    <x v="2"/>
    <x v="0"/>
    <x v="0"/>
    <x v="223"/>
    <x v="1166"/>
    <n v="0"/>
    <x v="0"/>
    <x v="6"/>
    <x v="3"/>
  </r>
  <r>
    <x v="0"/>
    <x v="3"/>
    <x v="3"/>
    <x v="0"/>
    <x v="0"/>
    <x v="223"/>
    <x v="1166"/>
    <n v="0"/>
    <x v="0"/>
    <x v="6"/>
    <x v="3"/>
  </r>
  <r>
    <x v="0"/>
    <x v="4"/>
    <x v="4"/>
    <x v="0"/>
    <x v="0"/>
    <x v="223"/>
    <x v="1166"/>
    <n v="0"/>
    <x v="0"/>
    <x v="6"/>
    <x v="3"/>
  </r>
  <r>
    <x v="0"/>
    <x v="0"/>
    <x v="0"/>
    <x v="0"/>
    <x v="0"/>
    <x v="264"/>
    <x v="1167"/>
    <n v="153"/>
    <x v="0"/>
    <x v="6"/>
    <x v="3"/>
  </r>
  <r>
    <x v="0"/>
    <x v="1"/>
    <x v="1"/>
    <x v="0"/>
    <x v="0"/>
    <x v="264"/>
    <x v="1167"/>
    <n v="0"/>
    <x v="0"/>
    <x v="6"/>
    <x v="3"/>
  </r>
  <r>
    <x v="0"/>
    <x v="2"/>
    <x v="2"/>
    <x v="0"/>
    <x v="0"/>
    <x v="264"/>
    <x v="1167"/>
    <n v="10721.8"/>
    <x v="0"/>
    <x v="6"/>
    <x v="3"/>
  </r>
  <r>
    <x v="0"/>
    <x v="3"/>
    <x v="3"/>
    <x v="0"/>
    <x v="0"/>
    <x v="264"/>
    <x v="1167"/>
    <n v="0"/>
    <x v="0"/>
    <x v="6"/>
    <x v="3"/>
  </r>
  <r>
    <x v="0"/>
    <x v="4"/>
    <x v="4"/>
    <x v="0"/>
    <x v="0"/>
    <x v="264"/>
    <x v="1167"/>
    <n v="10874.8"/>
    <x v="0"/>
    <x v="6"/>
    <x v="3"/>
  </r>
  <r>
    <x v="0"/>
    <x v="0"/>
    <x v="0"/>
    <x v="0"/>
    <x v="0"/>
    <x v="549"/>
    <x v="1168"/>
    <n v="0"/>
    <x v="0"/>
    <x v="6"/>
    <x v="2"/>
  </r>
  <r>
    <x v="0"/>
    <x v="1"/>
    <x v="1"/>
    <x v="0"/>
    <x v="0"/>
    <x v="549"/>
    <x v="1168"/>
    <n v="0"/>
    <x v="0"/>
    <x v="6"/>
    <x v="2"/>
  </r>
  <r>
    <x v="0"/>
    <x v="2"/>
    <x v="2"/>
    <x v="0"/>
    <x v="0"/>
    <x v="549"/>
    <x v="1168"/>
    <n v="0"/>
    <x v="0"/>
    <x v="6"/>
    <x v="2"/>
  </r>
  <r>
    <x v="0"/>
    <x v="3"/>
    <x v="3"/>
    <x v="0"/>
    <x v="0"/>
    <x v="549"/>
    <x v="1168"/>
    <n v="0"/>
    <x v="0"/>
    <x v="6"/>
    <x v="2"/>
  </r>
  <r>
    <x v="0"/>
    <x v="4"/>
    <x v="4"/>
    <x v="0"/>
    <x v="0"/>
    <x v="549"/>
    <x v="1168"/>
    <n v="0"/>
    <x v="0"/>
    <x v="6"/>
    <x v="2"/>
  </r>
  <r>
    <x v="0"/>
    <x v="0"/>
    <x v="0"/>
    <x v="0"/>
    <x v="0"/>
    <x v="15"/>
    <x v="1169"/>
    <n v="0"/>
    <x v="0"/>
    <x v="6"/>
    <x v="3"/>
  </r>
  <r>
    <x v="0"/>
    <x v="1"/>
    <x v="1"/>
    <x v="0"/>
    <x v="0"/>
    <x v="15"/>
    <x v="1169"/>
    <n v="0"/>
    <x v="0"/>
    <x v="6"/>
    <x v="3"/>
  </r>
  <r>
    <x v="0"/>
    <x v="2"/>
    <x v="2"/>
    <x v="0"/>
    <x v="0"/>
    <x v="15"/>
    <x v="1169"/>
    <n v="0"/>
    <x v="0"/>
    <x v="6"/>
    <x v="3"/>
  </r>
  <r>
    <x v="0"/>
    <x v="3"/>
    <x v="3"/>
    <x v="0"/>
    <x v="0"/>
    <x v="15"/>
    <x v="1169"/>
    <n v="0"/>
    <x v="0"/>
    <x v="6"/>
    <x v="3"/>
  </r>
  <r>
    <x v="0"/>
    <x v="4"/>
    <x v="4"/>
    <x v="0"/>
    <x v="0"/>
    <x v="15"/>
    <x v="1169"/>
    <n v="0"/>
    <x v="0"/>
    <x v="6"/>
    <x v="3"/>
  </r>
  <r>
    <x v="0"/>
    <x v="0"/>
    <x v="0"/>
    <x v="0"/>
    <x v="0"/>
    <x v="16"/>
    <x v="1170"/>
    <n v="0"/>
    <x v="0"/>
    <x v="6"/>
    <x v="3"/>
  </r>
  <r>
    <x v="0"/>
    <x v="1"/>
    <x v="1"/>
    <x v="0"/>
    <x v="0"/>
    <x v="16"/>
    <x v="1170"/>
    <n v="0"/>
    <x v="0"/>
    <x v="6"/>
    <x v="3"/>
  </r>
  <r>
    <x v="0"/>
    <x v="2"/>
    <x v="2"/>
    <x v="0"/>
    <x v="0"/>
    <x v="16"/>
    <x v="1170"/>
    <n v="0"/>
    <x v="0"/>
    <x v="6"/>
    <x v="3"/>
  </r>
  <r>
    <x v="0"/>
    <x v="3"/>
    <x v="3"/>
    <x v="0"/>
    <x v="0"/>
    <x v="16"/>
    <x v="1170"/>
    <n v="0"/>
    <x v="0"/>
    <x v="6"/>
    <x v="3"/>
  </r>
  <r>
    <x v="0"/>
    <x v="4"/>
    <x v="4"/>
    <x v="0"/>
    <x v="0"/>
    <x v="16"/>
    <x v="1170"/>
    <n v="0"/>
    <x v="0"/>
    <x v="6"/>
    <x v="3"/>
  </r>
  <r>
    <x v="0"/>
    <x v="0"/>
    <x v="0"/>
    <x v="0"/>
    <x v="0"/>
    <x v="550"/>
    <x v="1171"/>
    <n v="0"/>
    <x v="0"/>
    <x v="6"/>
    <x v="2"/>
  </r>
  <r>
    <x v="0"/>
    <x v="1"/>
    <x v="1"/>
    <x v="0"/>
    <x v="0"/>
    <x v="550"/>
    <x v="1171"/>
    <n v="0"/>
    <x v="0"/>
    <x v="6"/>
    <x v="2"/>
  </r>
  <r>
    <x v="0"/>
    <x v="2"/>
    <x v="2"/>
    <x v="0"/>
    <x v="0"/>
    <x v="550"/>
    <x v="1171"/>
    <n v="0"/>
    <x v="0"/>
    <x v="6"/>
    <x v="2"/>
  </r>
  <r>
    <x v="0"/>
    <x v="3"/>
    <x v="3"/>
    <x v="0"/>
    <x v="0"/>
    <x v="550"/>
    <x v="1171"/>
    <n v="103708.8"/>
    <x v="0"/>
    <x v="6"/>
    <x v="2"/>
  </r>
  <r>
    <x v="0"/>
    <x v="4"/>
    <x v="4"/>
    <x v="0"/>
    <x v="0"/>
    <x v="550"/>
    <x v="1171"/>
    <n v="103708.8"/>
    <x v="0"/>
    <x v="6"/>
    <x v="2"/>
  </r>
  <r>
    <x v="0"/>
    <x v="0"/>
    <x v="0"/>
    <x v="0"/>
    <x v="0"/>
    <x v="26"/>
    <x v="1172"/>
    <n v="0"/>
    <x v="0"/>
    <x v="6"/>
    <x v="3"/>
  </r>
  <r>
    <x v="0"/>
    <x v="1"/>
    <x v="1"/>
    <x v="0"/>
    <x v="0"/>
    <x v="26"/>
    <x v="1172"/>
    <n v="0"/>
    <x v="0"/>
    <x v="6"/>
    <x v="3"/>
  </r>
  <r>
    <x v="0"/>
    <x v="2"/>
    <x v="2"/>
    <x v="0"/>
    <x v="0"/>
    <x v="26"/>
    <x v="1172"/>
    <n v="0"/>
    <x v="0"/>
    <x v="6"/>
    <x v="3"/>
  </r>
  <r>
    <x v="0"/>
    <x v="3"/>
    <x v="3"/>
    <x v="0"/>
    <x v="0"/>
    <x v="26"/>
    <x v="1172"/>
    <n v="0"/>
    <x v="0"/>
    <x v="6"/>
    <x v="3"/>
  </r>
  <r>
    <x v="0"/>
    <x v="4"/>
    <x v="4"/>
    <x v="0"/>
    <x v="0"/>
    <x v="26"/>
    <x v="1172"/>
    <n v="0"/>
    <x v="0"/>
    <x v="6"/>
    <x v="3"/>
  </r>
  <r>
    <x v="0"/>
    <x v="0"/>
    <x v="0"/>
    <x v="0"/>
    <x v="0"/>
    <x v="72"/>
    <x v="1173"/>
    <n v="0"/>
    <x v="0"/>
    <x v="6"/>
    <x v="3"/>
  </r>
  <r>
    <x v="0"/>
    <x v="1"/>
    <x v="1"/>
    <x v="0"/>
    <x v="0"/>
    <x v="72"/>
    <x v="1173"/>
    <n v="0"/>
    <x v="0"/>
    <x v="6"/>
    <x v="3"/>
  </r>
  <r>
    <x v="0"/>
    <x v="2"/>
    <x v="2"/>
    <x v="0"/>
    <x v="0"/>
    <x v="72"/>
    <x v="1173"/>
    <n v="0"/>
    <x v="0"/>
    <x v="6"/>
    <x v="3"/>
  </r>
  <r>
    <x v="0"/>
    <x v="3"/>
    <x v="3"/>
    <x v="0"/>
    <x v="0"/>
    <x v="72"/>
    <x v="1173"/>
    <n v="103708.8"/>
    <x v="0"/>
    <x v="6"/>
    <x v="3"/>
  </r>
  <r>
    <x v="0"/>
    <x v="4"/>
    <x v="4"/>
    <x v="0"/>
    <x v="0"/>
    <x v="72"/>
    <x v="1173"/>
    <n v="103708.8"/>
    <x v="0"/>
    <x v="6"/>
    <x v="3"/>
  </r>
  <r>
    <x v="0"/>
    <x v="0"/>
    <x v="0"/>
    <x v="0"/>
    <x v="0"/>
    <x v="166"/>
    <x v="1174"/>
    <n v="0"/>
    <x v="0"/>
    <x v="6"/>
    <x v="3"/>
  </r>
  <r>
    <x v="0"/>
    <x v="1"/>
    <x v="1"/>
    <x v="0"/>
    <x v="0"/>
    <x v="166"/>
    <x v="1174"/>
    <n v="0"/>
    <x v="0"/>
    <x v="6"/>
    <x v="3"/>
  </r>
  <r>
    <x v="0"/>
    <x v="2"/>
    <x v="2"/>
    <x v="0"/>
    <x v="0"/>
    <x v="166"/>
    <x v="1174"/>
    <n v="0"/>
    <x v="0"/>
    <x v="6"/>
    <x v="3"/>
  </r>
  <r>
    <x v="0"/>
    <x v="3"/>
    <x v="3"/>
    <x v="0"/>
    <x v="0"/>
    <x v="166"/>
    <x v="1174"/>
    <n v="0"/>
    <x v="0"/>
    <x v="6"/>
    <x v="3"/>
  </r>
  <r>
    <x v="0"/>
    <x v="4"/>
    <x v="4"/>
    <x v="0"/>
    <x v="0"/>
    <x v="166"/>
    <x v="1174"/>
    <n v="0"/>
    <x v="0"/>
    <x v="6"/>
    <x v="3"/>
  </r>
  <r>
    <x v="0"/>
    <x v="0"/>
    <x v="0"/>
    <x v="0"/>
    <x v="0"/>
    <x v="169"/>
    <x v="1175"/>
    <n v="0"/>
    <x v="0"/>
    <x v="6"/>
    <x v="3"/>
  </r>
  <r>
    <x v="0"/>
    <x v="1"/>
    <x v="1"/>
    <x v="0"/>
    <x v="0"/>
    <x v="169"/>
    <x v="1175"/>
    <n v="0"/>
    <x v="0"/>
    <x v="6"/>
    <x v="3"/>
  </r>
  <r>
    <x v="0"/>
    <x v="2"/>
    <x v="2"/>
    <x v="0"/>
    <x v="0"/>
    <x v="169"/>
    <x v="1175"/>
    <n v="0"/>
    <x v="0"/>
    <x v="6"/>
    <x v="3"/>
  </r>
  <r>
    <x v="0"/>
    <x v="3"/>
    <x v="3"/>
    <x v="0"/>
    <x v="0"/>
    <x v="169"/>
    <x v="1175"/>
    <n v="0"/>
    <x v="0"/>
    <x v="6"/>
    <x v="3"/>
  </r>
  <r>
    <x v="0"/>
    <x v="4"/>
    <x v="4"/>
    <x v="0"/>
    <x v="0"/>
    <x v="169"/>
    <x v="1175"/>
    <n v="0"/>
    <x v="0"/>
    <x v="6"/>
    <x v="3"/>
  </r>
  <r>
    <x v="0"/>
    <x v="0"/>
    <x v="0"/>
    <x v="0"/>
    <x v="0"/>
    <x v="223"/>
    <x v="1176"/>
    <n v="0"/>
    <x v="0"/>
    <x v="6"/>
    <x v="3"/>
  </r>
  <r>
    <x v="0"/>
    <x v="1"/>
    <x v="1"/>
    <x v="0"/>
    <x v="0"/>
    <x v="223"/>
    <x v="1176"/>
    <n v="0"/>
    <x v="0"/>
    <x v="6"/>
    <x v="3"/>
  </r>
  <r>
    <x v="0"/>
    <x v="2"/>
    <x v="2"/>
    <x v="0"/>
    <x v="0"/>
    <x v="223"/>
    <x v="1176"/>
    <n v="0"/>
    <x v="0"/>
    <x v="6"/>
    <x v="3"/>
  </r>
  <r>
    <x v="0"/>
    <x v="3"/>
    <x v="3"/>
    <x v="0"/>
    <x v="0"/>
    <x v="223"/>
    <x v="1176"/>
    <n v="0"/>
    <x v="0"/>
    <x v="6"/>
    <x v="3"/>
  </r>
  <r>
    <x v="0"/>
    <x v="4"/>
    <x v="4"/>
    <x v="0"/>
    <x v="0"/>
    <x v="223"/>
    <x v="1176"/>
    <n v="0"/>
    <x v="0"/>
    <x v="6"/>
    <x v="3"/>
  </r>
  <r>
    <x v="0"/>
    <x v="0"/>
    <x v="0"/>
    <x v="0"/>
    <x v="0"/>
    <x v="264"/>
    <x v="1177"/>
    <n v="0"/>
    <x v="0"/>
    <x v="6"/>
    <x v="3"/>
  </r>
  <r>
    <x v="0"/>
    <x v="1"/>
    <x v="1"/>
    <x v="0"/>
    <x v="0"/>
    <x v="264"/>
    <x v="1177"/>
    <n v="0"/>
    <x v="0"/>
    <x v="6"/>
    <x v="3"/>
  </r>
  <r>
    <x v="0"/>
    <x v="2"/>
    <x v="2"/>
    <x v="0"/>
    <x v="0"/>
    <x v="264"/>
    <x v="1177"/>
    <n v="0"/>
    <x v="0"/>
    <x v="6"/>
    <x v="3"/>
  </r>
  <r>
    <x v="0"/>
    <x v="3"/>
    <x v="3"/>
    <x v="0"/>
    <x v="0"/>
    <x v="264"/>
    <x v="1177"/>
    <n v="0"/>
    <x v="0"/>
    <x v="6"/>
    <x v="3"/>
  </r>
  <r>
    <x v="0"/>
    <x v="4"/>
    <x v="4"/>
    <x v="0"/>
    <x v="0"/>
    <x v="264"/>
    <x v="1177"/>
    <n v="0"/>
    <x v="0"/>
    <x v="6"/>
    <x v="3"/>
  </r>
  <r>
    <x v="0"/>
    <x v="0"/>
    <x v="0"/>
    <x v="0"/>
    <x v="0"/>
    <x v="189"/>
    <x v="1178"/>
    <n v="0"/>
    <x v="0"/>
    <x v="6"/>
    <x v="3"/>
  </r>
  <r>
    <x v="0"/>
    <x v="1"/>
    <x v="1"/>
    <x v="0"/>
    <x v="0"/>
    <x v="189"/>
    <x v="1178"/>
    <n v="0"/>
    <x v="0"/>
    <x v="6"/>
    <x v="3"/>
  </r>
  <r>
    <x v="0"/>
    <x v="2"/>
    <x v="2"/>
    <x v="0"/>
    <x v="0"/>
    <x v="189"/>
    <x v="1178"/>
    <n v="0"/>
    <x v="0"/>
    <x v="6"/>
    <x v="3"/>
  </r>
  <r>
    <x v="0"/>
    <x v="3"/>
    <x v="3"/>
    <x v="0"/>
    <x v="0"/>
    <x v="189"/>
    <x v="1178"/>
    <n v="0"/>
    <x v="0"/>
    <x v="6"/>
    <x v="3"/>
  </r>
  <r>
    <x v="0"/>
    <x v="4"/>
    <x v="4"/>
    <x v="0"/>
    <x v="0"/>
    <x v="189"/>
    <x v="1178"/>
    <n v="0"/>
    <x v="0"/>
    <x v="6"/>
    <x v="3"/>
  </r>
  <r>
    <x v="0"/>
    <x v="0"/>
    <x v="0"/>
    <x v="0"/>
    <x v="0"/>
    <x v="551"/>
    <x v="1179"/>
    <n v="3188414.79"/>
    <x v="0"/>
    <x v="6"/>
    <x v="2"/>
  </r>
  <r>
    <x v="0"/>
    <x v="1"/>
    <x v="1"/>
    <x v="0"/>
    <x v="0"/>
    <x v="551"/>
    <x v="1179"/>
    <n v="1684682.16"/>
    <x v="0"/>
    <x v="6"/>
    <x v="2"/>
  </r>
  <r>
    <x v="0"/>
    <x v="2"/>
    <x v="2"/>
    <x v="0"/>
    <x v="0"/>
    <x v="551"/>
    <x v="1179"/>
    <n v="6794463.2999999998"/>
    <x v="0"/>
    <x v="6"/>
    <x v="2"/>
  </r>
  <r>
    <x v="0"/>
    <x v="3"/>
    <x v="3"/>
    <x v="0"/>
    <x v="0"/>
    <x v="551"/>
    <x v="1179"/>
    <n v="1209732.1200000001"/>
    <x v="0"/>
    <x v="6"/>
    <x v="2"/>
  </r>
  <r>
    <x v="0"/>
    <x v="4"/>
    <x v="4"/>
    <x v="0"/>
    <x v="0"/>
    <x v="551"/>
    <x v="1179"/>
    <n v="12877292.369999999"/>
    <x v="0"/>
    <x v="6"/>
    <x v="2"/>
  </r>
  <r>
    <x v="0"/>
    <x v="0"/>
    <x v="0"/>
    <x v="0"/>
    <x v="0"/>
    <x v="552"/>
    <x v="1180"/>
    <n v="2750"/>
    <x v="0"/>
    <x v="6"/>
    <x v="3"/>
  </r>
  <r>
    <x v="0"/>
    <x v="1"/>
    <x v="1"/>
    <x v="0"/>
    <x v="0"/>
    <x v="552"/>
    <x v="1180"/>
    <n v="27968.080000000002"/>
    <x v="0"/>
    <x v="6"/>
    <x v="3"/>
  </r>
  <r>
    <x v="0"/>
    <x v="2"/>
    <x v="2"/>
    <x v="0"/>
    <x v="0"/>
    <x v="552"/>
    <x v="1180"/>
    <n v="930179"/>
    <x v="0"/>
    <x v="6"/>
    <x v="3"/>
  </r>
  <r>
    <x v="0"/>
    <x v="3"/>
    <x v="3"/>
    <x v="0"/>
    <x v="0"/>
    <x v="552"/>
    <x v="1180"/>
    <n v="0"/>
    <x v="0"/>
    <x v="6"/>
    <x v="3"/>
  </r>
  <r>
    <x v="0"/>
    <x v="4"/>
    <x v="4"/>
    <x v="0"/>
    <x v="0"/>
    <x v="552"/>
    <x v="1180"/>
    <n v="960897.08"/>
    <x v="0"/>
    <x v="6"/>
    <x v="3"/>
  </r>
  <r>
    <x v="0"/>
    <x v="0"/>
    <x v="0"/>
    <x v="0"/>
    <x v="0"/>
    <x v="553"/>
    <x v="1181"/>
    <n v="909950.71"/>
    <x v="0"/>
    <x v="6"/>
    <x v="3"/>
  </r>
  <r>
    <x v="0"/>
    <x v="1"/>
    <x v="1"/>
    <x v="0"/>
    <x v="0"/>
    <x v="553"/>
    <x v="1181"/>
    <n v="821881.11"/>
    <x v="0"/>
    <x v="6"/>
    <x v="3"/>
  </r>
  <r>
    <x v="0"/>
    <x v="2"/>
    <x v="2"/>
    <x v="0"/>
    <x v="0"/>
    <x v="553"/>
    <x v="1181"/>
    <n v="742672.59"/>
    <x v="0"/>
    <x v="6"/>
    <x v="3"/>
  </r>
  <r>
    <x v="0"/>
    <x v="3"/>
    <x v="3"/>
    <x v="0"/>
    <x v="0"/>
    <x v="553"/>
    <x v="1181"/>
    <n v="116039.62"/>
    <x v="0"/>
    <x v="6"/>
    <x v="3"/>
  </r>
  <r>
    <x v="0"/>
    <x v="4"/>
    <x v="4"/>
    <x v="0"/>
    <x v="0"/>
    <x v="553"/>
    <x v="1181"/>
    <n v="2590544.0300000003"/>
    <x v="0"/>
    <x v="6"/>
    <x v="3"/>
  </r>
  <r>
    <x v="0"/>
    <x v="0"/>
    <x v="0"/>
    <x v="0"/>
    <x v="0"/>
    <x v="554"/>
    <x v="1182"/>
    <n v="2050485.17"/>
    <x v="0"/>
    <x v="6"/>
    <x v="3"/>
  </r>
  <r>
    <x v="0"/>
    <x v="1"/>
    <x v="1"/>
    <x v="0"/>
    <x v="0"/>
    <x v="554"/>
    <x v="1182"/>
    <n v="654448.34"/>
    <x v="0"/>
    <x v="6"/>
    <x v="3"/>
  </r>
  <r>
    <x v="0"/>
    <x v="2"/>
    <x v="2"/>
    <x v="0"/>
    <x v="0"/>
    <x v="554"/>
    <x v="1182"/>
    <n v="5082594.71"/>
    <x v="0"/>
    <x v="6"/>
    <x v="3"/>
  </r>
  <r>
    <x v="0"/>
    <x v="3"/>
    <x v="3"/>
    <x v="0"/>
    <x v="0"/>
    <x v="554"/>
    <x v="1182"/>
    <n v="336436.93"/>
    <x v="0"/>
    <x v="6"/>
    <x v="3"/>
  </r>
  <r>
    <x v="0"/>
    <x v="4"/>
    <x v="4"/>
    <x v="0"/>
    <x v="0"/>
    <x v="554"/>
    <x v="1182"/>
    <n v="8123965.1500000004"/>
    <x v="0"/>
    <x v="6"/>
    <x v="3"/>
  </r>
  <r>
    <x v="0"/>
    <x v="0"/>
    <x v="0"/>
    <x v="0"/>
    <x v="0"/>
    <x v="438"/>
    <x v="1183"/>
    <n v="163550.1"/>
    <x v="0"/>
    <x v="6"/>
    <x v="3"/>
  </r>
  <r>
    <x v="0"/>
    <x v="1"/>
    <x v="1"/>
    <x v="0"/>
    <x v="0"/>
    <x v="438"/>
    <x v="1183"/>
    <n v="180384.63"/>
    <x v="0"/>
    <x v="6"/>
    <x v="3"/>
  </r>
  <r>
    <x v="0"/>
    <x v="2"/>
    <x v="2"/>
    <x v="0"/>
    <x v="0"/>
    <x v="438"/>
    <x v="1183"/>
    <n v="0"/>
    <x v="0"/>
    <x v="6"/>
    <x v="3"/>
  </r>
  <r>
    <x v="0"/>
    <x v="3"/>
    <x v="3"/>
    <x v="0"/>
    <x v="0"/>
    <x v="438"/>
    <x v="1183"/>
    <n v="293753.3"/>
    <x v="0"/>
    <x v="6"/>
    <x v="3"/>
  </r>
  <r>
    <x v="0"/>
    <x v="4"/>
    <x v="4"/>
    <x v="0"/>
    <x v="0"/>
    <x v="438"/>
    <x v="1183"/>
    <n v="637688.03"/>
    <x v="0"/>
    <x v="6"/>
    <x v="3"/>
  </r>
  <r>
    <x v="0"/>
    <x v="0"/>
    <x v="0"/>
    <x v="0"/>
    <x v="0"/>
    <x v="555"/>
    <x v="1184"/>
    <n v="0"/>
    <x v="0"/>
    <x v="6"/>
    <x v="3"/>
  </r>
  <r>
    <x v="0"/>
    <x v="1"/>
    <x v="1"/>
    <x v="0"/>
    <x v="0"/>
    <x v="555"/>
    <x v="1184"/>
    <n v="0"/>
    <x v="0"/>
    <x v="6"/>
    <x v="3"/>
  </r>
  <r>
    <x v="0"/>
    <x v="2"/>
    <x v="2"/>
    <x v="0"/>
    <x v="0"/>
    <x v="555"/>
    <x v="1184"/>
    <n v="0"/>
    <x v="0"/>
    <x v="6"/>
    <x v="3"/>
  </r>
  <r>
    <x v="0"/>
    <x v="3"/>
    <x v="3"/>
    <x v="0"/>
    <x v="0"/>
    <x v="555"/>
    <x v="1184"/>
    <n v="0"/>
    <x v="0"/>
    <x v="6"/>
    <x v="3"/>
  </r>
  <r>
    <x v="0"/>
    <x v="4"/>
    <x v="4"/>
    <x v="0"/>
    <x v="0"/>
    <x v="555"/>
    <x v="1184"/>
    <n v="0"/>
    <x v="0"/>
    <x v="6"/>
    <x v="3"/>
  </r>
  <r>
    <x v="0"/>
    <x v="0"/>
    <x v="0"/>
    <x v="0"/>
    <x v="0"/>
    <x v="182"/>
    <x v="1185"/>
    <n v="61678.81"/>
    <x v="0"/>
    <x v="6"/>
    <x v="3"/>
  </r>
  <r>
    <x v="0"/>
    <x v="1"/>
    <x v="1"/>
    <x v="0"/>
    <x v="0"/>
    <x v="182"/>
    <x v="1185"/>
    <n v="0"/>
    <x v="0"/>
    <x v="6"/>
    <x v="3"/>
  </r>
  <r>
    <x v="0"/>
    <x v="2"/>
    <x v="2"/>
    <x v="0"/>
    <x v="0"/>
    <x v="182"/>
    <x v="1185"/>
    <n v="0"/>
    <x v="0"/>
    <x v="6"/>
    <x v="3"/>
  </r>
  <r>
    <x v="0"/>
    <x v="3"/>
    <x v="3"/>
    <x v="0"/>
    <x v="0"/>
    <x v="182"/>
    <x v="1185"/>
    <n v="0"/>
    <x v="0"/>
    <x v="6"/>
    <x v="3"/>
  </r>
  <r>
    <x v="0"/>
    <x v="4"/>
    <x v="4"/>
    <x v="0"/>
    <x v="0"/>
    <x v="182"/>
    <x v="1185"/>
    <n v="61678.81"/>
    <x v="0"/>
    <x v="6"/>
    <x v="3"/>
  </r>
  <r>
    <x v="0"/>
    <x v="0"/>
    <x v="0"/>
    <x v="0"/>
    <x v="0"/>
    <x v="183"/>
    <x v="1186"/>
    <n v="0"/>
    <x v="0"/>
    <x v="6"/>
    <x v="3"/>
  </r>
  <r>
    <x v="0"/>
    <x v="1"/>
    <x v="1"/>
    <x v="0"/>
    <x v="0"/>
    <x v="183"/>
    <x v="1186"/>
    <n v="0"/>
    <x v="0"/>
    <x v="6"/>
    <x v="3"/>
  </r>
  <r>
    <x v="0"/>
    <x v="2"/>
    <x v="2"/>
    <x v="0"/>
    <x v="0"/>
    <x v="183"/>
    <x v="1186"/>
    <n v="39017"/>
    <x v="0"/>
    <x v="6"/>
    <x v="3"/>
  </r>
  <r>
    <x v="0"/>
    <x v="3"/>
    <x v="3"/>
    <x v="0"/>
    <x v="0"/>
    <x v="183"/>
    <x v="1186"/>
    <n v="0"/>
    <x v="0"/>
    <x v="6"/>
    <x v="3"/>
  </r>
  <r>
    <x v="0"/>
    <x v="4"/>
    <x v="4"/>
    <x v="0"/>
    <x v="0"/>
    <x v="183"/>
    <x v="1186"/>
    <n v="39017"/>
    <x v="0"/>
    <x v="6"/>
    <x v="3"/>
  </r>
  <r>
    <x v="0"/>
    <x v="0"/>
    <x v="0"/>
    <x v="0"/>
    <x v="0"/>
    <x v="184"/>
    <x v="1187"/>
    <n v="0"/>
    <x v="0"/>
    <x v="6"/>
    <x v="3"/>
  </r>
  <r>
    <x v="0"/>
    <x v="1"/>
    <x v="1"/>
    <x v="0"/>
    <x v="0"/>
    <x v="184"/>
    <x v="1187"/>
    <n v="0"/>
    <x v="0"/>
    <x v="6"/>
    <x v="3"/>
  </r>
  <r>
    <x v="0"/>
    <x v="2"/>
    <x v="2"/>
    <x v="0"/>
    <x v="0"/>
    <x v="184"/>
    <x v="1187"/>
    <n v="0"/>
    <x v="0"/>
    <x v="6"/>
    <x v="3"/>
  </r>
  <r>
    <x v="0"/>
    <x v="3"/>
    <x v="3"/>
    <x v="0"/>
    <x v="0"/>
    <x v="184"/>
    <x v="1187"/>
    <n v="0"/>
    <x v="0"/>
    <x v="6"/>
    <x v="3"/>
  </r>
  <r>
    <x v="0"/>
    <x v="4"/>
    <x v="4"/>
    <x v="0"/>
    <x v="0"/>
    <x v="184"/>
    <x v="1187"/>
    <n v="0"/>
    <x v="0"/>
    <x v="6"/>
    <x v="3"/>
  </r>
  <r>
    <x v="0"/>
    <x v="0"/>
    <x v="0"/>
    <x v="0"/>
    <x v="0"/>
    <x v="556"/>
    <x v="1188"/>
    <n v="0"/>
    <x v="0"/>
    <x v="6"/>
    <x v="3"/>
  </r>
  <r>
    <x v="0"/>
    <x v="1"/>
    <x v="1"/>
    <x v="0"/>
    <x v="0"/>
    <x v="556"/>
    <x v="1188"/>
    <n v="0"/>
    <x v="0"/>
    <x v="6"/>
    <x v="3"/>
  </r>
  <r>
    <x v="0"/>
    <x v="2"/>
    <x v="2"/>
    <x v="0"/>
    <x v="0"/>
    <x v="556"/>
    <x v="1188"/>
    <n v="0"/>
    <x v="0"/>
    <x v="6"/>
    <x v="3"/>
  </r>
  <r>
    <x v="0"/>
    <x v="3"/>
    <x v="3"/>
    <x v="0"/>
    <x v="0"/>
    <x v="556"/>
    <x v="1188"/>
    <n v="463502.27"/>
    <x v="0"/>
    <x v="6"/>
    <x v="3"/>
  </r>
  <r>
    <x v="0"/>
    <x v="4"/>
    <x v="4"/>
    <x v="0"/>
    <x v="0"/>
    <x v="556"/>
    <x v="1188"/>
    <n v="463502.27"/>
    <x v="0"/>
    <x v="6"/>
    <x v="3"/>
  </r>
  <r>
    <x v="0"/>
    <x v="0"/>
    <x v="0"/>
    <x v="0"/>
    <x v="0"/>
    <x v="557"/>
    <x v="1189"/>
    <n v="0"/>
    <x v="0"/>
    <x v="6"/>
    <x v="3"/>
  </r>
  <r>
    <x v="0"/>
    <x v="1"/>
    <x v="1"/>
    <x v="0"/>
    <x v="0"/>
    <x v="557"/>
    <x v="1189"/>
    <n v="0"/>
    <x v="0"/>
    <x v="6"/>
    <x v="3"/>
  </r>
  <r>
    <x v="0"/>
    <x v="2"/>
    <x v="2"/>
    <x v="0"/>
    <x v="0"/>
    <x v="557"/>
    <x v="1189"/>
    <n v="0"/>
    <x v="0"/>
    <x v="6"/>
    <x v="3"/>
  </r>
  <r>
    <x v="0"/>
    <x v="3"/>
    <x v="3"/>
    <x v="0"/>
    <x v="0"/>
    <x v="557"/>
    <x v="1189"/>
    <n v="0"/>
    <x v="0"/>
    <x v="6"/>
    <x v="3"/>
  </r>
  <r>
    <x v="0"/>
    <x v="4"/>
    <x v="4"/>
    <x v="0"/>
    <x v="0"/>
    <x v="557"/>
    <x v="1189"/>
    <n v="0"/>
    <x v="0"/>
    <x v="6"/>
    <x v="3"/>
  </r>
  <r>
    <x v="0"/>
    <x v="0"/>
    <x v="0"/>
    <x v="0"/>
    <x v="0"/>
    <x v="26"/>
    <x v="1190"/>
    <n v="0"/>
    <x v="0"/>
    <x v="6"/>
    <x v="3"/>
  </r>
  <r>
    <x v="0"/>
    <x v="1"/>
    <x v="1"/>
    <x v="0"/>
    <x v="0"/>
    <x v="26"/>
    <x v="1190"/>
    <n v="0"/>
    <x v="0"/>
    <x v="6"/>
    <x v="3"/>
  </r>
  <r>
    <x v="0"/>
    <x v="2"/>
    <x v="2"/>
    <x v="0"/>
    <x v="0"/>
    <x v="26"/>
    <x v="1190"/>
    <n v="0"/>
    <x v="0"/>
    <x v="6"/>
    <x v="3"/>
  </r>
  <r>
    <x v="0"/>
    <x v="3"/>
    <x v="3"/>
    <x v="0"/>
    <x v="0"/>
    <x v="26"/>
    <x v="1190"/>
    <n v="0"/>
    <x v="0"/>
    <x v="6"/>
    <x v="3"/>
  </r>
  <r>
    <x v="0"/>
    <x v="4"/>
    <x v="4"/>
    <x v="0"/>
    <x v="0"/>
    <x v="26"/>
    <x v="1190"/>
    <n v="0"/>
    <x v="0"/>
    <x v="6"/>
    <x v="3"/>
  </r>
  <r>
    <x v="0"/>
    <x v="0"/>
    <x v="0"/>
    <x v="0"/>
    <x v="0"/>
    <x v="169"/>
    <x v="1191"/>
    <n v="0"/>
    <x v="0"/>
    <x v="6"/>
    <x v="3"/>
  </r>
  <r>
    <x v="0"/>
    <x v="1"/>
    <x v="1"/>
    <x v="0"/>
    <x v="0"/>
    <x v="169"/>
    <x v="1191"/>
    <n v="0"/>
    <x v="0"/>
    <x v="6"/>
    <x v="3"/>
  </r>
  <r>
    <x v="0"/>
    <x v="2"/>
    <x v="2"/>
    <x v="0"/>
    <x v="0"/>
    <x v="169"/>
    <x v="1191"/>
    <n v="0"/>
    <x v="0"/>
    <x v="6"/>
    <x v="3"/>
  </r>
  <r>
    <x v="0"/>
    <x v="3"/>
    <x v="3"/>
    <x v="0"/>
    <x v="0"/>
    <x v="169"/>
    <x v="1191"/>
    <n v="0"/>
    <x v="0"/>
    <x v="6"/>
    <x v="3"/>
  </r>
  <r>
    <x v="0"/>
    <x v="4"/>
    <x v="4"/>
    <x v="0"/>
    <x v="0"/>
    <x v="169"/>
    <x v="1191"/>
    <n v="0"/>
    <x v="0"/>
    <x v="6"/>
    <x v="3"/>
  </r>
  <r>
    <x v="0"/>
    <x v="0"/>
    <x v="0"/>
    <x v="0"/>
    <x v="0"/>
    <x v="264"/>
    <x v="1192"/>
    <n v="0"/>
    <x v="0"/>
    <x v="6"/>
    <x v="3"/>
  </r>
  <r>
    <x v="0"/>
    <x v="1"/>
    <x v="1"/>
    <x v="0"/>
    <x v="0"/>
    <x v="264"/>
    <x v="1192"/>
    <n v="0"/>
    <x v="0"/>
    <x v="6"/>
    <x v="3"/>
  </r>
  <r>
    <x v="0"/>
    <x v="2"/>
    <x v="2"/>
    <x v="0"/>
    <x v="0"/>
    <x v="264"/>
    <x v="1192"/>
    <n v="0"/>
    <x v="0"/>
    <x v="6"/>
    <x v="3"/>
  </r>
  <r>
    <x v="0"/>
    <x v="3"/>
    <x v="3"/>
    <x v="0"/>
    <x v="0"/>
    <x v="264"/>
    <x v="1192"/>
    <n v="0"/>
    <x v="0"/>
    <x v="6"/>
    <x v="3"/>
  </r>
  <r>
    <x v="0"/>
    <x v="4"/>
    <x v="4"/>
    <x v="0"/>
    <x v="0"/>
    <x v="264"/>
    <x v="1192"/>
    <n v="0"/>
    <x v="0"/>
    <x v="6"/>
    <x v="3"/>
  </r>
  <r>
    <x v="0"/>
    <x v="0"/>
    <x v="0"/>
    <x v="0"/>
    <x v="0"/>
    <x v="558"/>
    <x v="1193"/>
    <n v="0"/>
    <x v="0"/>
    <x v="6"/>
    <x v="2"/>
  </r>
  <r>
    <x v="0"/>
    <x v="1"/>
    <x v="1"/>
    <x v="0"/>
    <x v="0"/>
    <x v="558"/>
    <x v="1193"/>
    <n v="0"/>
    <x v="0"/>
    <x v="6"/>
    <x v="2"/>
  </r>
  <r>
    <x v="0"/>
    <x v="2"/>
    <x v="2"/>
    <x v="0"/>
    <x v="0"/>
    <x v="558"/>
    <x v="1193"/>
    <n v="0"/>
    <x v="0"/>
    <x v="6"/>
    <x v="2"/>
  </r>
  <r>
    <x v="0"/>
    <x v="3"/>
    <x v="3"/>
    <x v="0"/>
    <x v="0"/>
    <x v="558"/>
    <x v="1193"/>
    <n v="0"/>
    <x v="0"/>
    <x v="6"/>
    <x v="2"/>
  </r>
  <r>
    <x v="0"/>
    <x v="4"/>
    <x v="4"/>
    <x v="0"/>
    <x v="0"/>
    <x v="558"/>
    <x v="1193"/>
    <n v="0"/>
    <x v="0"/>
    <x v="6"/>
    <x v="2"/>
  </r>
  <r>
    <x v="0"/>
    <x v="0"/>
    <x v="0"/>
    <x v="0"/>
    <x v="0"/>
    <x v="559"/>
    <x v="1194"/>
    <n v="0"/>
    <x v="0"/>
    <x v="6"/>
    <x v="3"/>
  </r>
  <r>
    <x v="0"/>
    <x v="1"/>
    <x v="1"/>
    <x v="0"/>
    <x v="0"/>
    <x v="559"/>
    <x v="1194"/>
    <n v="0"/>
    <x v="0"/>
    <x v="6"/>
    <x v="3"/>
  </r>
  <r>
    <x v="0"/>
    <x v="2"/>
    <x v="2"/>
    <x v="0"/>
    <x v="0"/>
    <x v="559"/>
    <x v="1194"/>
    <n v="0"/>
    <x v="0"/>
    <x v="6"/>
    <x v="3"/>
  </r>
  <r>
    <x v="0"/>
    <x v="3"/>
    <x v="3"/>
    <x v="0"/>
    <x v="0"/>
    <x v="559"/>
    <x v="1194"/>
    <n v="0"/>
    <x v="0"/>
    <x v="6"/>
    <x v="3"/>
  </r>
  <r>
    <x v="0"/>
    <x v="4"/>
    <x v="4"/>
    <x v="0"/>
    <x v="0"/>
    <x v="559"/>
    <x v="1194"/>
    <n v="0"/>
    <x v="0"/>
    <x v="6"/>
    <x v="3"/>
  </r>
  <r>
    <x v="0"/>
    <x v="0"/>
    <x v="0"/>
    <x v="0"/>
    <x v="0"/>
    <x v="560"/>
    <x v="1195"/>
    <n v="0"/>
    <x v="0"/>
    <x v="6"/>
    <x v="3"/>
  </r>
  <r>
    <x v="0"/>
    <x v="1"/>
    <x v="1"/>
    <x v="0"/>
    <x v="0"/>
    <x v="560"/>
    <x v="1195"/>
    <n v="0"/>
    <x v="0"/>
    <x v="6"/>
    <x v="3"/>
  </r>
  <r>
    <x v="0"/>
    <x v="2"/>
    <x v="2"/>
    <x v="0"/>
    <x v="0"/>
    <x v="560"/>
    <x v="1195"/>
    <n v="0"/>
    <x v="0"/>
    <x v="6"/>
    <x v="3"/>
  </r>
  <r>
    <x v="0"/>
    <x v="3"/>
    <x v="3"/>
    <x v="0"/>
    <x v="0"/>
    <x v="560"/>
    <x v="1195"/>
    <n v="0"/>
    <x v="0"/>
    <x v="6"/>
    <x v="3"/>
  </r>
  <r>
    <x v="0"/>
    <x v="4"/>
    <x v="4"/>
    <x v="0"/>
    <x v="0"/>
    <x v="560"/>
    <x v="1195"/>
    <n v="0"/>
    <x v="0"/>
    <x v="6"/>
    <x v="3"/>
  </r>
  <r>
    <x v="0"/>
    <x v="0"/>
    <x v="0"/>
    <x v="0"/>
    <x v="0"/>
    <x v="561"/>
    <x v="1196"/>
    <n v="870795.75"/>
    <x v="0"/>
    <x v="6"/>
    <x v="2"/>
  </r>
  <r>
    <x v="0"/>
    <x v="1"/>
    <x v="1"/>
    <x v="0"/>
    <x v="0"/>
    <x v="561"/>
    <x v="1196"/>
    <n v="354330.7"/>
    <x v="0"/>
    <x v="6"/>
    <x v="2"/>
  </r>
  <r>
    <x v="0"/>
    <x v="2"/>
    <x v="2"/>
    <x v="0"/>
    <x v="0"/>
    <x v="561"/>
    <x v="1196"/>
    <n v="3324869.28"/>
    <x v="0"/>
    <x v="6"/>
    <x v="2"/>
  </r>
  <r>
    <x v="0"/>
    <x v="3"/>
    <x v="3"/>
    <x v="0"/>
    <x v="0"/>
    <x v="561"/>
    <x v="1196"/>
    <n v="197107.7"/>
    <x v="0"/>
    <x v="6"/>
    <x v="2"/>
  </r>
  <r>
    <x v="0"/>
    <x v="4"/>
    <x v="4"/>
    <x v="0"/>
    <x v="0"/>
    <x v="561"/>
    <x v="1196"/>
    <n v="4747103.43"/>
    <x v="0"/>
    <x v="6"/>
    <x v="2"/>
  </r>
  <r>
    <x v="0"/>
    <x v="0"/>
    <x v="0"/>
    <x v="0"/>
    <x v="0"/>
    <x v="177"/>
    <x v="1197"/>
    <n v="4593.6400000000003"/>
    <x v="0"/>
    <x v="6"/>
    <x v="3"/>
  </r>
  <r>
    <x v="0"/>
    <x v="1"/>
    <x v="1"/>
    <x v="0"/>
    <x v="0"/>
    <x v="177"/>
    <x v="1197"/>
    <n v="9712.41"/>
    <x v="0"/>
    <x v="6"/>
    <x v="3"/>
  </r>
  <r>
    <x v="0"/>
    <x v="2"/>
    <x v="2"/>
    <x v="0"/>
    <x v="0"/>
    <x v="177"/>
    <x v="1197"/>
    <n v="162306.62"/>
    <x v="0"/>
    <x v="6"/>
    <x v="3"/>
  </r>
  <r>
    <x v="0"/>
    <x v="3"/>
    <x v="3"/>
    <x v="0"/>
    <x v="0"/>
    <x v="177"/>
    <x v="1197"/>
    <n v="0"/>
    <x v="0"/>
    <x v="6"/>
    <x v="3"/>
  </r>
  <r>
    <x v="0"/>
    <x v="4"/>
    <x v="4"/>
    <x v="0"/>
    <x v="0"/>
    <x v="177"/>
    <x v="1197"/>
    <n v="176612.67"/>
    <x v="0"/>
    <x v="6"/>
    <x v="3"/>
  </r>
  <r>
    <x v="0"/>
    <x v="0"/>
    <x v="0"/>
    <x v="0"/>
    <x v="0"/>
    <x v="178"/>
    <x v="1198"/>
    <n v="512906.45"/>
    <x v="0"/>
    <x v="6"/>
    <x v="3"/>
  </r>
  <r>
    <x v="0"/>
    <x v="1"/>
    <x v="1"/>
    <x v="0"/>
    <x v="0"/>
    <x v="178"/>
    <x v="1198"/>
    <n v="171914.57"/>
    <x v="0"/>
    <x v="6"/>
    <x v="3"/>
  </r>
  <r>
    <x v="0"/>
    <x v="2"/>
    <x v="2"/>
    <x v="0"/>
    <x v="0"/>
    <x v="178"/>
    <x v="1198"/>
    <n v="1095263.23"/>
    <x v="0"/>
    <x v="6"/>
    <x v="3"/>
  </r>
  <r>
    <x v="0"/>
    <x v="3"/>
    <x v="3"/>
    <x v="0"/>
    <x v="0"/>
    <x v="178"/>
    <x v="1198"/>
    <n v="21986.25"/>
    <x v="0"/>
    <x v="6"/>
    <x v="3"/>
  </r>
  <r>
    <x v="0"/>
    <x v="4"/>
    <x v="4"/>
    <x v="0"/>
    <x v="0"/>
    <x v="178"/>
    <x v="1198"/>
    <n v="1802070.5"/>
    <x v="0"/>
    <x v="6"/>
    <x v="3"/>
  </r>
  <r>
    <x v="0"/>
    <x v="0"/>
    <x v="0"/>
    <x v="0"/>
    <x v="0"/>
    <x v="179"/>
    <x v="1199"/>
    <n v="307553.37"/>
    <x v="0"/>
    <x v="6"/>
    <x v="3"/>
  </r>
  <r>
    <x v="0"/>
    <x v="1"/>
    <x v="1"/>
    <x v="0"/>
    <x v="0"/>
    <x v="179"/>
    <x v="1199"/>
    <n v="113514.1"/>
    <x v="0"/>
    <x v="6"/>
    <x v="3"/>
  </r>
  <r>
    <x v="0"/>
    <x v="2"/>
    <x v="2"/>
    <x v="0"/>
    <x v="0"/>
    <x v="179"/>
    <x v="1199"/>
    <n v="977960.27"/>
    <x v="0"/>
    <x v="6"/>
    <x v="3"/>
  </r>
  <r>
    <x v="0"/>
    <x v="3"/>
    <x v="3"/>
    <x v="0"/>
    <x v="0"/>
    <x v="179"/>
    <x v="1199"/>
    <n v="51551.19"/>
    <x v="0"/>
    <x v="6"/>
    <x v="3"/>
  </r>
  <r>
    <x v="0"/>
    <x v="4"/>
    <x v="4"/>
    <x v="0"/>
    <x v="0"/>
    <x v="179"/>
    <x v="1199"/>
    <n v="1450578.9300000002"/>
    <x v="0"/>
    <x v="6"/>
    <x v="3"/>
  </r>
  <r>
    <x v="0"/>
    <x v="0"/>
    <x v="0"/>
    <x v="0"/>
    <x v="0"/>
    <x v="180"/>
    <x v="1200"/>
    <n v="35732.78"/>
    <x v="0"/>
    <x v="6"/>
    <x v="3"/>
  </r>
  <r>
    <x v="0"/>
    <x v="1"/>
    <x v="1"/>
    <x v="0"/>
    <x v="0"/>
    <x v="180"/>
    <x v="1200"/>
    <n v="59022.879999999997"/>
    <x v="0"/>
    <x v="6"/>
    <x v="3"/>
  </r>
  <r>
    <x v="0"/>
    <x v="2"/>
    <x v="2"/>
    <x v="0"/>
    <x v="0"/>
    <x v="180"/>
    <x v="1200"/>
    <n v="1066380.21"/>
    <x v="0"/>
    <x v="6"/>
    <x v="3"/>
  </r>
  <r>
    <x v="0"/>
    <x v="3"/>
    <x v="3"/>
    <x v="0"/>
    <x v="0"/>
    <x v="180"/>
    <x v="1200"/>
    <n v="60338.17"/>
    <x v="0"/>
    <x v="6"/>
    <x v="3"/>
  </r>
  <r>
    <x v="0"/>
    <x v="4"/>
    <x v="4"/>
    <x v="0"/>
    <x v="0"/>
    <x v="180"/>
    <x v="1200"/>
    <n v="1221474.04"/>
    <x v="0"/>
    <x v="6"/>
    <x v="3"/>
  </r>
  <r>
    <x v="0"/>
    <x v="0"/>
    <x v="0"/>
    <x v="0"/>
    <x v="0"/>
    <x v="181"/>
    <x v="1201"/>
    <n v="0"/>
    <x v="0"/>
    <x v="6"/>
    <x v="3"/>
  </r>
  <r>
    <x v="0"/>
    <x v="1"/>
    <x v="1"/>
    <x v="0"/>
    <x v="0"/>
    <x v="181"/>
    <x v="1201"/>
    <n v="0"/>
    <x v="0"/>
    <x v="6"/>
    <x v="3"/>
  </r>
  <r>
    <x v="0"/>
    <x v="2"/>
    <x v="2"/>
    <x v="0"/>
    <x v="0"/>
    <x v="181"/>
    <x v="1201"/>
    <n v="1.25"/>
    <x v="0"/>
    <x v="6"/>
    <x v="3"/>
  </r>
  <r>
    <x v="0"/>
    <x v="3"/>
    <x v="3"/>
    <x v="0"/>
    <x v="0"/>
    <x v="181"/>
    <x v="1201"/>
    <n v="0"/>
    <x v="0"/>
    <x v="6"/>
    <x v="3"/>
  </r>
  <r>
    <x v="0"/>
    <x v="4"/>
    <x v="4"/>
    <x v="0"/>
    <x v="0"/>
    <x v="181"/>
    <x v="1201"/>
    <n v="1.25"/>
    <x v="0"/>
    <x v="6"/>
    <x v="3"/>
  </r>
  <r>
    <x v="0"/>
    <x v="0"/>
    <x v="0"/>
    <x v="0"/>
    <x v="0"/>
    <x v="182"/>
    <x v="1202"/>
    <n v="10009.51"/>
    <x v="0"/>
    <x v="6"/>
    <x v="3"/>
  </r>
  <r>
    <x v="0"/>
    <x v="1"/>
    <x v="1"/>
    <x v="0"/>
    <x v="0"/>
    <x v="182"/>
    <x v="1202"/>
    <n v="0"/>
    <x v="0"/>
    <x v="6"/>
    <x v="3"/>
  </r>
  <r>
    <x v="0"/>
    <x v="2"/>
    <x v="2"/>
    <x v="0"/>
    <x v="0"/>
    <x v="182"/>
    <x v="1202"/>
    <n v="11646.13"/>
    <x v="0"/>
    <x v="6"/>
    <x v="3"/>
  </r>
  <r>
    <x v="0"/>
    <x v="3"/>
    <x v="3"/>
    <x v="0"/>
    <x v="0"/>
    <x v="182"/>
    <x v="1202"/>
    <n v="0"/>
    <x v="0"/>
    <x v="6"/>
    <x v="3"/>
  </r>
  <r>
    <x v="0"/>
    <x v="4"/>
    <x v="4"/>
    <x v="0"/>
    <x v="0"/>
    <x v="182"/>
    <x v="1202"/>
    <n v="21655.64"/>
    <x v="0"/>
    <x v="6"/>
    <x v="3"/>
  </r>
  <r>
    <x v="0"/>
    <x v="0"/>
    <x v="0"/>
    <x v="0"/>
    <x v="0"/>
    <x v="183"/>
    <x v="1203"/>
    <n v="0"/>
    <x v="0"/>
    <x v="6"/>
    <x v="3"/>
  </r>
  <r>
    <x v="0"/>
    <x v="1"/>
    <x v="1"/>
    <x v="0"/>
    <x v="0"/>
    <x v="183"/>
    <x v="1203"/>
    <n v="0"/>
    <x v="0"/>
    <x v="6"/>
    <x v="3"/>
  </r>
  <r>
    <x v="0"/>
    <x v="2"/>
    <x v="2"/>
    <x v="0"/>
    <x v="0"/>
    <x v="183"/>
    <x v="1203"/>
    <n v="6017.94"/>
    <x v="0"/>
    <x v="6"/>
    <x v="3"/>
  </r>
  <r>
    <x v="0"/>
    <x v="3"/>
    <x v="3"/>
    <x v="0"/>
    <x v="0"/>
    <x v="183"/>
    <x v="1203"/>
    <n v="0"/>
    <x v="0"/>
    <x v="6"/>
    <x v="3"/>
  </r>
  <r>
    <x v="0"/>
    <x v="4"/>
    <x v="4"/>
    <x v="0"/>
    <x v="0"/>
    <x v="183"/>
    <x v="1203"/>
    <n v="6017.94"/>
    <x v="0"/>
    <x v="6"/>
    <x v="3"/>
  </r>
  <r>
    <x v="0"/>
    <x v="0"/>
    <x v="0"/>
    <x v="0"/>
    <x v="0"/>
    <x v="184"/>
    <x v="1204"/>
    <n v="0"/>
    <x v="0"/>
    <x v="6"/>
    <x v="3"/>
  </r>
  <r>
    <x v="0"/>
    <x v="1"/>
    <x v="1"/>
    <x v="0"/>
    <x v="0"/>
    <x v="184"/>
    <x v="1204"/>
    <n v="0"/>
    <x v="0"/>
    <x v="6"/>
    <x v="3"/>
  </r>
  <r>
    <x v="0"/>
    <x v="2"/>
    <x v="2"/>
    <x v="0"/>
    <x v="0"/>
    <x v="184"/>
    <x v="1204"/>
    <n v="0"/>
    <x v="0"/>
    <x v="6"/>
    <x v="3"/>
  </r>
  <r>
    <x v="0"/>
    <x v="3"/>
    <x v="3"/>
    <x v="0"/>
    <x v="0"/>
    <x v="184"/>
    <x v="1204"/>
    <n v="0"/>
    <x v="0"/>
    <x v="6"/>
    <x v="3"/>
  </r>
  <r>
    <x v="0"/>
    <x v="4"/>
    <x v="4"/>
    <x v="0"/>
    <x v="0"/>
    <x v="184"/>
    <x v="1204"/>
    <n v="0"/>
    <x v="0"/>
    <x v="6"/>
    <x v="3"/>
  </r>
  <r>
    <x v="0"/>
    <x v="0"/>
    <x v="0"/>
    <x v="0"/>
    <x v="0"/>
    <x v="185"/>
    <x v="1205"/>
    <n v="0"/>
    <x v="0"/>
    <x v="6"/>
    <x v="3"/>
  </r>
  <r>
    <x v="0"/>
    <x v="1"/>
    <x v="1"/>
    <x v="0"/>
    <x v="0"/>
    <x v="185"/>
    <x v="1205"/>
    <n v="0.14000000000000001"/>
    <x v="0"/>
    <x v="6"/>
    <x v="3"/>
  </r>
  <r>
    <x v="0"/>
    <x v="2"/>
    <x v="2"/>
    <x v="0"/>
    <x v="0"/>
    <x v="185"/>
    <x v="1205"/>
    <n v="5164.17"/>
    <x v="0"/>
    <x v="6"/>
    <x v="3"/>
  </r>
  <r>
    <x v="0"/>
    <x v="3"/>
    <x v="3"/>
    <x v="0"/>
    <x v="0"/>
    <x v="185"/>
    <x v="1205"/>
    <n v="63232.09"/>
    <x v="0"/>
    <x v="6"/>
    <x v="3"/>
  </r>
  <r>
    <x v="0"/>
    <x v="4"/>
    <x v="4"/>
    <x v="0"/>
    <x v="0"/>
    <x v="185"/>
    <x v="1205"/>
    <n v="68396.399999999994"/>
    <x v="0"/>
    <x v="6"/>
    <x v="3"/>
  </r>
  <r>
    <x v="0"/>
    <x v="0"/>
    <x v="0"/>
    <x v="0"/>
    <x v="0"/>
    <x v="186"/>
    <x v="1206"/>
    <n v="0"/>
    <x v="0"/>
    <x v="6"/>
    <x v="3"/>
  </r>
  <r>
    <x v="0"/>
    <x v="1"/>
    <x v="1"/>
    <x v="0"/>
    <x v="0"/>
    <x v="186"/>
    <x v="1206"/>
    <n v="166.6"/>
    <x v="0"/>
    <x v="6"/>
    <x v="3"/>
  </r>
  <r>
    <x v="0"/>
    <x v="2"/>
    <x v="2"/>
    <x v="0"/>
    <x v="0"/>
    <x v="186"/>
    <x v="1206"/>
    <n v="129.46"/>
    <x v="0"/>
    <x v="6"/>
    <x v="3"/>
  </r>
  <r>
    <x v="0"/>
    <x v="3"/>
    <x v="3"/>
    <x v="0"/>
    <x v="0"/>
    <x v="186"/>
    <x v="1206"/>
    <n v="0"/>
    <x v="0"/>
    <x v="6"/>
    <x v="3"/>
  </r>
  <r>
    <x v="0"/>
    <x v="4"/>
    <x v="4"/>
    <x v="0"/>
    <x v="0"/>
    <x v="186"/>
    <x v="1206"/>
    <n v="296.06"/>
    <x v="0"/>
    <x v="6"/>
    <x v="3"/>
  </r>
  <r>
    <x v="0"/>
    <x v="0"/>
    <x v="0"/>
    <x v="0"/>
    <x v="0"/>
    <x v="68"/>
    <x v="1207"/>
    <n v="0"/>
    <x v="0"/>
    <x v="6"/>
    <x v="3"/>
  </r>
  <r>
    <x v="0"/>
    <x v="1"/>
    <x v="1"/>
    <x v="0"/>
    <x v="0"/>
    <x v="68"/>
    <x v="1207"/>
    <n v="0"/>
    <x v="0"/>
    <x v="6"/>
    <x v="3"/>
  </r>
  <r>
    <x v="0"/>
    <x v="2"/>
    <x v="2"/>
    <x v="0"/>
    <x v="0"/>
    <x v="68"/>
    <x v="1207"/>
    <n v="0"/>
    <x v="0"/>
    <x v="6"/>
    <x v="3"/>
  </r>
  <r>
    <x v="0"/>
    <x v="3"/>
    <x v="3"/>
    <x v="0"/>
    <x v="0"/>
    <x v="68"/>
    <x v="1207"/>
    <n v="0"/>
    <x v="0"/>
    <x v="6"/>
    <x v="3"/>
  </r>
  <r>
    <x v="0"/>
    <x v="4"/>
    <x v="4"/>
    <x v="0"/>
    <x v="0"/>
    <x v="68"/>
    <x v="1207"/>
    <n v="0"/>
    <x v="0"/>
    <x v="6"/>
    <x v="3"/>
  </r>
  <r>
    <x v="0"/>
    <x v="0"/>
    <x v="0"/>
    <x v="0"/>
    <x v="0"/>
    <x v="562"/>
    <x v="1208"/>
    <n v="0"/>
    <x v="0"/>
    <x v="6"/>
    <x v="2"/>
  </r>
  <r>
    <x v="0"/>
    <x v="1"/>
    <x v="1"/>
    <x v="0"/>
    <x v="0"/>
    <x v="562"/>
    <x v="1208"/>
    <n v="0"/>
    <x v="0"/>
    <x v="6"/>
    <x v="2"/>
  </r>
  <r>
    <x v="0"/>
    <x v="2"/>
    <x v="2"/>
    <x v="0"/>
    <x v="0"/>
    <x v="562"/>
    <x v="1208"/>
    <n v="2686060.37"/>
    <x v="0"/>
    <x v="6"/>
    <x v="2"/>
  </r>
  <r>
    <x v="0"/>
    <x v="3"/>
    <x v="3"/>
    <x v="0"/>
    <x v="0"/>
    <x v="562"/>
    <x v="1208"/>
    <n v="0"/>
    <x v="0"/>
    <x v="6"/>
    <x v="2"/>
  </r>
  <r>
    <x v="0"/>
    <x v="4"/>
    <x v="4"/>
    <x v="0"/>
    <x v="0"/>
    <x v="562"/>
    <x v="1208"/>
    <n v="2686060.37"/>
    <x v="0"/>
    <x v="6"/>
    <x v="2"/>
  </r>
  <r>
    <x v="0"/>
    <x v="0"/>
    <x v="0"/>
    <x v="0"/>
    <x v="0"/>
    <x v="563"/>
    <x v="1209"/>
    <n v="0"/>
    <x v="0"/>
    <x v="6"/>
    <x v="3"/>
  </r>
  <r>
    <x v="0"/>
    <x v="1"/>
    <x v="1"/>
    <x v="0"/>
    <x v="0"/>
    <x v="563"/>
    <x v="1209"/>
    <n v="0"/>
    <x v="0"/>
    <x v="6"/>
    <x v="3"/>
  </r>
  <r>
    <x v="0"/>
    <x v="2"/>
    <x v="2"/>
    <x v="0"/>
    <x v="0"/>
    <x v="563"/>
    <x v="1209"/>
    <n v="2243041.5"/>
    <x v="0"/>
    <x v="6"/>
    <x v="3"/>
  </r>
  <r>
    <x v="0"/>
    <x v="3"/>
    <x v="3"/>
    <x v="0"/>
    <x v="0"/>
    <x v="563"/>
    <x v="1209"/>
    <n v="0"/>
    <x v="0"/>
    <x v="6"/>
    <x v="3"/>
  </r>
  <r>
    <x v="0"/>
    <x v="4"/>
    <x v="4"/>
    <x v="0"/>
    <x v="0"/>
    <x v="563"/>
    <x v="1209"/>
    <n v="2243041.5"/>
    <x v="0"/>
    <x v="6"/>
    <x v="3"/>
  </r>
  <r>
    <x v="0"/>
    <x v="0"/>
    <x v="0"/>
    <x v="0"/>
    <x v="0"/>
    <x v="564"/>
    <x v="1210"/>
    <n v="0"/>
    <x v="0"/>
    <x v="6"/>
    <x v="3"/>
  </r>
  <r>
    <x v="0"/>
    <x v="1"/>
    <x v="1"/>
    <x v="0"/>
    <x v="0"/>
    <x v="564"/>
    <x v="1210"/>
    <n v="0"/>
    <x v="0"/>
    <x v="6"/>
    <x v="3"/>
  </r>
  <r>
    <x v="0"/>
    <x v="2"/>
    <x v="2"/>
    <x v="0"/>
    <x v="0"/>
    <x v="564"/>
    <x v="1210"/>
    <n v="104077.7"/>
    <x v="0"/>
    <x v="6"/>
    <x v="3"/>
  </r>
  <r>
    <x v="0"/>
    <x v="3"/>
    <x v="3"/>
    <x v="0"/>
    <x v="0"/>
    <x v="564"/>
    <x v="1210"/>
    <n v="0"/>
    <x v="0"/>
    <x v="6"/>
    <x v="3"/>
  </r>
  <r>
    <x v="0"/>
    <x v="4"/>
    <x v="4"/>
    <x v="0"/>
    <x v="0"/>
    <x v="564"/>
    <x v="1210"/>
    <n v="104077.7"/>
    <x v="0"/>
    <x v="6"/>
    <x v="3"/>
  </r>
  <r>
    <x v="0"/>
    <x v="0"/>
    <x v="0"/>
    <x v="0"/>
    <x v="0"/>
    <x v="565"/>
    <x v="1211"/>
    <n v="0"/>
    <x v="0"/>
    <x v="6"/>
    <x v="3"/>
  </r>
  <r>
    <x v="0"/>
    <x v="1"/>
    <x v="1"/>
    <x v="0"/>
    <x v="0"/>
    <x v="565"/>
    <x v="1211"/>
    <n v="0"/>
    <x v="0"/>
    <x v="6"/>
    <x v="3"/>
  </r>
  <r>
    <x v="0"/>
    <x v="2"/>
    <x v="2"/>
    <x v="0"/>
    <x v="0"/>
    <x v="565"/>
    <x v="1211"/>
    <n v="338941.17"/>
    <x v="0"/>
    <x v="6"/>
    <x v="3"/>
  </r>
  <r>
    <x v="0"/>
    <x v="3"/>
    <x v="3"/>
    <x v="0"/>
    <x v="0"/>
    <x v="565"/>
    <x v="1211"/>
    <n v="0"/>
    <x v="0"/>
    <x v="6"/>
    <x v="3"/>
  </r>
  <r>
    <x v="0"/>
    <x v="4"/>
    <x v="4"/>
    <x v="0"/>
    <x v="0"/>
    <x v="565"/>
    <x v="1211"/>
    <n v="338941.17"/>
    <x v="0"/>
    <x v="6"/>
    <x v="3"/>
  </r>
  <r>
    <x v="0"/>
    <x v="0"/>
    <x v="0"/>
    <x v="0"/>
    <x v="0"/>
    <x v="566"/>
    <x v="1212"/>
    <n v="0"/>
    <x v="0"/>
    <x v="6"/>
    <x v="2"/>
  </r>
  <r>
    <x v="0"/>
    <x v="1"/>
    <x v="1"/>
    <x v="0"/>
    <x v="0"/>
    <x v="566"/>
    <x v="1212"/>
    <n v="0"/>
    <x v="0"/>
    <x v="6"/>
    <x v="2"/>
  </r>
  <r>
    <x v="0"/>
    <x v="2"/>
    <x v="2"/>
    <x v="0"/>
    <x v="0"/>
    <x v="566"/>
    <x v="1212"/>
    <n v="0"/>
    <x v="0"/>
    <x v="6"/>
    <x v="2"/>
  </r>
  <r>
    <x v="0"/>
    <x v="3"/>
    <x v="3"/>
    <x v="0"/>
    <x v="0"/>
    <x v="566"/>
    <x v="1212"/>
    <n v="0"/>
    <x v="0"/>
    <x v="6"/>
    <x v="2"/>
  </r>
  <r>
    <x v="0"/>
    <x v="4"/>
    <x v="4"/>
    <x v="0"/>
    <x v="0"/>
    <x v="566"/>
    <x v="1212"/>
    <n v="0"/>
    <x v="0"/>
    <x v="6"/>
    <x v="2"/>
  </r>
  <r>
    <x v="0"/>
    <x v="0"/>
    <x v="0"/>
    <x v="0"/>
    <x v="0"/>
    <x v="567"/>
    <x v="1213"/>
    <n v="0"/>
    <x v="0"/>
    <x v="6"/>
    <x v="3"/>
  </r>
  <r>
    <x v="0"/>
    <x v="1"/>
    <x v="1"/>
    <x v="0"/>
    <x v="0"/>
    <x v="567"/>
    <x v="1213"/>
    <n v="0"/>
    <x v="0"/>
    <x v="6"/>
    <x v="3"/>
  </r>
  <r>
    <x v="0"/>
    <x v="2"/>
    <x v="2"/>
    <x v="0"/>
    <x v="0"/>
    <x v="567"/>
    <x v="1213"/>
    <n v="0"/>
    <x v="0"/>
    <x v="6"/>
    <x v="3"/>
  </r>
  <r>
    <x v="0"/>
    <x v="3"/>
    <x v="3"/>
    <x v="0"/>
    <x v="0"/>
    <x v="567"/>
    <x v="1213"/>
    <n v="0"/>
    <x v="0"/>
    <x v="6"/>
    <x v="3"/>
  </r>
  <r>
    <x v="0"/>
    <x v="4"/>
    <x v="4"/>
    <x v="0"/>
    <x v="0"/>
    <x v="567"/>
    <x v="1213"/>
    <n v="0"/>
    <x v="0"/>
    <x v="6"/>
    <x v="3"/>
  </r>
  <r>
    <x v="0"/>
    <x v="0"/>
    <x v="0"/>
    <x v="0"/>
    <x v="0"/>
    <x v="568"/>
    <x v="1214"/>
    <n v="0"/>
    <x v="0"/>
    <x v="6"/>
    <x v="3"/>
  </r>
  <r>
    <x v="0"/>
    <x v="1"/>
    <x v="1"/>
    <x v="0"/>
    <x v="0"/>
    <x v="568"/>
    <x v="1214"/>
    <n v="0"/>
    <x v="0"/>
    <x v="6"/>
    <x v="3"/>
  </r>
  <r>
    <x v="0"/>
    <x v="2"/>
    <x v="2"/>
    <x v="0"/>
    <x v="0"/>
    <x v="568"/>
    <x v="1214"/>
    <n v="0"/>
    <x v="0"/>
    <x v="6"/>
    <x v="3"/>
  </r>
  <r>
    <x v="0"/>
    <x v="3"/>
    <x v="3"/>
    <x v="0"/>
    <x v="0"/>
    <x v="568"/>
    <x v="1214"/>
    <n v="0"/>
    <x v="0"/>
    <x v="6"/>
    <x v="3"/>
  </r>
  <r>
    <x v="0"/>
    <x v="4"/>
    <x v="4"/>
    <x v="0"/>
    <x v="0"/>
    <x v="568"/>
    <x v="1214"/>
    <n v="0"/>
    <x v="0"/>
    <x v="6"/>
    <x v="3"/>
  </r>
  <r>
    <x v="0"/>
    <x v="0"/>
    <x v="0"/>
    <x v="0"/>
    <x v="0"/>
    <x v="569"/>
    <x v="1215"/>
    <n v="0"/>
    <x v="0"/>
    <x v="6"/>
    <x v="3"/>
  </r>
  <r>
    <x v="0"/>
    <x v="1"/>
    <x v="1"/>
    <x v="0"/>
    <x v="0"/>
    <x v="569"/>
    <x v="1215"/>
    <n v="0"/>
    <x v="0"/>
    <x v="6"/>
    <x v="3"/>
  </r>
  <r>
    <x v="0"/>
    <x v="2"/>
    <x v="2"/>
    <x v="0"/>
    <x v="0"/>
    <x v="569"/>
    <x v="1215"/>
    <n v="0"/>
    <x v="0"/>
    <x v="6"/>
    <x v="3"/>
  </r>
  <r>
    <x v="0"/>
    <x v="3"/>
    <x v="3"/>
    <x v="0"/>
    <x v="0"/>
    <x v="569"/>
    <x v="1215"/>
    <n v="0"/>
    <x v="0"/>
    <x v="6"/>
    <x v="3"/>
  </r>
  <r>
    <x v="0"/>
    <x v="4"/>
    <x v="4"/>
    <x v="0"/>
    <x v="0"/>
    <x v="569"/>
    <x v="1215"/>
    <n v="0"/>
    <x v="0"/>
    <x v="6"/>
    <x v="3"/>
  </r>
  <r>
    <x v="0"/>
    <x v="0"/>
    <x v="0"/>
    <x v="0"/>
    <x v="0"/>
    <x v="570"/>
    <x v="1216"/>
    <n v="0"/>
    <x v="0"/>
    <x v="6"/>
    <x v="3"/>
  </r>
  <r>
    <x v="0"/>
    <x v="1"/>
    <x v="1"/>
    <x v="0"/>
    <x v="0"/>
    <x v="570"/>
    <x v="1216"/>
    <n v="0"/>
    <x v="0"/>
    <x v="6"/>
    <x v="3"/>
  </r>
  <r>
    <x v="0"/>
    <x v="2"/>
    <x v="2"/>
    <x v="0"/>
    <x v="0"/>
    <x v="570"/>
    <x v="1216"/>
    <n v="0"/>
    <x v="0"/>
    <x v="6"/>
    <x v="3"/>
  </r>
  <r>
    <x v="0"/>
    <x v="3"/>
    <x v="3"/>
    <x v="0"/>
    <x v="0"/>
    <x v="570"/>
    <x v="1216"/>
    <n v="0"/>
    <x v="0"/>
    <x v="6"/>
    <x v="3"/>
  </r>
  <r>
    <x v="0"/>
    <x v="4"/>
    <x v="4"/>
    <x v="0"/>
    <x v="0"/>
    <x v="570"/>
    <x v="1216"/>
    <n v="0"/>
    <x v="0"/>
    <x v="6"/>
    <x v="3"/>
  </r>
  <r>
    <x v="0"/>
    <x v="0"/>
    <x v="0"/>
    <x v="0"/>
    <x v="0"/>
    <x v="571"/>
    <x v="1217"/>
    <n v="0"/>
    <x v="0"/>
    <x v="6"/>
    <x v="2"/>
  </r>
  <r>
    <x v="0"/>
    <x v="1"/>
    <x v="1"/>
    <x v="0"/>
    <x v="0"/>
    <x v="571"/>
    <x v="1217"/>
    <n v="0"/>
    <x v="0"/>
    <x v="6"/>
    <x v="2"/>
  </r>
  <r>
    <x v="0"/>
    <x v="2"/>
    <x v="2"/>
    <x v="0"/>
    <x v="0"/>
    <x v="571"/>
    <x v="1217"/>
    <n v="0"/>
    <x v="0"/>
    <x v="6"/>
    <x v="2"/>
  </r>
  <r>
    <x v="0"/>
    <x v="3"/>
    <x v="3"/>
    <x v="0"/>
    <x v="0"/>
    <x v="571"/>
    <x v="1217"/>
    <n v="0"/>
    <x v="0"/>
    <x v="6"/>
    <x v="2"/>
  </r>
  <r>
    <x v="0"/>
    <x v="4"/>
    <x v="4"/>
    <x v="0"/>
    <x v="0"/>
    <x v="571"/>
    <x v="1217"/>
    <n v="0"/>
    <x v="0"/>
    <x v="6"/>
    <x v="2"/>
  </r>
  <r>
    <x v="0"/>
    <x v="0"/>
    <x v="0"/>
    <x v="0"/>
    <x v="0"/>
    <x v="572"/>
    <x v="1218"/>
    <n v="0"/>
    <x v="0"/>
    <x v="6"/>
    <x v="3"/>
  </r>
  <r>
    <x v="0"/>
    <x v="1"/>
    <x v="1"/>
    <x v="0"/>
    <x v="0"/>
    <x v="572"/>
    <x v="1218"/>
    <n v="0"/>
    <x v="0"/>
    <x v="6"/>
    <x v="3"/>
  </r>
  <r>
    <x v="0"/>
    <x v="2"/>
    <x v="2"/>
    <x v="0"/>
    <x v="0"/>
    <x v="572"/>
    <x v="1218"/>
    <n v="0"/>
    <x v="0"/>
    <x v="6"/>
    <x v="3"/>
  </r>
  <r>
    <x v="0"/>
    <x v="3"/>
    <x v="3"/>
    <x v="0"/>
    <x v="0"/>
    <x v="572"/>
    <x v="1218"/>
    <n v="0"/>
    <x v="0"/>
    <x v="6"/>
    <x v="3"/>
  </r>
  <r>
    <x v="0"/>
    <x v="4"/>
    <x v="4"/>
    <x v="0"/>
    <x v="0"/>
    <x v="572"/>
    <x v="1218"/>
    <n v="0"/>
    <x v="0"/>
    <x v="6"/>
    <x v="3"/>
  </r>
  <r>
    <x v="0"/>
    <x v="0"/>
    <x v="0"/>
    <x v="0"/>
    <x v="0"/>
    <x v="573"/>
    <x v="1219"/>
    <n v="0"/>
    <x v="0"/>
    <x v="6"/>
    <x v="3"/>
  </r>
  <r>
    <x v="0"/>
    <x v="1"/>
    <x v="1"/>
    <x v="0"/>
    <x v="0"/>
    <x v="573"/>
    <x v="1219"/>
    <n v="0"/>
    <x v="0"/>
    <x v="6"/>
    <x v="3"/>
  </r>
  <r>
    <x v="0"/>
    <x v="2"/>
    <x v="2"/>
    <x v="0"/>
    <x v="0"/>
    <x v="573"/>
    <x v="1219"/>
    <n v="0"/>
    <x v="0"/>
    <x v="6"/>
    <x v="3"/>
  </r>
  <r>
    <x v="0"/>
    <x v="3"/>
    <x v="3"/>
    <x v="0"/>
    <x v="0"/>
    <x v="573"/>
    <x v="1219"/>
    <n v="0"/>
    <x v="0"/>
    <x v="6"/>
    <x v="3"/>
  </r>
  <r>
    <x v="0"/>
    <x v="4"/>
    <x v="4"/>
    <x v="0"/>
    <x v="0"/>
    <x v="573"/>
    <x v="1219"/>
    <n v="0"/>
    <x v="0"/>
    <x v="6"/>
    <x v="3"/>
  </r>
  <r>
    <x v="0"/>
    <x v="0"/>
    <x v="0"/>
    <x v="0"/>
    <x v="0"/>
    <x v="574"/>
    <x v="1220"/>
    <n v="0"/>
    <x v="0"/>
    <x v="6"/>
    <x v="2"/>
  </r>
  <r>
    <x v="0"/>
    <x v="1"/>
    <x v="1"/>
    <x v="0"/>
    <x v="0"/>
    <x v="574"/>
    <x v="1220"/>
    <n v="0"/>
    <x v="0"/>
    <x v="6"/>
    <x v="2"/>
  </r>
  <r>
    <x v="0"/>
    <x v="2"/>
    <x v="2"/>
    <x v="0"/>
    <x v="0"/>
    <x v="574"/>
    <x v="1220"/>
    <n v="0"/>
    <x v="0"/>
    <x v="6"/>
    <x v="2"/>
  </r>
  <r>
    <x v="0"/>
    <x v="3"/>
    <x v="3"/>
    <x v="0"/>
    <x v="0"/>
    <x v="574"/>
    <x v="1220"/>
    <n v="0"/>
    <x v="0"/>
    <x v="6"/>
    <x v="2"/>
  </r>
  <r>
    <x v="0"/>
    <x v="4"/>
    <x v="4"/>
    <x v="0"/>
    <x v="0"/>
    <x v="574"/>
    <x v="1220"/>
    <n v="0"/>
    <x v="0"/>
    <x v="6"/>
    <x v="2"/>
  </r>
  <r>
    <x v="0"/>
    <x v="0"/>
    <x v="0"/>
    <x v="0"/>
    <x v="0"/>
    <x v="567"/>
    <x v="1221"/>
    <n v="0"/>
    <x v="0"/>
    <x v="6"/>
    <x v="3"/>
  </r>
  <r>
    <x v="0"/>
    <x v="1"/>
    <x v="1"/>
    <x v="0"/>
    <x v="0"/>
    <x v="567"/>
    <x v="1221"/>
    <n v="0"/>
    <x v="0"/>
    <x v="6"/>
    <x v="3"/>
  </r>
  <r>
    <x v="0"/>
    <x v="2"/>
    <x v="2"/>
    <x v="0"/>
    <x v="0"/>
    <x v="567"/>
    <x v="1221"/>
    <n v="0"/>
    <x v="0"/>
    <x v="6"/>
    <x v="3"/>
  </r>
  <r>
    <x v="0"/>
    <x v="3"/>
    <x v="3"/>
    <x v="0"/>
    <x v="0"/>
    <x v="567"/>
    <x v="1221"/>
    <n v="0"/>
    <x v="0"/>
    <x v="6"/>
    <x v="3"/>
  </r>
  <r>
    <x v="0"/>
    <x v="4"/>
    <x v="4"/>
    <x v="0"/>
    <x v="0"/>
    <x v="567"/>
    <x v="1221"/>
    <n v="0"/>
    <x v="0"/>
    <x v="6"/>
    <x v="3"/>
  </r>
  <r>
    <x v="0"/>
    <x v="0"/>
    <x v="0"/>
    <x v="0"/>
    <x v="0"/>
    <x v="568"/>
    <x v="1222"/>
    <n v="0"/>
    <x v="0"/>
    <x v="6"/>
    <x v="3"/>
  </r>
  <r>
    <x v="0"/>
    <x v="1"/>
    <x v="1"/>
    <x v="0"/>
    <x v="0"/>
    <x v="568"/>
    <x v="1222"/>
    <n v="0"/>
    <x v="0"/>
    <x v="6"/>
    <x v="3"/>
  </r>
  <r>
    <x v="0"/>
    <x v="2"/>
    <x v="2"/>
    <x v="0"/>
    <x v="0"/>
    <x v="568"/>
    <x v="1222"/>
    <n v="0"/>
    <x v="0"/>
    <x v="6"/>
    <x v="3"/>
  </r>
  <r>
    <x v="0"/>
    <x v="3"/>
    <x v="3"/>
    <x v="0"/>
    <x v="0"/>
    <x v="568"/>
    <x v="1222"/>
    <n v="0"/>
    <x v="0"/>
    <x v="6"/>
    <x v="3"/>
  </r>
  <r>
    <x v="0"/>
    <x v="4"/>
    <x v="4"/>
    <x v="0"/>
    <x v="0"/>
    <x v="568"/>
    <x v="1222"/>
    <n v="0"/>
    <x v="0"/>
    <x v="6"/>
    <x v="3"/>
  </r>
  <r>
    <x v="0"/>
    <x v="0"/>
    <x v="0"/>
    <x v="0"/>
    <x v="0"/>
    <x v="179"/>
    <x v="1223"/>
    <n v="0"/>
    <x v="0"/>
    <x v="6"/>
    <x v="3"/>
  </r>
  <r>
    <x v="0"/>
    <x v="1"/>
    <x v="1"/>
    <x v="0"/>
    <x v="0"/>
    <x v="179"/>
    <x v="1223"/>
    <n v="0"/>
    <x v="0"/>
    <x v="6"/>
    <x v="3"/>
  </r>
  <r>
    <x v="0"/>
    <x v="2"/>
    <x v="2"/>
    <x v="0"/>
    <x v="0"/>
    <x v="179"/>
    <x v="1223"/>
    <n v="0"/>
    <x v="0"/>
    <x v="6"/>
    <x v="3"/>
  </r>
  <r>
    <x v="0"/>
    <x v="3"/>
    <x v="3"/>
    <x v="0"/>
    <x v="0"/>
    <x v="179"/>
    <x v="1223"/>
    <n v="0"/>
    <x v="0"/>
    <x v="6"/>
    <x v="3"/>
  </r>
  <r>
    <x v="0"/>
    <x v="4"/>
    <x v="4"/>
    <x v="0"/>
    <x v="0"/>
    <x v="179"/>
    <x v="1223"/>
    <n v="0"/>
    <x v="0"/>
    <x v="6"/>
    <x v="3"/>
  </r>
  <r>
    <x v="0"/>
    <x v="0"/>
    <x v="0"/>
    <x v="0"/>
    <x v="0"/>
    <x v="570"/>
    <x v="1224"/>
    <n v="0"/>
    <x v="0"/>
    <x v="6"/>
    <x v="3"/>
  </r>
  <r>
    <x v="0"/>
    <x v="1"/>
    <x v="1"/>
    <x v="0"/>
    <x v="0"/>
    <x v="570"/>
    <x v="1224"/>
    <n v="0"/>
    <x v="0"/>
    <x v="6"/>
    <x v="3"/>
  </r>
  <r>
    <x v="0"/>
    <x v="2"/>
    <x v="2"/>
    <x v="0"/>
    <x v="0"/>
    <x v="570"/>
    <x v="1224"/>
    <n v="0"/>
    <x v="0"/>
    <x v="6"/>
    <x v="3"/>
  </r>
  <r>
    <x v="0"/>
    <x v="3"/>
    <x v="3"/>
    <x v="0"/>
    <x v="0"/>
    <x v="570"/>
    <x v="1224"/>
    <n v="0"/>
    <x v="0"/>
    <x v="6"/>
    <x v="3"/>
  </r>
  <r>
    <x v="0"/>
    <x v="4"/>
    <x v="4"/>
    <x v="0"/>
    <x v="0"/>
    <x v="570"/>
    <x v="1224"/>
    <n v="0"/>
    <x v="0"/>
    <x v="6"/>
    <x v="3"/>
  </r>
  <r>
    <x v="0"/>
    <x v="0"/>
    <x v="0"/>
    <x v="0"/>
    <x v="0"/>
    <x v="575"/>
    <x v="1225"/>
    <n v="0"/>
    <x v="0"/>
    <x v="6"/>
    <x v="2"/>
  </r>
  <r>
    <x v="0"/>
    <x v="1"/>
    <x v="1"/>
    <x v="0"/>
    <x v="0"/>
    <x v="575"/>
    <x v="1225"/>
    <n v="0"/>
    <x v="0"/>
    <x v="6"/>
    <x v="2"/>
  </r>
  <r>
    <x v="0"/>
    <x v="2"/>
    <x v="2"/>
    <x v="0"/>
    <x v="0"/>
    <x v="575"/>
    <x v="1225"/>
    <n v="0"/>
    <x v="0"/>
    <x v="6"/>
    <x v="2"/>
  </r>
  <r>
    <x v="0"/>
    <x v="3"/>
    <x v="3"/>
    <x v="0"/>
    <x v="0"/>
    <x v="575"/>
    <x v="1225"/>
    <n v="0"/>
    <x v="0"/>
    <x v="6"/>
    <x v="2"/>
  </r>
  <r>
    <x v="0"/>
    <x v="4"/>
    <x v="4"/>
    <x v="0"/>
    <x v="0"/>
    <x v="575"/>
    <x v="1225"/>
    <n v="0"/>
    <x v="0"/>
    <x v="6"/>
    <x v="2"/>
  </r>
  <r>
    <x v="0"/>
    <x v="0"/>
    <x v="0"/>
    <x v="0"/>
    <x v="0"/>
    <x v="177"/>
    <x v="1226"/>
    <n v="0"/>
    <x v="0"/>
    <x v="6"/>
    <x v="3"/>
  </r>
  <r>
    <x v="0"/>
    <x v="1"/>
    <x v="1"/>
    <x v="0"/>
    <x v="0"/>
    <x v="177"/>
    <x v="1226"/>
    <n v="0"/>
    <x v="0"/>
    <x v="6"/>
    <x v="3"/>
  </r>
  <r>
    <x v="0"/>
    <x v="2"/>
    <x v="2"/>
    <x v="0"/>
    <x v="0"/>
    <x v="177"/>
    <x v="1226"/>
    <n v="0"/>
    <x v="0"/>
    <x v="6"/>
    <x v="3"/>
  </r>
  <r>
    <x v="0"/>
    <x v="3"/>
    <x v="3"/>
    <x v="0"/>
    <x v="0"/>
    <x v="177"/>
    <x v="1226"/>
    <n v="0"/>
    <x v="0"/>
    <x v="6"/>
    <x v="3"/>
  </r>
  <r>
    <x v="0"/>
    <x v="4"/>
    <x v="4"/>
    <x v="0"/>
    <x v="0"/>
    <x v="177"/>
    <x v="1226"/>
    <n v="0"/>
    <x v="0"/>
    <x v="6"/>
    <x v="3"/>
  </r>
  <r>
    <x v="0"/>
    <x v="0"/>
    <x v="0"/>
    <x v="0"/>
    <x v="0"/>
    <x v="555"/>
    <x v="1227"/>
    <n v="0"/>
    <x v="0"/>
    <x v="6"/>
    <x v="3"/>
  </r>
  <r>
    <x v="0"/>
    <x v="1"/>
    <x v="1"/>
    <x v="0"/>
    <x v="0"/>
    <x v="555"/>
    <x v="1227"/>
    <n v="0"/>
    <x v="0"/>
    <x v="6"/>
    <x v="3"/>
  </r>
  <r>
    <x v="0"/>
    <x v="2"/>
    <x v="2"/>
    <x v="0"/>
    <x v="0"/>
    <x v="555"/>
    <x v="1227"/>
    <n v="0"/>
    <x v="0"/>
    <x v="6"/>
    <x v="3"/>
  </r>
  <r>
    <x v="0"/>
    <x v="3"/>
    <x v="3"/>
    <x v="0"/>
    <x v="0"/>
    <x v="555"/>
    <x v="1227"/>
    <n v="0"/>
    <x v="0"/>
    <x v="6"/>
    <x v="3"/>
  </r>
  <r>
    <x v="0"/>
    <x v="4"/>
    <x v="4"/>
    <x v="0"/>
    <x v="0"/>
    <x v="555"/>
    <x v="1227"/>
    <n v="0"/>
    <x v="0"/>
    <x v="6"/>
    <x v="3"/>
  </r>
  <r>
    <x v="0"/>
    <x v="0"/>
    <x v="0"/>
    <x v="0"/>
    <x v="0"/>
    <x v="576"/>
    <x v="1228"/>
    <n v="0"/>
    <x v="0"/>
    <x v="6"/>
    <x v="3"/>
  </r>
  <r>
    <x v="0"/>
    <x v="1"/>
    <x v="1"/>
    <x v="0"/>
    <x v="0"/>
    <x v="576"/>
    <x v="1228"/>
    <n v="0"/>
    <x v="0"/>
    <x v="6"/>
    <x v="3"/>
  </r>
  <r>
    <x v="0"/>
    <x v="2"/>
    <x v="2"/>
    <x v="0"/>
    <x v="0"/>
    <x v="576"/>
    <x v="1228"/>
    <n v="0"/>
    <x v="0"/>
    <x v="6"/>
    <x v="3"/>
  </r>
  <r>
    <x v="0"/>
    <x v="3"/>
    <x v="3"/>
    <x v="0"/>
    <x v="0"/>
    <x v="576"/>
    <x v="1228"/>
    <n v="0"/>
    <x v="0"/>
    <x v="6"/>
    <x v="3"/>
  </r>
  <r>
    <x v="0"/>
    <x v="4"/>
    <x v="4"/>
    <x v="0"/>
    <x v="0"/>
    <x v="576"/>
    <x v="1228"/>
    <n v="0"/>
    <x v="0"/>
    <x v="6"/>
    <x v="3"/>
  </r>
  <r>
    <x v="0"/>
    <x v="0"/>
    <x v="0"/>
    <x v="0"/>
    <x v="0"/>
    <x v="577"/>
    <x v="1229"/>
    <n v="0"/>
    <x v="0"/>
    <x v="6"/>
    <x v="3"/>
  </r>
  <r>
    <x v="0"/>
    <x v="1"/>
    <x v="1"/>
    <x v="0"/>
    <x v="0"/>
    <x v="577"/>
    <x v="1229"/>
    <n v="0"/>
    <x v="0"/>
    <x v="6"/>
    <x v="3"/>
  </r>
  <r>
    <x v="0"/>
    <x v="2"/>
    <x v="2"/>
    <x v="0"/>
    <x v="0"/>
    <x v="577"/>
    <x v="1229"/>
    <n v="0"/>
    <x v="0"/>
    <x v="6"/>
    <x v="3"/>
  </r>
  <r>
    <x v="0"/>
    <x v="3"/>
    <x v="3"/>
    <x v="0"/>
    <x v="0"/>
    <x v="577"/>
    <x v="1229"/>
    <n v="0"/>
    <x v="0"/>
    <x v="6"/>
    <x v="3"/>
  </r>
  <r>
    <x v="0"/>
    <x v="4"/>
    <x v="4"/>
    <x v="0"/>
    <x v="0"/>
    <x v="577"/>
    <x v="1229"/>
    <n v="0"/>
    <x v="0"/>
    <x v="6"/>
    <x v="3"/>
  </r>
  <r>
    <x v="0"/>
    <x v="0"/>
    <x v="0"/>
    <x v="0"/>
    <x v="0"/>
    <x v="578"/>
    <x v="1230"/>
    <n v="0"/>
    <x v="0"/>
    <x v="6"/>
    <x v="3"/>
  </r>
  <r>
    <x v="0"/>
    <x v="1"/>
    <x v="1"/>
    <x v="0"/>
    <x v="0"/>
    <x v="578"/>
    <x v="1230"/>
    <n v="0"/>
    <x v="0"/>
    <x v="6"/>
    <x v="3"/>
  </r>
  <r>
    <x v="0"/>
    <x v="2"/>
    <x v="2"/>
    <x v="0"/>
    <x v="0"/>
    <x v="578"/>
    <x v="1230"/>
    <n v="0"/>
    <x v="0"/>
    <x v="6"/>
    <x v="3"/>
  </r>
  <r>
    <x v="0"/>
    <x v="3"/>
    <x v="3"/>
    <x v="0"/>
    <x v="0"/>
    <x v="578"/>
    <x v="1230"/>
    <n v="0"/>
    <x v="0"/>
    <x v="6"/>
    <x v="3"/>
  </r>
  <r>
    <x v="0"/>
    <x v="4"/>
    <x v="4"/>
    <x v="0"/>
    <x v="0"/>
    <x v="578"/>
    <x v="1230"/>
    <n v="0"/>
    <x v="0"/>
    <x v="6"/>
    <x v="3"/>
  </r>
  <r>
    <x v="0"/>
    <x v="0"/>
    <x v="0"/>
    <x v="0"/>
    <x v="0"/>
    <x v="569"/>
    <x v="1231"/>
    <n v="0"/>
    <x v="0"/>
    <x v="6"/>
    <x v="3"/>
  </r>
  <r>
    <x v="0"/>
    <x v="1"/>
    <x v="1"/>
    <x v="0"/>
    <x v="0"/>
    <x v="569"/>
    <x v="1231"/>
    <n v="0"/>
    <x v="0"/>
    <x v="6"/>
    <x v="3"/>
  </r>
  <r>
    <x v="0"/>
    <x v="2"/>
    <x v="2"/>
    <x v="0"/>
    <x v="0"/>
    <x v="569"/>
    <x v="1231"/>
    <n v="0"/>
    <x v="0"/>
    <x v="6"/>
    <x v="3"/>
  </r>
  <r>
    <x v="0"/>
    <x v="3"/>
    <x v="3"/>
    <x v="0"/>
    <x v="0"/>
    <x v="569"/>
    <x v="1231"/>
    <n v="0"/>
    <x v="0"/>
    <x v="6"/>
    <x v="3"/>
  </r>
  <r>
    <x v="0"/>
    <x v="4"/>
    <x v="4"/>
    <x v="0"/>
    <x v="0"/>
    <x v="569"/>
    <x v="1231"/>
    <n v="0"/>
    <x v="0"/>
    <x v="6"/>
    <x v="3"/>
  </r>
  <r>
    <x v="0"/>
    <x v="0"/>
    <x v="0"/>
    <x v="0"/>
    <x v="0"/>
    <x v="579"/>
    <x v="1232"/>
    <n v="0"/>
    <x v="0"/>
    <x v="6"/>
    <x v="3"/>
  </r>
  <r>
    <x v="0"/>
    <x v="1"/>
    <x v="1"/>
    <x v="0"/>
    <x v="0"/>
    <x v="579"/>
    <x v="1232"/>
    <n v="0"/>
    <x v="0"/>
    <x v="6"/>
    <x v="3"/>
  </r>
  <r>
    <x v="0"/>
    <x v="2"/>
    <x v="2"/>
    <x v="0"/>
    <x v="0"/>
    <x v="579"/>
    <x v="1232"/>
    <n v="0"/>
    <x v="0"/>
    <x v="6"/>
    <x v="3"/>
  </r>
  <r>
    <x v="0"/>
    <x v="3"/>
    <x v="3"/>
    <x v="0"/>
    <x v="0"/>
    <x v="579"/>
    <x v="1232"/>
    <n v="0"/>
    <x v="0"/>
    <x v="6"/>
    <x v="3"/>
  </r>
  <r>
    <x v="0"/>
    <x v="4"/>
    <x v="4"/>
    <x v="0"/>
    <x v="0"/>
    <x v="579"/>
    <x v="1232"/>
    <n v="0"/>
    <x v="0"/>
    <x v="6"/>
    <x v="3"/>
  </r>
  <r>
    <x v="0"/>
    <x v="0"/>
    <x v="0"/>
    <x v="0"/>
    <x v="0"/>
    <x v="580"/>
    <x v="1233"/>
    <n v="0"/>
    <x v="0"/>
    <x v="6"/>
    <x v="3"/>
  </r>
  <r>
    <x v="0"/>
    <x v="1"/>
    <x v="1"/>
    <x v="0"/>
    <x v="0"/>
    <x v="580"/>
    <x v="1233"/>
    <n v="0"/>
    <x v="0"/>
    <x v="6"/>
    <x v="3"/>
  </r>
  <r>
    <x v="0"/>
    <x v="2"/>
    <x v="2"/>
    <x v="0"/>
    <x v="0"/>
    <x v="580"/>
    <x v="1233"/>
    <n v="0"/>
    <x v="0"/>
    <x v="6"/>
    <x v="3"/>
  </r>
  <r>
    <x v="0"/>
    <x v="3"/>
    <x v="3"/>
    <x v="0"/>
    <x v="0"/>
    <x v="580"/>
    <x v="1233"/>
    <n v="0"/>
    <x v="0"/>
    <x v="6"/>
    <x v="3"/>
  </r>
  <r>
    <x v="0"/>
    <x v="4"/>
    <x v="4"/>
    <x v="0"/>
    <x v="0"/>
    <x v="580"/>
    <x v="1233"/>
    <n v="0"/>
    <x v="0"/>
    <x v="6"/>
    <x v="3"/>
  </r>
  <r>
    <x v="0"/>
    <x v="0"/>
    <x v="0"/>
    <x v="0"/>
    <x v="0"/>
    <x v="581"/>
    <x v="1234"/>
    <n v="11711914.76"/>
    <x v="0"/>
    <x v="6"/>
    <x v="2"/>
  </r>
  <r>
    <x v="0"/>
    <x v="1"/>
    <x v="1"/>
    <x v="0"/>
    <x v="0"/>
    <x v="581"/>
    <x v="1234"/>
    <n v="3625786.22"/>
    <x v="0"/>
    <x v="6"/>
    <x v="2"/>
  </r>
  <r>
    <x v="0"/>
    <x v="2"/>
    <x v="2"/>
    <x v="0"/>
    <x v="0"/>
    <x v="581"/>
    <x v="1234"/>
    <n v="13874627.23"/>
    <x v="0"/>
    <x v="6"/>
    <x v="2"/>
  </r>
  <r>
    <x v="0"/>
    <x v="3"/>
    <x v="3"/>
    <x v="0"/>
    <x v="0"/>
    <x v="581"/>
    <x v="1234"/>
    <n v="5234968.45"/>
    <x v="0"/>
    <x v="6"/>
    <x v="2"/>
  </r>
  <r>
    <x v="0"/>
    <x v="4"/>
    <x v="4"/>
    <x v="0"/>
    <x v="0"/>
    <x v="581"/>
    <x v="1234"/>
    <n v="34447296.659999996"/>
    <x v="0"/>
    <x v="6"/>
    <x v="2"/>
  </r>
  <r>
    <x v="0"/>
    <x v="0"/>
    <x v="0"/>
    <x v="0"/>
    <x v="0"/>
    <x v="582"/>
    <x v="1235"/>
    <n v="11264182.57"/>
    <x v="0"/>
    <x v="6"/>
    <x v="3"/>
  </r>
  <r>
    <x v="0"/>
    <x v="1"/>
    <x v="1"/>
    <x v="0"/>
    <x v="0"/>
    <x v="582"/>
    <x v="1235"/>
    <n v="3625786.22"/>
    <x v="0"/>
    <x v="6"/>
    <x v="3"/>
  </r>
  <r>
    <x v="0"/>
    <x v="2"/>
    <x v="2"/>
    <x v="0"/>
    <x v="0"/>
    <x v="582"/>
    <x v="1235"/>
    <n v="0"/>
    <x v="0"/>
    <x v="6"/>
    <x v="3"/>
  </r>
  <r>
    <x v="0"/>
    <x v="3"/>
    <x v="3"/>
    <x v="0"/>
    <x v="0"/>
    <x v="582"/>
    <x v="1235"/>
    <n v="3783576.08"/>
    <x v="0"/>
    <x v="6"/>
    <x v="3"/>
  </r>
  <r>
    <x v="0"/>
    <x v="4"/>
    <x v="4"/>
    <x v="0"/>
    <x v="0"/>
    <x v="582"/>
    <x v="1235"/>
    <n v="18673544.870000001"/>
    <x v="0"/>
    <x v="6"/>
    <x v="3"/>
  </r>
  <r>
    <x v="0"/>
    <x v="0"/>
    <x v="0"/>
    <x v="0"/>
    <x v="0"/>
    <x v="583"/>
    <x v="1236"/>
    <n v="0"/>
    <x v="0"/>
    <x v="6"/>
    <x v="3"/>
  </r>
  <r>
    <x v="0"/>
    <x v="1"/>
    <x v="1"/>
    <x v="0"/>
    <x v="0"/>
    <x v="583"/>
    <x v="1236"/>
    <n v="0"/>
    <x v="0"/>
    <x v="6"/>
    <x v="3"/>
  </r>
  <r>
    <x v="0"/>
    <x v="2"/>
    <x v="2"/>
    <x v="0"/>
    <x v="0"/>
    <x v="583"/>
    <x v="1236"/>
    <n v="0"/>
    <x v="0"/>
    <x v="6"/>
    <x v="3"/>
  </r>
  <r>
    <x v="0"/>
    <x v="3"/>
    <x v="3"/>
    <x v="0"/>
    <x v="0"/>
    <x v="583"/>
    <x v="1236"/>
    <n v="0"/>
    <x v="0"/>
    <x v="6"/>
    <x v="3"/>
  </r>
  <r>
    <x v="0"/>
    <x v="4"/>
    <x v="4"/>
    <x v="0"/>
    <x v="0"/>
    <x v="583"/>
    <x v="1236"/>
    <n v="0"/>
    <x v="0"/>
    <x v="6"/>
    <x v="3"/>
  </r>
  <r>
    <x v="0"/>
    <x v="0"/>
    <x v="0"/>
    <x v="0"/>
    <x v="0"/>
    <x v="584"/>
    <x v="1237"/>
    <n v="0"/>
    <x v="0"/>
    <x v="6"/>
    <x v="3"/>
  </r>
  <r>
    <x v="0"/>
    <x v="1"/>
    <x v="1"/>
    <x v="0"/>
    <x v="0"/>
    <x v="584"/>
    <x v="1237"/>
    <n v="0"/>
    <x v="0"/>
    <x v="6"/>
    <x v="3"/>
  </r>
  <r>
    <x v="0"/>
    <x v="2"/>
    <x v="2"/>
    <x v="0"/>
    <x v="0"/>
    <x v="584"/>
    <x v="1237"/>
    <n v="0"/>
    <x v="0"/>
    <x v="6"/>
    <x v="3"/>
  </r>
  <r>
    <x v="0"/>
    <x v="3"/>
    <x v="3"/>
    <x v="0"/>
    <x v="0"/>
    <x v="584"/>
    <x v="1237"/>
    <n v="0"/>
    <x v="0"/>
    <x v="6"/>
    <x v="3"/>
  </r>
  <r>
    <x v="0"/>
    <x v="4"/>
    <x v="4"/>
    <x v="0"/>
    <x v="0"/>
    <x v="584"/>
    <x v="1237"/>
    <n v="0"/>
    <x v="0"/>
    <x v="6"/>
    <x v="3"/>
  </r>
  <r>
    <x v="0"/>
    <x v="0"/>
    <x v="0"/>
    <x v="0"/>
    <x v="0"/>
    <x v="585"/>
    <x v="1238"/>
    <n v="0"/>
    <x v="0"/>
    <x v="6"/>
    <x v="3"/>
  </r>
  <r>
    <x v="0"/>
    <x v="1"/>
    <x v="1"/>
    <x v="0"/>
    <x v="0"/>
    <x v="585"/>
    <x v="1238"/>
    <n v="0"/>
    <x v="0"/>
    <x v="6"/>
    <x v="3"/>
  </r>
  <r>
    <x v="0"/>
    <x v="2"/>
    <x v="2"/>
    <x v="0"/>
    <x v="0"/>
    <x v="585"/>
    <x v="1238"/>
    <n v="0"/>
    <x v="0"/>
    <x v="6"/>
    <x v="3"/>
  </r>
  <r>
    <x v="0"/>
    <x v="3"/>
    <x v="3"/>
    <x v="0"/>
    <x v="0"/>
    <x v="585"/>
    <x v="1238"/>
    <n v="0"/>
    <x v="0"/>
    <x v="6"/>
    <x v="3"/>
  </r>
  <r>
    <x v="0"/>
    <x v="4"/>
    <x v="4"/>
    <x v="0"/>
    <x v="0"/>
    <x v="585"/>
    <x v="1238"/>
    <n v="0"/>
    <x v="0"/>
    <x v="6"/>
    <x v="3"/>
  </r>
  <r>
    <x v="0"/>
    <x v="0"/>
    <x v="0"/>
    <x v="0"/>
    <x v="0"/>
    <x v="586"/>
    <x v="1239"/>
    <n v="0"/>
    <x v="0"/>
    <x v="6"/>
    <x v="3"/>
  </r>
  <r>
    <x v="0"/>
    <x v="1"/>
    <x v="1"/>
    <x v="0"/>
    <x v="0"/>
    <x v="586"/>
    <x v="1239"/>
    <n v="0"/>
    <x v="0"/>
    <x v="6"/>
    <x v="3"/>
  </r>
  <r>
    <x v="0"/>
    <x v="2"/>
    <x v="2"/>
    <x v="0"/>
    <x v="0"/>
    <x v="586"/>
    <x v="1239"/>
    <n v="0"/>
    <x v="0"/>
    <x v="6"/>
    <x v="3"/>
  </r>
  <r>
    <x v="0"/>
    <x v="3"/>
    <x v="3"/>
    <x v="0"/>
    <x v="0"/>
    <x v="586"/>
    <x v="1239"/>
    <n v="0"/>
    <x v="0"/>
    <x v="6"/>
    <x v="3"/>
  </r>
  <r>
    <x v="0"/>
    <x v="4"/>
    <x v="4"/>
    <x v="0"/>
    <x v="0"/>
    <x v="586"/>
    <x v="1239"/>
    <n v="0"/>
    <x v="0"/>
    <x v="6"/>
    <x v="3"/>
  </r>
  <r>
    <x v="0"/>
    <x v="0"/>
    <x v="0"/>
    <x v="0"/>
    <x v="0"/>
    <x v="587"/>
    <x v="1240"/>
    <n v="0"/>
    <x v="0"/>
    <x v="6"/>
    <x v="3"/>
  </r>
  <r>
    <x v="0"/>
    <x v="1"/>
    <x v="1"/>
    <x v="0"/>
    <x v="0"/>
    <x v="587"/>
    <x v="1240"/>
    <n v="0"/>
    <x v="0"/>
    <x v="6"/>
    <x v="3"/>
  </r>
  <r>
    <x v="0"/>
    <x v="2"/>
    <x v="2"/>
    <x v="0"/>
    <x v="0"/>
    <x v="587"/>
    <x v="1240"/>
    <n v="0"/>
    <x v="0"/>
    <x v="6"/>
    <x v="3"/>
  </r>
  <r>
    <x v="0"/>
    <x v="3"/>
    <x v="3"/>
    <x v="0"/>
    <x v="0"/>
    <x v="587"/>
    <x v="1240"/>
    <n v="0"/>
    <x v="0"/>
    <x v="6"/>
    <x v="3"/>
  </r>
  <r>
    <x v="0"/>
    <x v="4"/>
    <x v="4"/>
    <x v="0"/>
    <x v="0"/>
    <x v="587"/>
    <x v="1240"/>
    <n v="0"/>
    <x v="0"/>
    <x v="6"/>
    <x v="3"/>
  </r>
  <r>
    <x v="0"/>
    <x v="0"/>
    <x v="0"/>
    <x v="0"/>
    <x v="0"/>
    <x v="588"/>
    <x v="1241"/>
    <n v="0"/>
    <x v="0"/>
    <x v="6"/>
    <x v="3"/>
  </r>
  <r>
    <x v="0"/>
    <x v="1"/>
    <x v="1"/>
    <x v="0"/>
    <x v="0"/>
    <x v="588"/>
    <x v="1241"/>
    <n v="0"/>
    <x v="0"/>
    <x v="6"/>
    <x v="3"/>
  </r>
  <r>
    <x v="0"/>
    <x v="2"/>
    <x v="2"/>
    <x v="0"/>
    <x v="0"/>
    <x v="588"/>
    <x v="1241"/>
    <n v="0"/>
    <x v="0"/>
    <x v="6"/>
    <x v="3"/>
  </r>
  <r>
    <x v="0"/>
    <x v="3"/>
    <x v="3"/>
    <x v="0"/>
    <x v="0"/>
    <x v="588"/>
    <x v="1241"/>
    <n v="0"/>
    <x v="0"/>
    <x v="6"/>
    <x v="3"/>
  </r>
  <r>
    <x v="0"/>
    <x v="4"/>
    <x v="4"/>
    <x v="0"/>
    <x v="0"/>
    <x v="588"/>
    <x v="1241"/>
    <n v="0"/>
    <x v="0"/>
    <x v="6"/>
    <x v="3"/>
  </r>
  <r>
    <x v="0"/>
    <x v="0"/>
    <x v="0"/>
    <x v="0"/>
    <x v="0"/>
    <x v="589"/>
    <x v="1242"/>
    <n v="447732.19"/>
    <x v="0"/>
    <x v="6"/>
    <x v="3"/>
  </r>
  <r>
    <x v="0"/>
    <x v="1"/>
    <x v="1"/>
    <x v="0"/>
    <x v="0"/>
    <x v="589"/>
    <x v="1242"/>
    <n v="0"/>
    <x v="0"/>
    <x v="6"/>
    <x v="3"/>
  </r>
  <r>
    <x v="0"/>
    <x v="2"/>
    <x v="2"/>
    <x v="0"/>
    <x v="0"/>
    <x v="589"/>
    <x v="1242"/>
    <n v="7455488.7000000002"/>
    <x v="0"/>
    <x v="6"/>
    <x v="3"/>
  </r>
  <r>
    <x v="0"/>
    <x v="3"/>
    <x v="3"/>
    <x v="0"/>
    <x v="0"/>
    <x v="589"/>
    <x v="1242"/>
    <n v="0"/>
    <x v="0"/>
    <x v="6"/>
    <x v="3"/>
  </r>
  <r>
    <x v="0"/>
    <x v="4"/>
    <x v="4"/>
    <x v="0"/>
    <x v="0"/>
    <x v="589"/>
    <x v="1242"/>
    <n v="7903220.8900000006"/>
    <x v="0"/>
    <x v="6"/>
    <x v="3"/>
  </r>
  <r>
    <x v="0"/>
    <x v="0"/>
    <x v="0"/>
    <x v="0"/>
    <x v="0"/>
    <x v="590"/>
    <x v="1243"/>
    <n v="0"/>
    <x v="0"/>
    <x v="6"/>
    <x v="3"/>
  </r>
  <r>
    <x v="0"/>
    <x v="1"/>
    <x v="1"/>
    <x v="0"/>
    <x v="0"/>
    <x v="590"/>
    <x v="1243"/>
    <n v="0"/>
    <x v="0"/>
    <x v="6"/>
    <x v="3"/>
  </r>
  <r>
    <x v="0"/>
    <x v="2"/>
    <x v="2"/>
    <x v="0"/>
    <x v="0"/>
    <x v="590"/>
    <x v="1243"/>
    <n v="6419138.5300000003"/>
    <x v="0"/>
    <x v="6"/>
    <x v="3"/>
  </r>
  <r>
    <x v="0"/>
    <x v="3"/>
    <x v="3"/>
    <x v="0"/>
    <x v="0"/>
    <x v="590"/>
    <x v="1243"/>
    <n v="1451392.37"/>
    <x v="0"/>
    <x v="6"/>
    <x v="3"/>
  </r>
  <r>
    <x v="0"/>
    <x v="4"/>
    <x v="4"/>
    <x v="0"/>
    <x v="0"/>
    <x v="590"/>
    <x v="1243"/>
    <n v="7870530.9000000004"/>
    <x v="0"/>
    <x v="6"/>
    <x v="3"/>
  </r>
  <r>
    <x v="0"/>
    <x v="0"/>
    <x v="0"/>
    <x v="0"/>
    <x v="0"/>
    <x v="591"/>
    <x v="1244"/>
    <n v="583872766.36000001"/>
    <x v="0"/>
    <x v="6"/>
    <x v="1"/>
  </r>
  <r>
    <x v="0"/>
    <x v="1"/>
    <x v="1"/>
    <x v="0"/>
    <x v="0"/>
    <x v="591"/>
    <x v="1244"/>
    <n v="90260193.079999998"/>
    <x v="0"/>
    <x v="6"/>
    <x v="1"/>
  </r>
  <r>
    <x v="0"/>
    <x v="2"/>
    <x v="2"/>
    <x v="0"/>
    <x v="0"/>
    <x v="591"/>
    <x v="1244"/>
    <n v="965333737.95000005"/>
    <x v="0"/>
    <x v="6"/>
    <x v="1"/>
  </r>
  <r>
    <x v="0"/>
    <x v="3"/>
    <x v="3"/>
    <x v="0"/>
    <x v="0"/>
    <x v="591"/>
    <x v="1244"/>
    <n v="75259953.640000001"/>
    <x v="0"/>
    <x v="6"/>
    <x v="1"/>
  </r>
  <r>
    <x v="0"/>
    <x v="4"/>
    <x v="4"/>
    <x v="0"/>
    <x v="0"/>
    <x v="591"/>
    <x v="1244"/>
    <n v="1714726651.0300002"/>
    <x v="0"/>
    <x v="6"/>
    <x v="1"/>
  </r>
  <r>
    <x v="0"/>
    <x v="0"/>
    <x v="0"/>
    <x v="0"/>
    <x v="0"/>
    <x v="592"/>
    <x v="1245"/>
    <n v="574261716.94000006"/>
    <x v="0"/>
    <x v="6"/>
    <x v="2"/>
  </r>
  <r>
    <x v="0"/>
    <x v="1"/>
    <x v="1"/>
    <x v="0"/>
    <x v="0"/>
    <x v="592"/>
    <x v="1245"/>
    <n v="87932444.010000005"/>
    <x v="0"/>
    <x v="6"/>
    <x v="2"/>
  </r>
  <r>
    <x v="0"/>
    <x v="2"/>
    <x v="2"/>
    <x v="0"/>
    <x v="0"/>
    <x v="592"/>
    <x v="1245"/>
    <n v="944982868.91999996"/>
    <x v="0"/>
    <x v="6"/>
    <x v="2"/>
  </r>
  <r>
    <x v="0"/>
    <x v="3"/>
    <x v="3"/>
    <x v="0"/>
    <x v="0"/>
    <x v="592"/>
    <x v="1245"/>
    <n v="66599431"/>
    <x v="0"/>
    <x v="6"/>
    <x v="2"/>
  </r>
  <r>
    <x v="0"/>
    <x v="4"/>
    <x v="4"/>
    <x v="0"/>
    <x v="0"/>
    <x v="592"/>
    <x v="1245"/>
    <n v="1673776460.8699999"/>
    <x v="0"/>
    <x v="6"/>
    <x v="2"/>
  </r>
  <r>
    <x v="0"/>
    <x v="0"/>
    <x v="0"/>
    <x v="0"/>
    <x v="0"/>
    <x v="536"/>
    <x v="1246"/>
    <n v="7408684.3700000001"/>
    <x v="0"/>
    <x v="6"/>
    <x v="3"/>
  </r>
  <r>
    <x v="0"/>
    <x v="1"/>
    <x v="1"/>
    <x v="0"/>
    <x v="0"/>
    <x v="536"/>
    <x v="1246"/>
    <n v="0"/>
    <x v="0"/>
    <x v="6"/>
    <x v="3"/>
  </r>
  <r>
    <x v="0"/>
    <x v="2"/>
    <x v="2"/>
    <x v="0"/>
    <x v="0"/>
    <x v="536"/>
    <x v="1246"/>
    <n v="35464698.609999999"/>
    <x v="0"/>
    <x v="6"/>
    <x v="3"/>
  </r>
  <r>
    <x v="0"/>
    <x v="3"/>
    <x v="3"/>
    <x v="0"/>
    <x v="0"/>
    <x v="536"/>
    <x v="1246"/>
    <n v="0"/>
    <x v="0"/>
    <x v="6"/>
    <x v="3"/>
  </r>
  <r>
    <x v="0"/>
    <x v="4"/>
    <x v="4"/>
    <x v="0"/>
    <x v="0"/>
    <x v="536"/>
    <x v="1246"/>
    <n v="42873382.979999997"/>
    <x v="0"/>
    <x v="6"/>
    <x v="3"/>
  </r>
  <r>
    <x v="0"/>
    <x v="0"/>
    <x v="0"/>
    <x v="0"/>
    <x v="0"/>
    <x v="593"/>
    <x v="1247"/>
    <n v="430328.52"/>
    <x v="0"/>
    <x v="6"/>
    <x v="3"/>
  </r>
  <r>
    <x v="0"/>
    <x v="1"/>
    <x v="1"/>
    <x v="0"/>
    <x v="0"/>
    <x v="593"/>
    <x v="1247"/>
    <n v="56724407.130000003"/>
    <x v="0"/>
    <x v="6"/>
    <x v="3"/>
  </r>
  <r>
    <x v="0"/>
    <x v="2"/>
    <x v="2"/>
    <x v="0"/>
    <x v="0"/>
    <x v="593"/>
    <x v="1247"/>
    <n v="251508339.38"/>
    <x v="0"/>
    <x v="6"/>
    <x v="3"/>
  </r>
  <r>
    <x v="0"/>
    <x v="3"/>
    <x v="3"/>
    <x v="0"/>
    <x v="0"/>
    <x v="593"/>
    <x v="1247"/>
    <n v="25397134.289999999"/>
    <x v="0"/>
    <x v="6"/>
    <x v="3"/>
  </r>
  <r>
    <x v="0"/>
    <x v="4"/>
    <x v="4"/>
    <x v="0"/>
    <x v="0"/>
    <x v="593"/>
    <x v="1247"/>
    <n v="334060209.31999999"/>
    <x v="0"/>
    <x v="6"/>
    <x v="3"/>
  </r>
  <r>
    <x v="0"/>
    <x v="0"/>
    <x v="0"/>
    <x v="0"/>
    <x v="0"/>
    <x v="594"/>
    <x v="1248"/>
    <n v="0"/>
    <x v="0"/>
    <x v="6"/>
    <x v="3"/>
  </r>
  <r>
    <x v="0"/>
    <x v="1"/>
    <x v="1"/>
    <x v="0"/>
    <x v="0"/>
    <x v="594"/>
    <x v="1248"/>
    <n v="0"/>
    <x v="0"/>
    <x v="6"/>
    <x v="3"/>
  </r>
  <r>
    <x v="0"/>
    <x v="2"/>
    <x v="2"/>
    <x v="0"/>
    <x v="0"/>
    <x v="594"/>
    <x v="1248"/>
    <n v="0"/>
    <x v="0"/>
    <x v="6"/>
    <x v="3"/>
  </r>
  <r>
    <x v="0"/>
    <x v="3"/>
    <x v="3"/>
    <x v="0"/>
    <x v="0"/>
    <x v="594"/>
    <x v="1248"/>
    <n v="0"/>
    <x v="0"/>
    <x v="6"/>
    <x v="3"/>
  </r>
  <r>
    <x v="0"/>
    <x v="4"/>
    <x v="4"/>
    <x v="0"/>
    <x v="0"/>
    <x v="594"/>
    <x v="1248"/>
    <n v="0"/>
    <x v="0"/>
    <x v="6"/>
    <x v="3"/>
  </r>
  <r>
    <x v="0"/>
    <x v="0"/>
    <x v="0"/>
    <x v="0"/>
    <x v="0"/>
    <x v="595"/>
    <x v="1249"/>
    <n v="556897774.59000003"/>
    <x v="0"/>
    <x v="6"/>
    <x v="3"/>
  </r>
  <r>
    <x v="0"/>
    <x v="1"/>
    <x v="1"/>
    <x v="0"/>
    <x v="0"/>
    <x v="595"/>
    <x v="1249"/>
    <n v="30051386.68"/>
    <x v="0"/>
    <x v="6"/>
    <x v="3"/>
  </r>
  <r>
    <x v="0"/>
    <x v="2"/>
    <x v="2"/>
    <x v="0"/>
    <x v="0"/>
    <x v="595"/>
    <x v="1249"/>
    <n v="606027357.27999997"/>
    <x v="0"/>
    <x v="6"/>
    <x v="3"/>
  </r>
  <r>
    <x v="0"/>
    <x v="3"/>
    <x v="3"/>
    <x v="0"/>
    <x v="0"/>
    <x v="595"/>
    <x v="1249"/>
    <n v="41022625.219999999"/>
    <x v="0"/>
    <x v="6"/>
    <x v="3"/>
  </r>
  <r>
    <x v="0"/>
    <x v="4"/>
    <x v="4"/>
    <x v="0"/>
    <x v="0"/>
    <x v="595"/>
    <x v="1249"/>
    <n v="1233999143.77"/>
    <x v="0"/>
    <x v="6"/>
    <x v="3"/>
  </r>
  <r>
    <x v="0"/>
    <x v="0"/>
    <x v="0"/>
    <x v="0"/>
    <x v="0"/>
    <x v="596"/>
    <x v="1250"/>
    <n v="9524929.4600000009"/>
    <x v="0"/>
    <x v="6"/>
    <x v="3"/>
  </r>
  <r>
    <x v="0"/>
    <x v="1"/>
    <x v="1"/>
    <x v="0"/>
    <x v="0"/>
    <x v="596"/>
    <x v="1250"/>
    <n v="239117.75"/>
    <x v="0"/>
    <x v="6"/>
    <x v="3"/>
  </r>
  <r>
    <x v="0"/>
    <x v="2"/>
    <x v="2"/>
    <x v="0"/>
    <x v="0"/>
    <x v="596"/>
    <x v="1250"/>
    <n v="319220.3"/>
    <x v="0"/>
    <x v="6"/>
    <x v="3"/>
  </r>
  <r>
    <x v="0"/>
    <x v="3"/>
    <x v="3"/>
    <x v="0"/>
    <x v="0"/>
    <x v="596"/>
    <x v="1250"/>
    <n v="179671.49"/>
    <x v="0"/>
    <x v="6"/>
    <x v="3"/>
  </r>
  <r>
    <x v="0"/>
    <x v="4"/>
    <x v="4"/>
    <x v="0"/>
    <x v="0"/>
    <x v="596"/>
    <x v="1250"/>
    <n v="10262939"/>
    <x v="0"/>
    <x v="6"/>
    <x v="3"/>
  </r>
  <r>
    <x v="0"/>
    <x v="0"/>
    <x v="0"/>
    <x v="0"/>
    <x v="0"/>
    <x v="537"/>
    <x v="1251"/>
    <n v="0"/>
    <x v="0"/>
    <x v="6"/>
    <x v="3"/>
  </r>
  <r>
    <x v="0"/>
    <x v="1"/>
    <x v="1"/>
    <x v="0"/>
    <x v="0"/>
    <x v="537"/>
    <x v="1251"/>
    <n v="917532.45"/>
    <x v="0"/>
    <x v="6"/>
    <x v="3"/>
  </r>
  <r>
    <x v="0"/>
    <x v="2"/>
    <x v="2"/>
    <x v="0"/>
    <x v="0"/>
    <x v="537"/>
    <x v="1251"/>
    <n v="198646.34"/>
    <x v="0"/>
    <x v="6"/>
    <x v="3"/>
  </r>
  <r>
    <x v="0"/>
    <x v="3"/>
    <x v="3"/>
    <x v="0"/>
    <x v="0"/>
    <x v="537"/>
    <x v="1251"/>
    <n v="0"/>
    <x v="0"/>
    <x v="6"/>
    <x v="3"/>
  </r>
  <r>
    <x v="0"/>
    <x v="4"/>
    <x v="4"/>
    <x v="0"/>
    <x v="0"/>
    <x v="537"/>
    <x v="1251"/>
    <n v="1116178.79"/>
    <x v="0"/>
    <x v="6"/>
    <x v="3"/>
  </r>
  <r>
    <x v="0"/>
    <x v="0"/>
    <x v="0"/>
    <x v="0"/>
    <x v="0"/>
    <x v="597"/>
    <x v="1252"/>
    <n v="0"/>
    <x v="0"/>
    <x v="6"/>
    <x v="3"/>
  </r>
  <r>
    <x v="0"/>
    <x v="1"/>
    <x v="1"/>
    <x v="0"/>
    <x v="0"/>
    <x v="597"/>
    <x v="1252"/>
    <n v="0"/>
    <x v="0"/>
    <x v="6"/>
    <x v="3"/>
  </r>
  <r>
    <x v="0"/>
    <x v="2"/>
    <x v="2"/>
    <x v="0"/>
    <x v="0"/>
    <x v="597"/>
    <x v="1252"/>
    <n v="0"/>
    <x v="0"/>
    <x v="6"/>
    <x v="3"/>
  </r>
  <r>
    <x v="0"/>
    <x v="3"/>
    <x v="3"/>
    <x v="0"/>
    <x v="0"/>
    <x v="597"/>
    <x v="1252"/>
    <n v="0"/>
    <x v="0"/>
    <x v="6"/>
    <x v="3"/>
  </r>
  <r>
    <x v="0"/>
    <x v="4"/>
    <x v="4"/>
    <x v="0"/>
    <x v="0"/>
    <x v="597"/>
    <x v="1252"/>
    <n v="0"/>
    <x v="0"/>
    <x v="6"/>
    <x v="3"/>
  </r>
  <r>
    <x v="0"/>
    <x v="0"/>
    <x v="0"/>
    <x v="0"/>
    <x v="0"/>
    <x v="540"/>
    <x v="1253"/>
    <n v="0"/>
    <x v="0"/>
    <x v="6"/>
    <x v="3"/>
  </r>
  <r>
    <x v="0"/>
    <x v="1"/>
    <x v="1"/>
    <x v="0"/>
    <x v="0"/>
    <x v="540"/>
    <x v="1253"/>
    <n v="0"/>
    <x v="0"/>
    <x v="6"/>
    <x v="3"/>
  </r>
  <r>
    <x v="0"/>
    <x v="2"/>
    <x v="2"/>
    <x v="0"/>
    <x v="0"/>
    <x v="540"/>
    <x v="1253"/>
    <n v="0"/>
    <x v="0"/>
    <x v="6"/>
    <x v="3"/>
  </r>
  <r>
    <x v="0"/>
    <x v="3"/>
    <x v="3"/>
    <x v="0"/>
    <x v="0"/>
    <x v="540"/>
    <x v="1253"/>
    <n v="0"/>
    <x v="0"/>
    <x v="6"/>
    <x v="3"/>
  </r>
  <r>
    <x v="0"/>
    <x v="4"/>
    <x v="4"/>
    <x v="0"/>
    <x v="0"/>
    <x v="540"/>
    <x v="1253"/>
    <n v="0"/>
    <x v="0"/>
    <x v="6"/>
    <x v="3"/>
  </r>
  <r>
    <x v="0"/>
    <x v="0"/>
    <x v="0"/>
    <x v="0"/>
    <x v="0"/>
    <x v="598"/>
    <x v="1254"/>
    <n v="0"/>
    <x v="0"/>
    <x v="6"/>
    <x v="3"/>
  </r>
  <r>
    <x v="0"/>
    <x v="1"/>
    <x v="1"/>
    <x v="0"/>
    <x v="0"/>
    <x v="598"/>
    <x v="1254"/>
    <n v="0"/>
    <x v="0"/>
    <x v="6"/>
    <x v="3"/>
  </r>
  <r>
    <x v="0"/>
    <x v="2"/>
    <x v="2"/>
    <x v="0"/>
    <x v="0"/>
    <x v="598"/>
    <x v="1254"/>
    <n v="0"/>
    <x v="0"/>
    <x v="6"/>
    <x v="3"/>
  </r>
  <r>
    <x v="0"/>
    <x v="3"/>
    <x v="3"/>
    <x v="0"/>
    <x v="0"/>
    <x v="598"/>
    <x v="1254"/>
    <n v="0"/>
    <x v="0"/>
    <x v="6"/>
    <x v="3"/>
  </r>
  <r>
    <x v="0"/>
    <x v="4"/>
    <x v="4"/>
    <x v="0"/>
    <x v="0"/>
    <x v="598"/>
    <x v="1254"/>
    <n v="0"/>
    <x v="0"/>
    <x v="6"/>
    <x v="3"/>
  </r>
  <r>
    <x v="0"/>
    <x v="0"/>
    <x v="0"/>
    <x v="0"/>
    <x v="0"/>
    <x v="599"/>
    <x v="1255"/>
    <n v="0"/>
    <x v="0"/>
    <x v="6"/>
    <x v="3"/>
  </r>
  <r>
    <x v="0"/>
    <x v="1"/>
    <x v="1"/>
    <x v="0"/>
    <x v="0"/>
    <x v="599"/>
    <x v="1255"/>
    <n v="0"/>
    <x v="0"/>
    <x v="6"/>
    <x v="3"/>
  </r>
  <r>
    <x v="0"/>
    <x v="2"/>
    <x v="2"/>
    <x v="0"/>
    <x v="0"/>
    <x v="599"/>
    <x v="1255"/>
    <n v="0"/>
    <x v="0"/>
    <x v="6"/>
    <x v="3"/>
  </r>
  <r>
    <x v="0"/>
    <x v="3"/>
    <x v="3"/>
    <x v="0"/>
    <x v="0"/>
    <x v="599"/>
    <x v="1255"/>
    <n v="0"/>
    <x v="0"/>
    <x v="6"/>
    <x v="3"/>
  </r>
  <r>
    <x v="0"/>
    <x v="4"/>
    <x v="4"/>
    <x v="0"/>
    <x v="0"/>
    <x v="599"/>
    <x v="1255"/>
    <n v="0"/>
    <x v="0"/>
    <x v="6"/>
    <x v="3"/>
  </r>
  <r>
    <x v="0"/>
    <x v="0"/>
    <x v="0"/>
    <x v="0"/>
    <x v="0"/>
    <x v="600"/>
    <x v="1256"/>
    <n v="0"/>
    <x v="0"/>
    <x v="6"/>
    <x v="3"/>
  </r>
  <r>
    <x v="0"/>
    <x v="1"/>
    <x v="1"/>
    <x v="0"/>
    <x v="0"/>
    <x v="600"/>
    <x v="1256"/>
    <n v="0"/>
    <x v="0"/>
    <x v="6"/>
    <x v="3"/>
  </r>
  <r>
    <x v="0"/>
    <x v="2"/>
    <x v="2"/>
    <x v="0"/>
    <x v="0"/>
    <x v="600"/>
    <x v="1256"/>
    <n v="0"/>
    <x v="0"/>
    <x v="6"/>
    <x v="3"/>
  </r>
  <r>
    <x v="0"/>
    <x v="3"/>
    <x v="3"/>
    <x v="0"/>
    <x v="0"/>
    <x v="600"/>
    <x v="1256"/>
    <n v="0"/>
    <x v="0"/>
    <x v="6"/>
    <x v="3"/>
  </r>
  <r>
    <x v="0"/>
    <x v="4"/>
    <x v="4"/>
    <x v="0"/>
    <x v="0"/>
    <x v="600"/>
    <x v="1256"/>
    <n v="0"/>
    <x v="0"/>
    <x v="6"/>
    <x v="3"/>
  </r>
  <r>
    <x v="0"/>
    <x v="0"/>
    <x v="0"/>
    <x v="0"/>
    <x v="0"/>
    <x v="601"/>
    <x v="1257"/>
    <n v="0"/>
    <x v="0"/>
    <x v="6"/>
    <x v="3"/>
  </r>
  <r>
    <x v="0"/>
    <x v="1"/>
    <x v="1"/>
    <x v="0"/>
    <x v="0"/>
    <x v="601"/>
    <x v="1257"/>
    <n v="0"/>
    <x v="0"/>
    <x v="6"/>
    <x v="3"/>
  </r>
  <r>
    <x v="0"/>
    <x v="2"/>
    <x v="2"/>
    <x v="0"/>
    <x v="0"/>
    <x v="601"/>
    <x v="1257"/>
    <n v="0"/>
    <x v="0"/>
    <x v="6"/>
    <x v="3"/>
  </r>
  <r>
    <x v="0"/>
    <x v="3"/>
    <x v="3"/>
    <x v="0"/>
    <x v="0"/>
    <x v="601"/>
    <x v="1257"/>
    <n v="0"/>
    <x v="0"/>
    <x v="6"/>
    <x v="3"/>
  </r>
  <r>
    <x v="0"/>
    <x v="4"/>
    <x v="4"/>
    <x v="0"/>
    <x v="0"/>
    <x v="601"/>
    <x v="1257"/>
    <n v="0"/>
    <x v="0"/>
    <x v="6"/>
    <x v="3"/>
  </r>
  <r>
    <x v="0"/>
    <x v="0"/>
    <x v="0"/>
    <x v="0"/>
    <x v="0"/>
    <x v="602"/>
    <x v="1258"/>
    <n v="0"/>
    <x v="0"/>
    <x v="6"/>
    <x v="3"/>
  </r>
  <r>
    <x v="0"/>
    <x v="1"/>
    <x v="1"/>
    <x v="0"/>
    <x v="0"/>
    <x v="602"/>
    <x v="1258"/>
    <n v="0"/>
    <x v="0"/>
    <x v="6"/>
    <x v="3"/>
  </r>
  <r>
    <x v="0"/>
    <x v="2"/>
    <x v="2"/>
    <x v="0"/>
    <x v="0"/>
    <x v="602"/>
    <x v="1258"/>
    <n v="0"/>
    <x v="0"/>
    <x v="6"/>
    <x v="3"/>
  </r>
  <r>
    <x v="0"/>
    <x v="3"/>
    <x v="3"/>
    <x v="0"/>
    <x v="0"/>
    <x v="602"/>
    <x v="1258"/>
    <n v="0"/>
    <x v="0"/>
    <x v="6"/>
    <x v="3"/>
  </r>
  <r>
    <x v="0"/>
    <x v="4"/>
    <x v="4"/>
    <x v="0"/>
    <x v="0"/>
    <x v="602"/>
    <x v="1258"/>
    <n v="0"/>
    <x v="0"/>
    <x v="6"/>
    <x v="3"/>
  </r>
  <r>
    <x v="0"/>
    <x v="0"/>
    <x v="0"/>
    <x v="0"/>
    <x v="0"/>
    <x v="603"/>
    <x v="1259"/>
    <n v="0"/>
    <x v="0"/>
    <x v="6"/>
    <x v="3"/>
  </r>
  <r>
    <x v="0"/>
    <x v="1"/>
    <x v="1"/>
    <x v="0"/>
    <x v="0"/>
    <x v="603"/>
    <x v="1259"/>
    <n v="0"/>
    <x v="0"/>
    <x v="6"/>
    <x v="3"/>
  </r>
  <r>
    <x v="0"/>
    <x v="2"/>
    <x v="2"/>
    <x v="0"/>
    <x v="0"/>
    <x v="603"/>
    <x v="1259"/>
    <n v="51464607.009999998"/>
    <x v="0"/>
    <x v="6"/>
    <x v="3"/>
  </r>
  <r>
    <x v="0"/>
    <x v="3"/>
    <x v="3"/>
    <x v="0"/>
    <x v="0"/>
    <x v="603"/>
    <x v="1259"/>
    <n v="0"/>
    <x v="0"/>
    <x v="6"/>
    <x v="3"/>
  </r>
  <r>
    <x v="0"/>
    <x v="4"/>
    <x v="4"/>
    <x v="0"/>
    <x v="0"/>
    <x v="603"/>
    <x v="1259"/>
    <n v="51464607.009999998"/>
    <x v="0"/>
    <x v="6"/>
    <x v="3"/>
  </r>
  <r>
    <x v="0"/>
    <x v="0"/>
    <x v="0"/>
    <x v="0"/>
    <x v="0"/>
    <x v="604"/>
    <x v="1260"/>
    <n v="0"/>
    <x v="0"/>
    <x v="6"/>
    <x v="3"/>
  </r>
  <r>
    <x v="0"/>
    <x v="1"/>
    <x v="1"/>
    <x v="0"/>
    <x v="0"/>
    <x v="604"/>
    <x v="1260"/>
    <n v="0"/>
    <x v="0"/>
    <x v="6"/>
    <x v="3"/>
  </r>
  <r>
    <x v="0"/>
    <x v="2"/>
    <x v="2"/>
    <x v="0"/>
    <x v="0"/>
    <x v="604"/>
    <x v="1260"/>
    <n v="0"/>
    <x v="0"/>
    <x v="6"/>
    <x v="3"/>
  </r>
  <r>
    <x v="0"/>
    <x v="3"/>
    <x v="3"/>
    <x v="0"/>
    <x v="0"/>
    <x v="604"/>
    <x v="1260"/>
    <n v="0"/>
    <x v="0"/>
    <x v="6"/>
    <x v="3"/>
  </r>
  <r>
    <x v="0"/>
    <x v="4"/>
    <x v="4"/>
    <x v="0"/>
    <x v="0"/>
    <x v="604"/>
    <x v="1260"/>
    <n v="0"/>
    <x v="0"/>
    <x v="6"/>
    <x v="3"/>
  </r>
  <r>
    <x v="0"/>
    <x v="0"/>
    <x v="0"/>
    <x v="0"/>
    <x v="0"/>
    <x v="605"/>
    <x v="1261"/>
    <n v="0"/>
    <x v="0"/>
    <x v="6"/>
    <x v="3"/>
  </r>
  <r>
    <x v="0"/>
    <x v="1"/>
    <x v="1"/>
    <x v="0"/>
    <x v="0"/>
    <x v="605"/>
    <x v="1261"/>
    <n v="0"/>
    <x v="0"/>
    <x v="6"/>
    <x v="3"/>
  </r>
  <r>
    <x v="0"/>
    <x v="2"/>
    <x v="2"/>
    <x v="0"/>
    <x v="0"/>
    <x v="605"/>
    <x v="1261"/>
    <n v="0"/>
    <x v="0"/>
    <x v="6"/>
    <x v="3"/>
  </r>
  <r>
    <x v="0"/>
    <x v="3"/>
    <x v="3"/>
    <x v="0"/>
    <x v="0"/>
    <x v="605"/>
    <x v="1261"/>
    <n v="0"/>
    <x v="0"/>
    <x v="6"/>
    <x v="3"/>
  </r>
  <r>
    <x v="0"/>
    <x v="4"/>
    <x v="4"/>
    <x v="0"/>
    <x v="0"/>
    <x v="605"/>
    <x v="1261"/>
    <n v="0"/>
    <x v="0"/>
    <x v="6"/>
    <x v="3"/>
  </r>
  <r>
    <x v="0"/>
    <x v="0"/>
    <x v="0"/>
    <x v="0"/>
    <x v="0"/>
    <x v="606"/>
    <x v="1262"/>
    <n v="0"/>
    <x v="0"/>
    <x v="6"/>
    <x v="2"/>
  </r>
  <r>
    <x v="0"/>
    <x v="1"/>
    <x v="1"/>
    <x v="0"/>
    <x v="0"/>
    <x v="606"/>
    <x v="1262"/>
    <n v="0"/>
    <x v="0"/>
    <x v="6"/>
    <x v="2"/>
  </r>
  <r>
    <x v="0"/>
    <x v="2"/>
    <x v="2"/>
    <x v="0"/>
    <x v="0"/>
    <x v="606"/>
    <x v="1262"/>
    <n v="197529.65"/>
    <x v="0"/>
    <x v="6"/>
    <x v="2"/>
  </r>
  <r>
    <x v="0"/>
    <x v="3"/>
    <x v="3"/>
    <x v="0"/>
    <x v="0"/>
    <x v="606"/>
    <x v="1262"/>
    <n v="196592.22"/>
    <x v="0"/>
    <x v="6"/>
    <x v="2"/>
  </r>
  <r>
    <x v="0"/>
    <x v="4"/>
    <x v="4"/>
    <x v="0"/>
    <x v="0"/>
    <x v="606"/>
    <x v="1262"/>
    <n v="394121.87"/>
    <x v="0"/>
    <x v="6"/>
    <x v="2"/>
  </r>
  <r>
    <x v="0"/>
    <x v="0"/>
    <x v="0"/>
    <x v="0"/>
    <x v="0"/>
    <x v="311"/>
    <x v="1263"/>
    <n v="0"/>
    <x v="0"/>
    <x v="6"/>
    <x v="3"/>
  </r>
  <r>
    <x v="0"/>
    <x v="1"/>
    <x v="1"/>
    <x v="0"/>
    <x v="0"/>
    <x v="311"/>
    <x v="1263"/>
    <n v="0"/>
    <x v="0"/>
    <x v="6"/>
    <x v="3"/>
  </r>
  <r>
    <x v="0"/>
    <x v="2"/>
    <x v="2"/>
    <x v="0"/>
    <x v="0"/>
    <x v="311"/>
    <x v="1263"/>
    <n v="197529.65"/>
    <x v="0"/>
    <x v="6"/>
    <x v="3"/>
  </r>
  <r>
    <x v="0"/>
    <x v="3"/>
    <x v="3"/>
    <x v="0"/>
    <x v="0"/>
    <x v="311"/>
    <x v="1263"/>
    <n v="196592.22"/>
    <x v="0"/>
    <x v="6"/>
    <x v="3"/>
  </r>
  <r>
    <x v="0"/>
    <x v="4"/>
    <x v="4"/>
    <x v="0"/>
    <x v="0"/>
    <x v="311"/>
    <x v="1263"/>
    <n v="394121.87"/>
    <x v="0"/>
    <x v="6"/>
    <x v="3"/>
  </r>
  <r>
    <x v="0"/>
    <x v="0"/>
    <x v="0"/>
    <x v="0"/>
    <x v="0"/>
    <x v="607"/>
    <x v="1264"/>
    <n v="0"/>
    <x v="0"/>
    <x v="6"/>
    <x v="3"/>
  </r>
  <r>
    <x v="0"/>
    <x v="1"/>
    <x v="1"/>
    <x v="0"/>
    <x v="0"/>
    <x v="607"/>
    <x v="1264"/>
    <n v="0"/>
    <x v="0"/>
    <x v="6"/>
    <x v="3"/>
  </r>
  <r>
    <x v="0"/>
    <x v="2"/>
    <x v="2"/>
    <x v="0"/>
    <x v="0"/>
    <x v="607"/>
    <x v="1264"/>
    <n v="0"/>
    <x v="0"/>
    <x v="6"/>
    <x v="3"/>
  </r>
  <r>
    <x v="0"/>
    <x v="3"/>
    <x v="3"/>
    <x v="0"/>
    <x v="0"/>
    <x v="607"/>
    <x v="1264"/>
    <n v="0"/>
    <x v="0"/>
    <x v="6"/>
    <x v="3"/>
  </r>
  <r>
    <x v="0"/>
    <x v="4"/>
    <x v="4"/>
    <x v="0"/>
    <x v="0"/>
    <x v="607"/>
    <x v="1264"/>
    <n v="0"/>
    <x v="0"/>
    <x v="6"/>
    <x v="3"/>
  </r>
  <r>
    <x v="0"/>
    <x v="0"/>
    <x v="0"/>
    <x v="0"/>
    <x v="0"/>
    <x v="328"/>
    <x v="1265"/>
    <n v="0"/>
    <x v="0"/>
    <x v="6"/>
    <x v="3"/>
  </r>
  <r>
    <x v="0"/>
    <x v="1"/>
    <x v="1"/>
    <x v="0"/>
    <x v="0"/>
    <x v="328"/>
    <x v="1265"/>
    <n v="0"/>
    <x v="0"/>
    <x v="6"/>
    <x v="3"/>
  </r>
  <r>
    <x v="0"/>
    <x v="2"/>
    <x v="2"/>
    <x v="0"/>
    <x v="0"/>
    <x v="328"/>
    <x v="1265"/>
    <n v="0"/>
    <x v="0"/>
    <x v="6"/>
    <x v="3"/>
  </r>
  <r>
    <x v="0"/>
    <x v="3"/>
    <x v="3"/>
    <x v="0"/>
    <x v="0"/>
    <x v="328"/>
    <x v="1265"/>
    <n v="0"/>
    <x v="0"/>
    <x v="6"/>
    <x v="3"/>
  </r>
  <r>
    <x v="0"/>
    <x v="4"/>
    <x v="4"/>
    <x v="0"/>
    <x v="0"/>
    <x v="328"/>
    <x v="1265"/>
    <n v="0"/>
    <x v="0"/>
    <x v="6"/>
    <x v="3"/>
  </r>
  <r>
    <x v="0"/>
    <x v="0"/>
    <x v="0"/>
    <x v="0"/>
    <x v="0"/>
    <x v="336"/>
    <x v="1266"/>
    <n v="0"/>
    <x v="0"/>
    <x v="6"/>
    <x v="3"/>
  </r>
  <r>
    <x v="0"/>
    <x v="1"/>
    <x v="1"/>
    <x v="0"/>
    <x v="0"/>
    <x v="336"/>
    <x v="1266"/>
    <n v="0"/>
    <x v="0"/>
    <x v="6"/>
    <x v="3"/>
  </r>
  <r>
    <x v="0"/>
    <x v="2"/>
    <x v="2"/>
    <x v="0"/>
    <x v="0"/>
    <x v="336"/>
    <x v="1266"/>
    <n v="0"/>
    <x v="0"/>
    <x v="6"/>
    <x v="3"/>
  </r>
  <r>
    <x v="0"/>
    <x v="3"/>
    <x v="3"/>
    <x v="0"/>
    <x v="0"/>
    <x v="336"/>
    <x v="1266"/>
    <n v="0"/>
    <x v="0"/>
    <x v="6"/>
    <x v="3"/>
  </r>
  <r>
    <x v="0"/>
    <x v="4"/>
    <x v="4"/>
    <x v="0"/>
    <x v="0"/>
    <x v="336"/>
    <x v="1266"/>
    <n v="0"/>
    <x v="0"/>
    <x v="6"/>
    <x v="3"/>
  </r>
  <r>
    <x v="0"/>
    <x v="0"/>
    <x v="0"/>
    <x v="0"/>
    <x v="0"/>
    <x v="337"/>
    <x v="1267"/>
    <n v="0"/>
    <x v="0"/>
    <x v="6"/>
    <x v="3"/>
  </r>
  <r>
    <x v="0"/>
    <x v="1"/>
    <x v="1"/>
    <x v="0"/>
    <x v="0"/>
    <x v="337"/>
    <x v="1267"/>
    <n v="0"/>
    <x v="0"/>
    <x v="6"/>
    <x v="3"/>
  </r>
  <r>
    <x v="0"/>
    <x v="2"/>
    <x v="2"/>
    <x v="0"/>
    <x v="0"/>
    <x v="337"/>
    <x v="1267"/>
    <n v="0"/>
    <x v="0"/>
    <x v="6"/>
    <x v="3"/>
  </r>
  <r>
    <x v="0"/>
    <x v="3"/>
    <x v="3"/>
    <x v="0"/>
    <x v="0"/>
    <x v="337"/>
    <x v="1267"/>
    <n v="0"/>
    <x v="0"/>
    <x v="6"/>
    <x v="3"/>
  </r>
  <r>
    <x v="0"/>
    <x v="4"/>
    <x v="4"/>
    <x v="0"/>
    <x v="0"/>
    <x v="337"/>
    <x v="1267"/>
    <n v="0"/>
    <x v="0"/>
    <x v="6"/>
    <x v="3"/>
  </r>
  <r>
    <x v="0"/>
    <x v="0"/>
    <x v="0"/>
    <x v="0"/>
    <x v="0"/>
    <x v="340"/>
    <x v="1268"/>
    <n v="0"/>
    <x v="0"/>
    <x v="6"/>
    <x v="3"/>
  </r>
  <r>
    <x v="0"/>
    <x v="1"/>
    <x v="1"/>
    <x v="0"/>
    <x v="0"/>
    <x v="340"/>
    <x v="1268"/>
    <n v="0"/>
    <x v="0"/>
    <x v="6"/>
    <x v="3"/>
  </r>
  <r>
    <x v="0"/>
    <x v="2"/>
    <x v="2"/>
    <x v="0"/>
    <x v="0"/>
    <x v="340"/>
    <x v="1268"/>
    <n v="0"/>
    <x v="0"/>
    <x v="6"/>
    <x v="3"/>
  </r>
  <r>
    <x v="0"/>
    <x v="3"/>
    <x v="3"/>
    <x v="0"/>
    <x v="0"/>
    <x v="340"/>
    <x v="1268"/>
    <n v="0"/>
    <x v="0"/>
    <x v="6"/>
    <x v="3"/>
  </r>
  <r>
    <x v="0"/>
    <x v="4"/>
    <x v="4"/>
    <x v="0"/>
    <x v="0"/>
    <x v="340"/>
    <x v="1268"/>
    <n v="0"/>
    <x v="0"/>
    <x v="6"/>
    <x v="3"/>
  </r>
  <r>
    <x v="0"/>
    <x v="0"/>
    <x v="0"/>
    <x v="0"/>
    <x v="0"/>
    <x v="378"/>
    <x v="1269"/>
    <n v="0"/>
    <x v="0"/>
    <x v="6"/>
    <x v="3"/>
  </r>
  <r>
    <x v="0"/>
    <x v="1"/>
    <x v="1"/>
    <x v="0"/>
    <x v="0"/>
    <x v="378"/>
    <x v="1269"/>
    <n v="0"/>
    <x v="0"/>
    <x v="6"/>
    <x v="3"/>
  </r>
  <r>
    <x v="0"/>
    <x v="2"/>
    <x v="2"/>
    <x v="0"/>
    <x v="0"/>
    <x v="378"/>
    <x v="1269"/>
    <n v="0"/>
    <x v="0"/>
    <x v="6"/>
    <x v="3"/>
  </r>
  <r>
    <x v="0"/>
    <x v="3"/>
    <x v="3"/>
    <x v="0"/>
    <x v="0"/>
    <x v="378"/>
    <x v="1269"/>
    <n v="0"/>
    <x v="0"/>
    <x v="6"/>
    <x v="3"/>
  </r>
  <r>
    <x v="0"/>
    <x v="4"/>
    <x v="4"/>
    <x v="0"/>
    <x v="0"/>
    <x v="378"/>
    <x v="1269"/>
    <n v="0"/>
    <x v="0"/>
    <x v="6"/>
    <x v="3"/>
  </r>
  <r>
    <x v="0"/>
    <x v="0"/>
    <x v="0"/>
    <x v="0"/>
    <x v="0"/>
    <x v="382"/>
    <x v="1270"/>
    <n v="0"/>
    <x v="0"/>
    <x v="6"/>
    <x v="3"/>
  </r>
  <r>
    <x v="0"/>
    <x v="1"/>
    <x v="1"/>
    <x v="0"/>
    <x v="0"/>
    <x v="382"/>
    <x v="1270"/>
    <n v="0"/>
    <x v="0"/>
    <x v="6"/>
    <x v="3"/>
  </r>
  <r>
    <x v="0"/>
    <x v="2"/>
    <x v="2"/>
    <x v="0"/>
    <x v="0"/>
    <x v="382"/>
    <x v="1270"/>
    <n v="0"/>
    <x v="0"/>
    <x v="6"/>
    <x v="3"/>
  </r>
  <r>
    <x v="0"/>
    <x v="3"/>
    <x v="3"/>
    <x v="0"/>
    <x v="0"/>
    <x v="382"/>
    <x v="1270"/>
    <n v="0"/>
    <x v="0"/>
    <x v="6"/>
    <x v="3"/>
  </r>
  <r>
    <x v="0"/>
    <x v="4"/>
    <x v="4"/>
    <x v="0"/>
    <x v="0"/>
    <x v="382"/>
    <x v="1270"/>
    <n v="0"/>
    <x v="0"/>
    <x v="6"/>
    <x v="3"/>
  </r>
  <r>
    <x v="0"/>
    <x v="0"/>
    <x v="0"/>
    <x v="0"/>
    <x v="0"/>
    <x v="360"/>
    <x v="1271"/>
    <n v="0"/>
    <x v="0"/>
    <x v="6"/>
    <x v="3"/>
  </r>
  <r>
    <x v="0"/>
    <x v="1"/>
    <x v="1"/>
    <x v="0"/>
    <x v="0"/>
    <x v="360"/>
    <x v="1271"/>
    <n v="0"/>
    <x v="0"/>
    <x v="6"/>
    <x v="3"/>
  </r>
  <r>
    <x v="0"/>
    <x v="2"/>
    <x v="2"/>
    <x v="0"/>
    <x v="0"/>
    <x v="360"/>
    <x v="1271"/>
    <n v="0"/>
    <x v="0"/>
    <x v="6"/>
    <x v="3"/>
  </r>
  <r>
    <x v="0"/>
    <x v="3"/>
    <x v="3"/>
    <x v="0"/>
    <x v="0"/>
    <x v="360"/>
    <x v="1271"/>
    <n v="0"/>
    <x v="0"/>
    <x v="6"/>
    <x v="3"/>
  </r>
  <r>
    <x v="0"/>
    <x v="4"/>
    <x v="4"/>
    <x v="0"/>
    <x v="0"/>
    <x v="360"/>
    <x v="1271"/>
    <n v="0"/>
    <x v="0"/>
    <x v="6"/>
    <x v="3"/>
  </r>
  <r>
    <x v="0"/>
    <x v="0"/>
    <x v="0"/>
    <x v="0"/>
    <x v="0"/>
    <x v="608"/>
    <x v="1272"/>
    <n v="0"/>
    <x v="0"/>
    <x v="6"/>
    <x v="2"/>
  </r>
  <r>
    <x v="0"/>
    <x v="1"/>
    <x v="1"/>
    <x v="0"/>
    <x v="0"/>
    <x v="608"/>
    <x v="1272"/>
    <n v="0"/>
    <x v="0"/>
    <x v="6"/>
    <x v="2"/>
  </r>
  <r>
    <x v="0"/>
    <x v="2"/>
    <x v="2"/>
    <x v="0"/>
    <x v="0"/>
    <x v="608"/>
    <x v="1272"/>
    <n v="0"/>
    <x v="0"/>
    <x v="6"/>
    <x v="2"/>
  </r>
  <r>
    <x v="0"/>
    <x v="3"/>
    <x v="3"/>
    <x v="0"/>
    <x v="0"/>
    <x v="608"/>
    <x v="1272"/>
    <n v="0"/>
    <x v="0"/>
    <x v="6"/>
    <x v="2"/>
  </r>
  <r>
    <x v="0"/>
    <x v="4"/>
    <x v="4"/>
    <x v="0"/>
    <x v="0"/>
    <x v="608"/>
    <x v="1272"/>
    <n v="0"/>
    <x v="0"/>
    <x v="6"/>
    <x v="2"/>
  </r>
  <r>
    <x v="0"/>
    <x v="0"/>
    <x v="0"/>
    <x v="0"/>
    <x v="0"/>
    <x v="311"/>
    <x v="1273"/>
    <n v="0"/>
    <x v="0"/>
    <x v="6"/>
    <x v="3"/>
  </r>
  <r>
    <x v="0"/>
    <x v="1"/>
    <x v="1"/>
    <x v="0"/>
    <x v="0"/>
    <x v="311"/>
    <x v="1273"/>
    <n v="0"/>
    <x v="0"/>
    <x v="6"/>
    <x v="3"/>
  </r>
  <r>
    <x v="0"/>
    <x v="2"/>
    <x v="2"/>
    <x v="0"/>
    <x v="0"/>
    <x v="311"/>
    <x v="1273"/>
    <n v="0"/>
    <x v="0"/>
    <x v="6"/>
    <x v="3"/>
  </r>
  <r>
    <x v="0"/>
    <x v="3"/>
    <x v="3"/>
    <x v="0"/>
    <x v="0"/>
    <x v="311"/>
    <x v="1273"/>
    <n v="0"/>
    <x v="0"/>
    <x v="6"/>
    <x v="3"/>
  </r>
  <r>
    <x v="0"/>
    <x v="4"/>
    <x v="4"/>
    <x v="0"/>
    <x v="0"/>
    <x v="311"/>
    <x v="1273"/>
    <n v="0"/>
    <x v="0"/>
    <x v="6"/>
    <x v="3"/>
  </r>
  <r>
    <x v="0"/>
    <x v="0"/>
    <x v="0"/>
    <x v="0"/>
    <x v="0"/>
    <x v="607"/>
    <x v="1274"/>
    <n v="0"/>
    <x v="0"/>
    <x v="6"/>
    <x v="3"/>
  </r>
  <r>
    <x v="0"/>
    <x v="1"/>
    <x v="1"/>
    <x v="0"/>
    <x v="0"/>
    <x v="607"/>
    <x v="1274"/>
    <n v="0"/>
    <x v="0"/>
    <x v="6"/>
    <x v="3"/>
  </r>
  <r>
    <x v="0"/>
    <x v="2"/>
    <x v="2"/>
    <x v="0"/>
    <x v="0"/>
    <x v="607"/>
    <x v="1274"/>
    <n v="0"/>
    <x v="0"/>
    <x v="6"/>
    <x v="3"/>
  </r>
  <r>
    <x v="0"/>
    <x v="3"/>
    <x v="3"/>
    <x v="0"/>
    <x v="0"/>
    <x v="607"/>
    <x v="1274"/>
    <n v="0"/>
    <x v="0"/>
    <x v="6"/>
    <x v="3"/>
  </r>
  <r>
    <x v="0"/>
    <x v="4"/>
    <x v="4"/>
    <x v="0"/>
    <x v="0"/>
    <x v="607"/>
    <x v="1274"/>
    <n v="0"/>
    <x v="0"/>
    <x v="6"/>
    <x v="3"/>
  </r>
  <r>
    <x v="0"/>
    <x v="0"/>
    <x v="0"/>
    <x v="0"/>
    <x v="0"/>
    <x v="328"/>
    <x v="1275"/>
    <n v="0"/>
    <x v="0"/>
    <x v="6"/>
    <x v="3"/>
  </r>
  <r>
    <x v="0"/>
    <x v="1"/>
    <x v="1"/>
    <x v="0"/>
    <x v="0"/>
    <x v="328"/>
    <x v="1275"/>
    <n v="0"/>
    <x v="0"/>
    <x v="6"/>
    <x v="3"/>
  </r>
  <r>
    <x v="0"/>
    <x v="2"/>
    <x v="2"/>
    <x v="0"/>
    <x v="0"/>
    <x v="328"/>
    <x v="1275"/>
    <n v="0"/>
    <x v="0"/>
    <x v="6"/>
    <x v="3"/>
  </r>
  <r>
    <x v="0"/>
    <x v="3"/>
    <x v="3"/>
    <x v="0"/>
    <x v="0"/>
    <x v="328"/>
    <x v="1275"/>
    <n v="0"/>
    <x v="0"/>
    <x v="6"/>
    <x v="3"/>
  </r>
  <r>
    <x v="0"/>
    <x v="4"/>
    <x v="4"/>
    <x v="0"/>
    <x v="0"/>
    <x v="328"/>
    <x v="1275"/>
    <n v="0"/>
    <x v="0"/>
    <x v="6"/>
    <x v="3"/>
  </r>
  <r>
    <x v="0"/>
    <x v="0"/>
    <x v="0"/>
    <x v="0"/>
    <x v="0"/>
    <x v="336"/>
    <x v="1276"/>
    <n v="0"/>
    <x v="0"/>
    <x v="6"/>
    <x v="3"/>
  </r>
  <r>
    <x v="0"/>
    <x v="1"/>
    <x v="1"/>
    <x v="0"/>
    <x v="0"/>
    <x v="336"/>
    <x v="1276"/>
    <n v="0"/>
    <x v="0"/>
    <x v="6"/>
    <x v="3"/>
  </r>
  <r>
    <x v="0"/>
    <x v="2"/>
    <x v="2"/>
    <x v="0"/>
    <x v="0"/>
    <x v="336"/>
    <x v="1276"/>
    <n v="0"/>
    <x v="0"/>
    <x v="6"/>
    <x v="3"/>
  </r>
  <r>
    <x v="0"/>
    <x v="3"/>
    <x v="3"/>
    <x v="0"/>
    <x v="0"/>
    <x v="336"/>
    <x v="1276"/>
    <n v="0"/>
    <x v="0"/>
    <x v="6"/>
    <x v="3"/>
  </r>
  <r>
    <x v="0"/>
    <x v="4"/>
    <x v="4"/>
    <x v="0"/>
    <x v="0"/>
    <x v="336"/>
    <x v="1276"/>
    <n v="0"/>
    <x v="0"/>
    <x v="6"/>
    <x v="3"/>
  </r>
  <r>
    <x v="0"/>
    <x v="0"/>
    <x v="0"/>
    <x v="0"/>
    <x v="0"/>
    <x v="337"/>
    <x v="1277"/>
    <n v="0"/>
    <x v="0"/>
    <x v="6"/>
    <x v="3"/>
  </r>
  <r>
    <x v="0"/>
    <x v="1"/>
    <x v="1"/>
    <x v="0"/>
    <x v="0"/>
    <x v="337"/>
    <x v="1277"/>
    <n v="0"/>
    <x v="0"/>
    <x v="6"/>
    <x v="3"/>
  </r>
  <r>
    <x v="0"/>
    <x v="2"/>
    <x v="2"/>
    <x v="0"/>
    <x v="0"/>
    <x v="337"/>
    <x v="1277"/>
    <n v="0"/>
    <x v="0"/>
    <x v="6"/>
    <x v="3"/>
  </r>
  <r>
    <x v="0"/>
    <x v="3"/>
    <x v="3"/>
    <x v="0"/>
    <x v="0"/>
    <x v="337"/>
    <x v="1277"/>
    <n v="0"/>
    <x v="0"/>
    <x v="6"/>
    <x v="3"/>
  </r>
  <r>
    <x v="0"/>
    <x v="4"/>
    <x v="4"/>
    <x v="0"/>
    <x v="0"/>
    <x v="337"/>
    <x v="1277"/>
    <n v="0"/>
    <x v="0"/>
    <x v="6"/>
    <x v="3"/>
  </r>
  <r>
    <x v="0"/>
    <x v="0"/>
    <x v="0"/>
    <x v="0"/>
    <x v="0"/>
    <x v="340"/>
    <x v="1278"/>
    <n v="0"/>
    <x v="0"/>
    <x v="6"/>
    <x v="3"/>
  </r>
  <r>
    <x v="0"/>
    <x v="1"/>
    <x v="1"/>
    <x v="0"/>
    <x v="0"/>
    <x v="340"/>
    <x v="1278"/>
    <n v="0"/>
    <x v="0"/>
    <x v="6"/>
    <x v="3"/>
  </r>
  <r>
    <x v="0"/>
    <x v="2"/>
    <x v="2"/>
    <x v="0"/>
    <x v="0"/>
    <x v="340"/>
    <x v="1278"/>
    <n v="0"/>
    <x v="0"/>
    <x v="6"/>
    <x v="3"/>
  </r>
  <r>
    <x v="0"/>
    <x v="3"/>
    <x v="3"/>
    <x v="0"/>
    <x v="0"/>
    <x v="340"/>
    <x v="1278"/>
    <n v="0"/>
    <x v="0"/>
    <x v="6"/>
    <x v="3"/>
  </r>
  <r>
    <x v="0"/>
    <x v="4"/>
    <x v="4"/>
    <x v="0"/>
    <x v="0"/>
    <x v="340"/>
    <x v="1278"/>
    <n v="0"/>
    <x v="0"/>
    <x v="6"/>
    <x v="3"/>
  </r>
  <r>
    <x v="0"/>
    <x v="0"/>
    <x v="0"/>
    <x v="0"/>
    <x v="0"/>
    <x v="378"/>
    <x v="1279"/>
    <n v="0"/>
    <x v="0"/>
    <x v="6"/>
    <x v="3"/>
  </r>
  <r>
    <x v="0"/>
    <x v="1"/>
    <x v="1"/>
    <x v="0"/>
    <x v="0"/>
    <x v="378"/>
    <x v="1279"/>
    <n v="0"/>
    <x v="0"/>
    <x v="6"/>
    <x v="3"/>
  </r>
  <r>
    <x v="0"/>
    <x v="2"/>
    <x v="2"/>
    <x v="0"/>
    <x v="0"/>
    <x v="378"/>
    <x v="1279"/>
    <n v="0"/>
    <x v="0"/>
    <x v="6"/>
    <x v="3"/>
  </r>
  <r>
    <x v="0"/>
    <x v="3"/>
    <x v="3"/>
    <x v="0"/>
    <x v="0"/>
    <x v="378"/>
    <x v="1279"/>
    <n v="0"/>
    <x v="0"/>
    <x v="6"/>
    <x v="3"/>
  </r>
  <r>
    <x v="0"/>
    <x v="4"/>
    <x v="4"/>
    <x v="0"/>
    <x v="0"/>
    <x v="378"/>
    <x v="1279"/>
    <n v="0"/>
    <x v="0"/>
    <x v="6"/>
    <x v="3"/>
  </r>
  <r>
    <x v="0"/>
    <x v="0"/>
    <x v="0"/>
    <x v="0"/>
    <x v="0"/>
    <x v="382"/>
    <x v="1280"/>
    <n v="0"/>
    <x v="0"/>
    <x v="6"/>
    <x v="3"/>
  </r>
  <r>
    <x v="0"/>
    <x v="1"/>
    <x v="1"/>
    <x v="0"/>
    <x v="0"/>
    <x v="382"/>
    <x v="1280"/>
    <n v="0"/>
    <x v="0"/>
    <x v="6"/>
    <x v="3"/>
  </r>
  <r>
    <x v="0"/>
    <x v="2"/>
    <x v="2"/>
    <x v="0"/>
    <x v="0"/>
    <x v="382"/>
    <x v="1280"/>
    <n v="0"/>
    <x v="0"/>
    <x v="6"/>
    <x v="3"/>
  </r>
  <r>
    <x v="0"/>
    <x v="3"/>
    <x v="3"/>
    <x v="0"/>
    <x v="0"/>
    <x v="382"/>
    <x v="1280"/>
    <n v="0"/>
    <x v="0"/>
    <x v="6"/>
    <x v="3"/>
  </r>
  <r>
    <x v="0"/>
    <x v="4"/>
    <x v="4"/>
    <x v="0"/>
    <x v="0"/>
    <x v="382"/>
    <x v="1280"/>
    <n v="0"/>
    <x v="0"/>
    <x v="6"/>
    <x v="3"/>
  </r>
  <r>
    <x v="0"/>
    <x v="0"/>
    <x v="0"/>
    <x v="0"/>
    <x v="0"/>
    <x v="360"/>
    <x v="1281"/>
    <n v="0"/>
    <x v="0"/>
    <x v="6"/>
    <x v="3"/>
  </r>
  <r>
    <x v="0"/>
    <x v="1"/>
    <x v="1"/>
    <x v="0"/>
    <x v="0"/>
    <x v="360"/>
    <x v="1281"/>
    <n v="0"/>
    <x v="0"/>
    <x v="6"/>
    <x v="3"/>
  </r>
  <r>
    <x v="0"/>
    <x v="2"/>
    <x v="2"/>
    <x v="0"/>
    <x v="0"/>
    <x v="360"/>
    <x v="1281"/>
    <n v="0"/>
    <x v="0"/>
    <x v="6"/>
    <x v="3"/>
  </r>
  <r>
    <x v="0"/>
    <x v="3"/>
    <x v="3"/>
    <x v="0"/>
    <x v="0"/>
    <x v="360"/>
    <x v="1281"/>
    <n v="0"/>
    <x v="0"/>
    <x v="6"/>
    <x v="3"/>
  </r>
  <r>
    <x v="0"/>
    <x v="4"/>
    <x v="4"/>
    <x v="0"/>
    <x v="0"/>
    <x v="360"/>
    <x v="1281"/>
    <n v="0"/>
    <x v="0"/>
    <x v="6"/>
    <x v="3"/>
  </r>
  <r>
    <x v="0"/>
    <x v="0"/>
    <x v="0"/>
    <x v="0"/>
    <x v="0"/>
    <x v="609"/>
    <x v="1282"/>
    <n v="0"/>
    <x v="0"/>
    <x v="6"/>
    <x v="2"/>
  </r>
  <r>
    <x v="0"/>
    <x v="1"/>
    <x v="1"/>
    <x v="0"/>
    <x v="0"/>
    <x v="609"/>
    <x v="1282"/>
    <n v="0"/>
    <x v="0"/>
    <x v="6"/>
    <x v="2"/>
  </r>
  <r>
    <x v="0"/>
    <x v="2"/>
    <x v="2"/>
    <x v="0"/>
    <x v="0"/>
    <x v="609"/>
    <x v="1282"/>
    <n v="0"/>
    <x v="0"/>
    <x v="6"/>
    <x v="2"/>
  </r>
  <r>
    <x v="0"/>
    <x v="3"/>
    <x v="3"/>
    <x v="0"/>
    <x v="0"/>
    <x v="609"/>
    <x v="1282"/>
    <n v="6671932.9699999997"/>
    <x v="0"/>
    <x v="6"/>
    <x v="2"/>
  </r>
  <r>
    <x v="0"/>
    <x v="4"/>
    <x v="4"/>
    <x v="0"/>
    <x v="0"/>
    <x v="609"/>
    <x v="1282"/>
    <n v="6671932.9700000007"/>
    <x v="0"/>
    <x v="6"/>
    <x v="2"/>
  </r>
  <r>
    <x v="0"/>
    <x v="0"/>
    <x v="0"/>
    <x v="0"/>
    <x v="0"/>
    <x v="311"/>
    <x v="1283"/>
    <n v="0"/>
    <x v="0"/>
    <x v="6"/>
    <x v="3"/>
  </r>
  <r>
    <x v="0"/>
    <x v="1"/>
    <x v="1"/>
    <x v="0"/>
    <x v="0"/>
    <x v="311"/>
    <x v="1283"/>
    <n v="0"/>
    <x v="0"/>
    <x v="6"/>
    <x v="3"/>
  </r>
  <r>
    <x v="0"/>
    <x v="2"/>
    <x v="2"/>
    <x v="0"/>
    <x v="0"/>
    <x v="311"/>
    <x v="1283"/>
    <n v="0"/>
    <x v="0"/>
    <x v="6"/>
    <x v="3"/>
  </r>
  <r>
    <x v="0"/>
    <x v="3"/>
    <x v="3"/>
    <x v="0"/>
    <x v="0"/>
    <x v="311"/>
    <x v="1283"/>
    <n v="6671932.9699999997"/>
    <x v="0"/>
    <x v="6"/>
    <x v="3"/>
  </r>
  <r>
    <x v="0"/>
    <x v="4"/>
    <x v="4"/>
    <x v="0"/>
    <x v="0"/>
    <x v="311"/>
    <x v="1283"/>
    <n v="6671932.9700000007"/>
    <x v="0"/>
    <x v="6"/>
    <x v="3"/>
  </r>
  <r>
    <x v="0"/>
    <x v="0"/>
    <x v="0"/>
    <x v="0"/>
    <x v="0"/>
    <x v="328"/>
    <x v="1284"/>
    <n v="0"/>
    <x v="0"/>
    <x v="6"/>
    <x v="3"/>
  </r>
  <r>
    <x v="0"/>
    <x v="1"/>
    <x v="1"/>
    <x v="0"/>
    <x v="0"/>
    <x v="328"/>
    <x v="1284"/>
    <n v="0"/>
    <x v="0"/>
    <x v="6"/>
    <x v="3"/>
  </r>
  <r>
    <x v="0"/>
    <x v="2"/>
    <x v="2"/>
    <x v="0"/>
    <x v="0"/>
    <x v="328"/>
    <x v="1284"/>
    <n v="0"/>
    <x v="0"/>
    <x v="6"/>
    <x v="3"/>
  </r>
  <r>
    <x v="0"/>
    <x v="3"/>
    <x v="3"/>
    <x v="0"/>
    <x v="0"/>
    <x v="328"/>
    <x v="1284"/>
    <n v="0"/>
    <x v="0"/>
    <x v="6"/>
    <x v="3"/>
  </r>
  <r>
    <x v="0"/>
    <x v="4"/>
    <x v="4"/>
    <x v="0"/>
    <x v="0"/>
    <x v="328"/>
    <x v="1284"/>
    <n v="0"/>
    <x v="0"/>
    <x v="6"/>
    <x v="3"/>
  </r>
  <r>
    <x v="0"/>
    <x v="0"/>
    <x v="0"/>
    <x v="0"/>
    <x v="0"/>
    <x v="610"/>
    <x v="1285"/>
    <n v="0"/>
    <x v="0"/>
    <x v="6"/>
    <x v="2"/>
  </r>
  <r>
    <x v="0"/>
    <x v="1"/>
    <x v="1"/>
    <x v="0"/>
    <x v="0"/>
    <x v="610"/>
    <x v="1285"/>
    <n v="0"/>
    <x v="0"/>
    <x v="6"/>
    <x v="2"/>
  </r>
  <r>
    <x v="0"/>
    <x v="2"/>
    <x v="2"/>
    <x v="0"/>
    <x v="0"/>
    <x v="610"/>
    <x v="1285"/>
    <n v="0"/>
    <x v="0"/>
    <x v="6"/>
    <x v="2"/>
  </r>
  <r>
    <x v="0"/>
    <x v="3"/>
    <x v="3"/>
    <x v="0"/>
    <x v="0"/>
    <x v="610"/>
    <x v="1285"/>
    <n v="0"/>
    <x v="0"/>
    <x v="6"/>
    <x v="2"/>
  </r>
  <r>
    <x v="0"/>
    <x v="4"/>
    <x v="4"/>
    <x v="0"/>
    <x v="0"/>
    <x v="610"/>
    <x v="1285"/>
    <n v="0"/>
    <x v="0"/>
    <x v="6"/>
    <x v="2"/>
  </r>
  <r>
    <x v="0"/>
    <x v="0"/>
    <x v="0"/>
    <x v="0"/>
    <x v="0"/>
    <x v="611"/>
    <x v="1286"/>
    <n v="0"/>
    <x v="0"/>
    <x v="6"/>
    <x v="3"/>
  </r>
  <r>
    <x v="0"/>
    <x v="1"/>
    <x v="1"/>
    <x v="0"/>
    <x v="0"/>
    <x v="611"/>
    <x v="1286"/>
    <n v="0"/>
    <x v="0"/>
    <x v="6"/>
    <x v="3"/>
  </r>
  <r>
    <x v="0"/>
    <x v="2"/>
    <x v="2"/>
    <x v="0"/>
    <x v="0"/>
    <x v="611"/>
    <x v="1286"/>
    <n v="0"/>
    <x v="0"/>
    <x v="6"/>
    <x v="3"/>
  </r>
  <r>
    <x v="0"/>
    <x v="3"/>
    <x v="3"/>
    <x v="0"/>
    <x v="0"/>
    <x v="611"/>
    <x v="1286"/>
    <n v="0"/>
    <x v="0"/>
    <x v="6"/>
    <x v="3"/>
  </r>
  <r>
    <x v="0"/>
    <x v="4"/>
    <x v="4"/>
    <x v="0"/>
    <x v="0"/>
    <x v="611"/>
    <x v="1286"/>
    <n v="0"/>
    <x v="0"/>
    <x v="6"/>
    <x v="3"/>
  </r>
  <r>
    <x v="0"/>
    <x v="0"/>
    <x v="0"/>
    <x v="0"/>
    <x v="0"/>
    <x v="612"/>
    <x v="1287"/>
    <n v="0"/>
    <x v="0"/>
    <x v="6"/>
    <x v="3"/>
  </r>
  <r>
    <x v="0"/>
    <x v="1"/>
    <x v="1"/>
    <x v="0"/>
    <x v="0"/>
    <x v="612"/>
    <x v="1287"/>
    <n v="0"/>
    <x v="0"/>
    <x v="6"/>
    <x v="3"/>
  </r>
  <r>
    <x v="0"/>
    <x v="2"/>
    <x v="2"/>
    <x v="0"/>
    <x v="0"/>
    <x v="612"/>
    <x v="1287"/>
    <n v="0"/>
    <x v="0"/>
    <x v="6"/>
    <x v="3"/>
  </r>
  <r>
    <x v="0"/>
    <x v="3"/>
    <x v="3"/>
    <x v="0"/>
    <x v="0"/>
    <x v="612"/>
    <x v="1287"/>
    <n v="0"/>
    <x v="0"/>
    <x v="6"/>
    <x v="3"/>
  </r>
  <r>
    <x v="0"/>
    <x v="4"/>
    <x v="4"/>
    <x v="0"/>
    <x v="0"/>
    <x v="612"/>
    <x v="1287"/>
    <n v="0"/>
    <x v="0"/>
    <x v="6"/>
    <x v="3"/>
  </r>
  <r>
    <x v="0"/>
    <x v="0"/>
    <x v="0"/>
    <x v="0"/>
    <x v="0"/>
    <x v="613"/>
    <x v="1288"/>
    <n v="0"/>
    <x v="0"/>
    <x v="6"/>
    <x v="2"/>
  </r>
  <r>
    <x v="0"/>
    <x v="1"/>
    <x v="1"/>
    <x v="0"/>
    <x v="0"/>
    <x v="613"/>
    <x v="1288"/>
    <n v="0"/>
    <x v="0"/>
    <x v="6"/>
    <x v="2"/>
  </r>
  <r>
    <x v="0"/>
    <x v="2"/>
    <x v="2"/>
    <x v="0"/>
    <x v="0"/>
    <x v="613"/>
    <x v="1288"/>
    <n v="0"/>
    <x v="0"/>
    <x v="6"/>
    <x v="2"/>
  </r>
  <r>
    <x v="0"/>
    <x v="3"/>
    <x v="3"/>
    <x v="0"/>
    <x v="0"/>
    <x v="613"/>
    <x v="1288"/>
    <n v="0"/>
    <x v="0"/>
    <x v="6"/>
    <x v="2"/>
  </r>
  <r>
    <x v="0"/>
    <x v="4"/>
    <x v="4"/>
    <x v="0"/>
    <x v="0"/>
    <x v="613"/>
    <x v="1288"/>
    <n v="0"/>
    <x v="0"/>
    <x v="6"/>
    <x v="2"/>
  </r>
  <r>
    <x v="0"/>
    <x v="0"/>
    <x v="0"/>
    <x v="0"/>
    <x v="0"/>
    <x v="26"/>
    <x v="1289"/>
    <n v="0"/>
    <x v="0"/>
    <x v="6"/>
    <x v="3"/>
  </r>
  <r>
    <x v="0"/>
    <x v="1"/>
    <x v="1"/>
    <x v="0"/>
    <x v="0"/>
    <x v="26"/>
    <x v="1289"/>
    <n v="0"/>
    <x v="0"/>
    <x v="6"/>
    <x v="3"/>
  </r>
  <r>
    <x v="0"/>
    <x v="2"/>
    <x v="2"/>
    <x v="0"/>
    <x v="0"/>
    <x v="26"/>
    <x v="1289"/>
    <n v="0"/>
    <x v="0"/>
    <x v="6"/>
    <x v="3"/>
  </r>
  <r>
    <x v="0"/>
    <x v="3"/>
    <x v="3"/>
    <x v="0"/>
    <x v="0"/>
    <x v="26"/>
    <x v="1289"/>
    <n v="0"/>
    <x v="0"/>
    <x v="6"/>
    <x v="3"/>
  </r>
  <r>
    <x v="0"/>
    <x v="4"/>
    <x v="4"/>
    <x v="0"/>
    <x v="0"/>
    <x v="26"/>
    <x v="1289"/>
    <n v="0"/>
    <x v="0"/>
    <x v="6"/>
    <x v="3"/>
  </r>
  <r>
    <x v="0"/>
    <x v="0"/>
    <x v="0"/>
    <x v="0"/>
    <x v="0"/>
    <x v="72"/>
    <x v="1290"/>
    <n v="0"/>
    <x v="0"/>
    <x v="6"/>
    <x v="3"/>
  </r>
  <r>
    <x v="0"/>
    <x v="1"/>
    <x v="1"/>
    <x v="0"/>
    <x v="0"/>
    <x v="72"/>
    <x v="1290"/>
    <n v="0"/>
    <x v="0"/>
    <x v="6"/>
    <x v="3"/>
  </r>
  <r>
    <x v="0"/>
    <x v="2"/>
    <x v="2"/>
    <x v="0"/>
    <x v="0"/>
    <x v="72"/>
    <x v="1290"/>
    <n v="0"/>
    <x v="0"/>
    <x v="6"/>
    <x v="3"/>
  </r>
  <r>
    <x v="0"/>
    <x v="3"/>
    <x v="3"/>
    <x v="0"/>
    <x v="0"/>
    <x v="72"/>
    <x v="1290"/>
    <n v="0"/>
    <x v="0"/>
    <x v="6"/>
    <x v="3"/>
  </r>
  <r>
    <x v="0"/>
    <x v="4"/>
    <x v="4"/>
    <x v="0"/>
    <x v="0"/>
    <x v="72"/>
    <x v="1290"/>
    <n v="0"/>
    <x v="0"/>
    <x v="6"/>
    <x v="3"/>
  </r>
  <r>
    <x v="0"/>
    <x v="0"/>
    <x v="0"/>
    <x v="0"/>
    <x v="0"/>
    <x v="166"/>
    <x v="1291"/>
    <n v="0"/>
    <x v="0"/>
    <x v="6"/>
    <x v="3"/>
  </r>
  <r>
    <x v="0"/>
    <x v="1"/>
    <x v="1"/>
    <x v="0"/>
    <x v="0"/>
    <x v="166"/>
    <x v="1291"/>
    <n v="0"/>
    <x v="0"/>
    <x v="6"/>
    <x v="3"/>
  </r>
  <r>
    <x v="0"/>
    <x v="2"/>
    <x v="2"/>
    <x v="0"/>
    <x v="0"/>
    <x v="166"/>
    <x v="1291"/>
    <n v="0"/>
    <x v="0"/>
    <x v="6"/>
    <x v="3"/>
  </r>
  <r>
    <x v="0"/>
    <x v="3"/>
    <x v="3"/>
    <x v="0"/>
    <x v="0"/>
    <x v="166"/>
    <x v="1291"/>
    <n v="0"/>
    <x v="0"/>
    <x v="6"/>
    <x v="3"/>
  </r>
  <r>
    <x v="0"/>
    <x v="4"/>
    <x v="4"/>
    <x v="0"/>
    <x v="0"/>
    <x v="166"/>
    <x v="1291"/>
    <n v="0"/>
    <x v="0"/>
    <x v="6"/>
    <x v="3"/>
  </r>
  <r>
    <x v="0"/>
    <x v="0"/>
    <x v="0"/>
    <x v="0"/>
    <x v="0"/>
    <x v="169"/>
    <x v="1292"/>
    <n v="0"/>
    <x v="0"/>
    <x v="6"/>
    <x v="3"/>
  </r>
  <r>
    <x v="0"/>
    <x v="1"/>
    <x v="1"/>
    <x v="0"/>
    <x v="0"/>
    <x v="169"/>
    <x v="1292"/>
    <n v="0"/>
    <x v="0"/>
    <x v="6"/>
    <x v="3"/>
  </r>
  <r>
    <x v="0"/>
    <x v="2"/>
    <x v="2"/>
    <x v="0"/>
    <x v="0"/>
    <x v="169"/>
    <x v="1292"/>
    <n v="0"/>
    <x v="0"/>
    <x v="6"/>
    <x v="3"/>
  </r>
  <r>
    <x v="0"/>
    <x v="3"/>
    <x v="3"/>
    <x v="0"/>
    <x v="0"/>
    <x v="169"/>
    <x v="1292"/>
    <n v="0"/>
    <x v="0"/>
    <x v="6"/>
    <x v="3"/>
  </r>
  <r>
    <x v="0"/>
    <x v="4"/>
    <x v="4"/>
    <x v="0"/>
    <x v="0"/>
    <x v="169"/>
    <x v="1292"/>
    <n v="0"/>
    <x v="0"/>
    <x v="6"/>
    <x v="3"/>
  </r>
  <r>
    <x v="0"/>
    <x v="0"/>
    <x v="0"/>
    <x v="0"/>
    <x v="0"/>
    <x v="614"/>
    <x v="1293"/>
    <n v="0"/>
    <x v="0"/>
    <x v="6"/>
    <x v="3"/>
  </r>
  <r>
    <x v="0"/>
    <x v="1"/>
    <x v="1"/>
    <x v="0"/>
    <x v="0"/>
    <x v="614"/>
    <x v="1293"/>
    <n v="0"/>
    <x v="0"/>
    <x v="6"/>
    <x v="3"/>
  </r>
  <r>
    <x v="0"/>
    <x v="2"/>
    <x v="2"/>
    <x v="0"/>
    <x v="0"/>
    <x v="614"/>
    <x v="1293"/>
    <n v="0"/>
    <x v="0"/>
    <x v="6"/>
    <x v="3"/>
  </r>
  <r>
    <x v="0"/>
    <x v="3"/>
    <x v="3"/>
    <x v="0"/>
    <x v="0"/>
    <x v="614"/>
    <x v="1293"/>
    <n v="0"/>
    <x v="0"/>
    <x v="6"/>
    <x v="3"/>
  </r>
  <r>
    <x v="0"/>
    <x v="4"/>
    <x v="4"/>
    <x v="0"/>
    <x v="0"/>
    <x v="614"/>
    <x v="1293"/>
    <n v="0"/>
    <x v="0"/>
    <x v="6"/>
    <x v="3"/>
  </r>
  <r>
    <x v="0"/>
    <x v="0"/>
    <x v="0"/>
    <x v="0"/>
    <x v="0"/>
    <x v="264"/>
    <x v="1294"/>
    <n v="0"/>
    <x v="0"/>
    <x v="6"/>
    <x v="3"/>
  </r>
  <r>
    <x v="0"/>
    <x v="1"/>
    <x v="1"/>
    <x v="0"/>
    <x v="0"/>
    <x v="264"/>
    <x v="1294"/>
    <n v="0"/>
    <x v="0"/>
    <x v="6"/>
    <x v="3"/>
  </r>
  <r>
    <x v="0"/>
    <x v="2"/>
    <x v="2"/>
    <x v="0"/>
    <x v="0"/>
    <x v="264"/>
    <x v="1294"/>
    <n v="0"/>
    <x v="0"/>
    <x v="6"/>
    <x v="3"/>
  </r>
  <r>
    <x v="0"/>
    <x v="3"/>
    <x v="3"/>
    <x v="0"/>
    <x v="0"/>
    <x v="264"/>
    <x v="1294"/>
    <n v="0"/>
    <x v="0"/>
    <x v="6"/>
    <x v="3"/>
  </r>
  <r>
    <x v="0"/>
    <x v="4"/>
    <x v="4"/>
    <x v="0"/>
    <x v="0"/>
    <x v="264"/>
    <x v="1294"/>
    <n v="0"/>
    <x v="0"/>
    <x v="6"/>
    <x v="3"/>
  </r>
  <r>
    <x v="0"/>
    <x v="0"/>
    <x v="0"/>
    <x v="0"/>
    <x v="0"/>
    <x v="189"/>
    <x v="1295"/>
    <n v="0"/>
    <x v="0"/>
    <x v="6"/>
    <x v="3"/>
  </r>
  <r>
    <x v="0"/>
    <x v="1"/>
    <x v="1"/>
    <x v="0"/>
    <x v="0"/>
    <x v="189"/>
    <x v="1295"/>
    <n v="0"/>
    <x v="0"/>
    <x v="6"/>
    <x v="3"/>
  </r>
  <r>
    <x v="0"/>
    <x v="2"/>
    <x v="2"/>
    <x v="0"/>
    <x v="0"/>
    <x v="189"/>
    <x v="1295"/>
    <n v="0"/>
    <x v="0"/>
    <x v="6"/>
    <x v="3"/>
  </r>
  <r>
    <x v="0"/>
    <x v="3"/>
    <x v="3"/>
    <x v="0"/>
    <x v="0"/>
    <x v="189"/>
    <x v="1295"/>
    <n v="0"/>
    <x v="0"/>
    <x v="6"/>
    <x v="3"/>
  </r>
  <r>
    <x v="0"/>
    <x v="4"/>
    <x v="4"/>
    <x v="0"/>
    <x v="0"/>
    <x v="189"/>
    <x v="1295"/>
    <n v="0"/>
    <x v="0"/>
    <x v="6"/>
    <x v="3"/>
  </r>
  <r>
    <x v="0"/>
    <x v="0"/>
    <x v="0"/>
    <x v="0"/>
    <x v="0"/>
    <x v="615"/>
    <x v="1296"/>
    <n v="967.47"/>
    <x v="0"/>
    <x v="6"/>
    <x v="2"/>
  </r>
  <r>
    <x v="0"/>
    <x v="1"/>
    <x v="1"/>
    <x v="0"/>
    <x v="0"/>
    <x v="615"/>
    <x v="1296"/>
    <n v="0"/>
    <x v="0"/>
    <x v="6"/>
    <x v="2"/>
  </r>
  <r>
    <x v="0"/>
    <x v="2"/>
    <x v="2"/>
    <x v="0"/>
    <x v="0"/>
    <x v="615"/>
    <x v="1296"/>
    <n v="7000000"/>
    <x v="0"/>
    <x v="6"/>
    <x v="2"/>
  </r>
  <r>
    <x v="0"/>
    <x v="3"/>
    <x v="3"/>
    <x v="0"/>
    <x v="0"/>
    <x v="615"/>
    <x v="1296"/>
    <n v="0"/>
    <x v="0"/>
    <x v="6"/>
    <x v="2"/>
  </r>
  <r>
    <x v="0"/>
    <x v="4"/>
    <x v="4"/>
    <x v="0"/>
    <x v="0"/>
    <x v="615"/>
    <x v="1296"/>
    <n v="7000967.4700000007"/>
    <x v="0"/>
    <x v="6"/>
    <x v="2"/>
  </r>
  <r>
    <x v="0"/>
    <x v="0"/>
    <x v="0"/>
    <x v="0"/>
    <x v="0"/>
    <x v="313"/>
    <x v="1297"/>
    <n v="967.47"/>
    <x v="0"/>
    <x v="6"/>
    <x v="3"/>
  </r>
  <r>
    <x v="0"/>
    <x v="1"/>
    <x v="1"/>
    <x v="0"/>
    <x v="0"/>
    <x v="313"/>
    <x v="1297"/>
    <n v="0"/>
    <x v="0"/>
    <x v="6"/>
    <x v="3"/>
  </r>
  <r>
    <x v="0"/>
    <x v="2"/>
    <x v="2"/>
    <x v="0"/>
    <x v="0"/>
    <x v="313"/>
    <x v="1297"/>
    <n v="0"/>
    <x v="0"/>
    <x v="6"/>
    <x v="3"/>
  </r>
  <r>
    <x v="0"/>
    <x v="3"/>
    <x v="3"/>
    <x v="0"/>
    <x v="0"/>
    <x v="313"/>
    <x v="1297"/>
    <n v="0"/>
    <x v="0"/>
    <x v="6"/>
    <x v="3"/>
  </r>
  <r>
    <x v="0"/>
    <x v="4"/>
    <x v="4"/>
    <x v="0"/>
    <x v="0"/>
    <x v="313"/>
    <x v="1297"/>
    <n v="967.47"/>
    <x v="0"/>
    <x v="6"/>
    <x v="3"/>
  </r>
  <r>
    <x v="0"/>
    <x v="0"/>
    <x v="0"/>
    <x v="0"/>
    <x v="0"/>
    <x v="314"/>
    <x v="1298"/>
    <n v="0"/>
    <x v="0"/>
    <x v="6"/>
    <x v="3"/>
  </r>
  <r>
    <x v="0"/>
    <x v="1"/>
    <x v="1"/>
    <x v="0"/>
    <x v="0"/>
    <x v="314"/>
    <x v="1298"/>
    <n v="0"/>
    <x v="0"/>
    <x v="6"/>
    <x v="3"/>
  </r>
  <r>
    <x v="0"/>
    <x v="2"/>
    <x v="2"/>
    <x v="0"/>
    <x v="0"/>
    <x v="314"/>
    <x v="1298"/>
    <n v="0"/>
    <x v="0"/>
    <x v="6"/>
    <x v="3"/>
  </r>
  <r>
    <x v="0"/>
    <x v="3"/>
    <x v="3"/>
    <x v="0"/>
    <x v="0"/>
    <x v="314"/>
    <x v="1298"/>
    <n v="0"/>
    <x v="0"/>
    <x v="6"/>
    <x v="3"/>
  </r>
  <r>
    <x v="0"/>
    <x v="4"/>
    <x v="4"/>
    <x v="0"/>
    <x v="0"/>
    <x v="314"/>
    <x v="1298"/>
    <n v="0"/>
    <x v="0"/>
    <x v="6"/>
    <x v="3"/>
  </r>
  <r>
    <x v="0"/>
    <x v="0"/>
    <x v="0"/>
    <x v="0"/>
    <x v="0"/>
    <x v="318"/>
    <x v="1299"/>
    <n v="0"/>
    <x v="0"/>
    <x v="6"/>
    <x v="3"/>
  </r>
  <r>
    <x v="0"/>
    <x v="1"/>
    <x v="1"/>
    <x v="0"/>
    <x v="0"/>
    <x v="318"/>
    <x v="1299"/>
    <n v="0"/>
    <x v="0"/>
    <x v="6"/>
    <x v="3"/>
  </r>
  <r>
    <x v="0"/>
    <x v="2"/>
    <x v="2"/>
    <x v="0"/>
    <x v="0"/>
    <x v="318"/>
    <x v="1299"/>
    <n v="0"/>
    <x v="0"/>
    <x v="6"/>
    <x v="3"/>
  </r>
  <r>
    <x v="0"/>
    <x v="3"/>
    <x v="3"/>
    <x v="0"/>
    <x v="0"/>
    <x v="318"/>
    <x v="1299"/>
    <n v="0"/>
    <x v="0"/>
    <x v="6"/>
    <x v="3"/>
  </r>
  <r>
    <x v="0"/>
    <x v="4"/>
    <x v="4"/>
    <x v="0"/>
    <x v="0"/>
    <x v="318"/>
    <x v="1299"/>
    <n v="0"/>
    <x v="0"/>
    <x v="6"/>
    <x v="3"/>
  </r>
  <r>
    <x v="0"/>
    <x v="0"/>
    <x v="0"/>
    <x v="0"/>
    <x v="0"/>
    <x v="322"/>
    <x v="1300"/>
    <n v="0"/>
    <x v="0"/>
    <x v="6"/>
    <x v="3"/>
  </r>
  <r>
    <x v="0"/>
    <x v="1"/>
    <x v="1"/>
    <x v="0"/>
    <x v="0"/>
    <x v="322"/>
    <x v="1300"/>
    <n v="0"/>
    <x v="0"/>
    <x v="6"/>
    <x v="3"/>
  </r>
  <r>
    <x v="0"/>
    <x v="2"/>
    <x v="2"/>
    <x v="0"/>
    <x v="0"/>
    <x v="322"/>
    <x v="1300"/>
    <n v="7000000"/>
    <x v="0"/>
    <x v="6"/>
    <x v="3"/>
  </r>
  <r>
    <x v="0"/>
    <x v="3"/>
    <x v="3"/>
    <x v="0"/>
    <x v="0"/>
    <x v="322"/>
    <x v="1300"/>
    <n v="0"/>
    <x v="0"/>
    <x v="6"/>
    <x v="3"/>
  </r>
  <r>
    <x v="0"/>
    <x v="4"/>
    <x v="4"/>
    <x v="0"/>
    <x v="0"/>
    <x v="322"/>
    <x v="1300"/>
    <n v="7000000"/>
    <x v="0"/>
    <x v="6"/>
    <x v="3"/>
  </r>
  <r>
    <x v="0"/>
    <x v="0"/>
    <x v="0"/>
    <x v="0"/>
    <x v="0"/>
    <x v="316"/>
    <x v="1301"/>
    <n v="0"/>
    <x v="0"/>
    <x v="6"/>
    <x v="3"/>
  </r>
  <r>
    <x v="0"/>
    <x v="1"/>
    <x v="1"/>
    <x v="0"/>
    <x v="0"/>
    <x v="316"/>
    <x v="1301"/>
    <n v="0"/>
    <x v="0"/>
    <x v="6"/>
    <x v="3"/>
  </r>
  <r>
    <x v="0"/>
    <x v="2"/>
    <x v="2"/>
    <x v="0"/>
    <x v="0"/>
    <x v="316"/>
    <x v="1301"/>
    <n v="0"/>
    <x v="0"/>
    <x v="6"/>
    <x v="3"/>
  </r>
  <r>
    <x v="0"/>
    <x v="3"/>
    <x v="3"/>
    <x v="0"/>
    <x v="0"/>
    <x v="316"/>
    <x v="1301"/>
    <n v="0"/>
    <x v="0"/>
    <x v="6"/>
    <x v="3"/>
  </r>
  <r>
    <x v="0"/>
    <x v="4"/>
    <x v="4"/>
    <x v="0"/>
    <x v="0"/>
    <x v="316"/>
    <x v="1301"/>
    <n v="0"/>
    <x v="0"/>
    <x v="6"/>
    <x v="3"/>
  </r>
  <r>
    <x v="0"/>
    <x v="0"/>
    <x v="0"/>
    <x v="0"/>
    <x v="0"/>
    <x v="616"/>
    <x v="1302"/>
    <n v="0"/>
    <x v="0"/>
    <x v="6"/>
    <x v="2"/>
  </r>
  <r>
    <x v="0"/>
    <x v="1"/>
    <x v="1"/>
    <x v="0"/>
    <x v="0"/>
    <x v="616"/>
    <x v="1302"/>
    <n v="0"/>
    <x v="0"/>
    <x v="6"/>
    <x v="2"/>
  </r>
  <r>
    <x v="0"/>
    <x v="2"/>
    <x v="2"/>
    <x v="0"/>
    <x v="0"/>
    <x v="616"/>
    <x v="1302"/>
    <n v="0"/>
    <x v="0"/>
    <x v="6"/>
    <x v="2"/>
  </r>
  <r>
    <x v="0"/>
    <x v="3"/>
    <x v="3"/>
    <x v="0"/>
    <x v="0"/>
    <x v="616"/>
    <x v="1302"/>
    <n v="0"/>
    <x v="0"/>
    <x v="6"/>
    <x v="2"/>
  </r>
  <r>
    <x v="0"/>
    <x v="4"/>
    <x v="4"/>
    <x v="0"/>
    <x v="0"/>
    <x v="616"/>
    <x v="1302"/>
    <n v="0"/>
    <x v="0"/>
    <x v="6"/>
    <x v="2"/>
  </r>
  <r>
    <x v="0"/>
    <x v="0"/>
    <x v="0"/>
    <x v="0"/>
    <x v="0"/>
    <x v="617"/>
    <x v="1303"/>
    <n v="0"/>
    <x v="0"/>
    <x v="6"/>
    <x v="3"/>
  </r>
  <r>
    <x v="0"/>
    <x v="1"/>
    <x v="1"/>
    <x v="0"/>
    <x v="0"/>
    <x v="617"/>
    <x v="1303"/>
    <n v="0"/>
    <x v="0"/>
    <x v="6"/>
    <x v="3"/>
  </r>
  <r>
    <x v="0"/>
    <x v="2"/>
    <x v="2"/>
    <x v="0"/>
    <x v="0"/>
    <x v="617"/>
    <x v="1303"/>
    <n v="0"/>
    <x v="0"/>
    <x v="6"/>
    <x v="3"/>
  </r>
  <r>
    <x v="0"/>
    <x v="3"/>
    <x v="3"/>
    <x v="0"/>
    <x v="0"/>
    <x v="617"/>
    <x v="1303"/>
    <n v="0"/>
    <x v="0"/>
    <x v="6"/>
    <x v="3"/>
  </r>
  <r>
    <x v="0"/>
    <x v="4"/>
    <x v="4"/>
    <x v="0"/>
    <x v="0"/>
    <x v="617"/>
    <x v="1303"/>
    <n v="0"/>
    <x v="0"/>
    <x v="6"/>
    <x v="3"/>
  </r>
  <r>
    <x v="0"/>
    <x v="0"/>
    <x v="0"/>
    <x v="0"/>
    <x v="0"/>
    <x v="597"/>
    <x v="1304"/>
    <n v="0"/>
    <x v="0"/>
    <x v="6"/>
    <x v="3"/>
  </r>
  <r>
    <x v="0"/>
    <x v="1"/>
    <x v="1"/>
    <x v="0"/>
    <x v="0"/>
    <x v="597"/>
    <x v="1304"/>
    <n v="0"/>
    <x v="0"/>
    <x v="6"/>
    <x v="3"/>
  </r>
  <r>
    <x v="0"/>
    <x v="2"/>
    <x v="2"/>
    <x v="0"/>
    <x v="0"/>
    <x v="597"/>
    <x v="1304"/>
    <n v="0"/>
    <x v="0"/>
    <x v="6"/>
    <x v="3"/>
  </r>
  <r>
    <x v="0"/>
    <x v="3"/>
    <x v="3"/>
    <x v="0"/>
    <x v="0"/>
    <x v="597"/>
    <x v="1304"/>
    <n v="0"/>
    <x v="0"/>
    <x v="6"/>
    <x v="3"/>
  </r>
  <r>
    <x v="0"/>
    <x v="4"/>
    <x v="4"/>
    <x v="0"/>
    <x v="0"/>
    <x v="597"/>
    <x v="1304"/>
    <n v="0"/>
    <x v="0"/>
    <x v="6"/>
    <x v="3"/>
  </r>
  <r>
    <x v="0"/>
    <x v="0"/>
    <x v="0"/>
    <x v="0"/>
    <x v="0"/>
    <x v="618"/>
    <x v="1305"/>
    <n v="0"/>
    <x v="0"/>
    <x v="6"/>
    <x v="3"/>
  </r>
  <r>
    <x v="0"/>
    <x v="1"/>
    <x v="1"/>
    <x v="0"/>
    <x v="0"/>
    <x v="618"/>
    <x v="1305"/>
    <n v="0"/>
    <x v="0"/>
    <x v="6"/>
    <x v="3"/>
  </r>
  <r>
    <x v="0"/>
    <x v="2"/>
    <x v="2"/>
    <x v="0"/>
    <x v="0"/>
    <x v="618"/>
    <x v="1305"/>
    <n v="0"/>
    <x v="0"/>
    <x v="6"/>
    <x v="3"/>
  </r>
  <r>
    <x v="0"/>
    <x v="3"/>
    <x v="3"/>
    <x v="0"/>
    <x v="0"/>
    <x v="618"/>
    <x v="1305"/>
    <n v="0"/>
    <x v="0"/>
    <x v="6"/>
    <x v="3"/>
  </r>
  <r>
    <x v="0"/>
    <x v="4"/>
    <x v="4"/>
    <x v="0"/>
    <x v="0"/>
    <x v="618"/>
    <x v="1305"/>
    <n v="0"/>
    <x v="0"/>
    <x v="6"/>
    <x v="3"/>
  </r>
  <r>
    <x v="0"/>
    <x v="0"/>
    <x v="0"/>
    <x v="0"/>
    <x v="0"/>
    <x v="545"/>
    <x v="1306"/>
    <n v="0"/>
    <x v="0"/>
    <x v="6"/>
    <x v="3"/>
  </r>
  <r>
    <x v="0"/>
    <x v="1"/>
    <x v="1"/>
    <x v="0"/>
    <x v="0"/>
    <x v="545"/>
    <x v="1306"/>
    <n v="0"/>
    <x v="0"/>
    <x v="6"/>
    <x v="3"/>
  </r>
  <r>
    <x v="0"/>
    <x v="2"/>
    <x v="2"/>
    <x v="0"/>
    <x v="0"/>
    <x v="545"/>
    <x v="1306"/>
    <n v="0"/>
    <x v="0"/>
    <x v="6"/>
    <x v="3"/>
  </r>
  <r>
    <x v="0"/>
    <x v="3"/>
    <x v="3"/>
    <x v="0"/>
    <x v="0"/>
    <x v="545"/>
    <x v="1306"/>
    <n v="0"/>
    <x v="0"/>
    <x v="6"/>
    <x v="3"/>
  </r>
  <r>
    <x v="0"/>
    <x v="4"/>
    <x v="4"/>
    <x v="0"/>
    <x v="0"/>
    <x v="545"/>
    <x v="1306"/>
    <n v="0"/>
    <x v="0"/>
    <x v="6"/>
    <x v="3"/>
  </r>
  <r>
    <x v="0"/>
    <x v="0"/>
    <x v="0"/>
    <x v="0"/>
    <x v="0"/>
    <x v="567"/>
    <x v="1307"/>
    <n v="0"/>
    <x v="0"/>
    <x v="6"/>
    <x v="3"/>
  </r>
  <r>
    <x v="0"/>
    <x v="1"/>
    <x v="1"/>
    <x v="0"/>
    <x v="0"/>
    <x v="567"/>
    <x v="1307"/>
    <n v="0"/>
    <x v="0"/>
    <x v="6"/>
    <x v="3"/>
  </r>
  <r>
    <x v="0"/>
    <x v="2"/>
    <x v="2"/>
    <x v="0"/>
    <x v="0"/>
    <x v="567"/>
    <x v="1307"/>
    <n v="0"/>
    <x v="0"/>
    <x v="6"/>
    <x v="3"/>
  </r>
  <r>
    <x v="0"/>
    <x v="3"/>
    <x v="3"/>
    <x v="0"/>
    <x v="0"/>
    <x v="567"/>
    <x v="1307"/>
    <n v="0"/>
    <x v="0"/>
    <x v="6"/>
    <x v="3"/>
  </r>
  <r>
    <x v="0"/>
    <x v="4"/>
    <x v="4"/>
    <x v="0"/>
    <x v="0"/>
    <x v="567"/>
    <x v="1307"/>
    <n v="0"/>
    <x v="0"/>
    <x v="6"/>
    <x v="3"/>
  </r>
  <r>
    <x v="0"/>
    <x v="0"/>
    <x v="0"/>
    <x v="0"/>
    <x v="0"/>
    <x v="185"/>
    <x v="1308"/>
    <n v="0"/>
    <x v="0"/>
    <x v="6"/>
    <x v="3"/>
  </r>
  <r>
    <x v="0"/>
    <x v="1"/>
    <x v="1"/>
    <x v="0"/>
    <x v="0"/>
    <x v="185"/>
    <x v="1308"/>
    <n v="0"/>
    <x v="0"/>
    <x v="6"/>
    <x v="3"/>
  </r>
  <r>
    <x v="0"/>
    <x v="2"/>
    <x v="2"/>
    <x v="0"/>
    <x v="0"/>
    <x v="185"/>
    <x v="1308"/>
    <n v="0"/>
    <x v="0"/>
    <x v="6"/>
    <x v="3"/>
  </r>
  <r>
    <x v="0"/>
    <x v="3"/>
    <x v="3"/>
    <x v="0"/>
    <x v="0"/>
    <x v="185"/>
    <x v="1308"/>
    <n v="0"/>
    <x v="0"/>
    <x v="6"/>
    <x v="3"/>
  </r>
  <r>
    <x v="0"/>
    <x v="4"/>
    <x v="4"/>
    <x v="0"/>
    <x v="0"/>
    <x v="185"/>
    <x v="1308"/>
    <n v="0"/>
    <x v="0"/>
    <x v="6"/>
    <x v="3"/>
  </r>
  <r>
    <x v="0"/>
    <x v="0"/>
    <x v="0"/>
    <x v="0"/>
    <x v="0"/>
    <x v="186"/>
    <x v="1309"/>
    <n v="0"/>
    <x v="0"/>
    <x v="6"/>
    <x v="3"/>
  </r>
  <r>
    <x v="0"/>
    <x v="1"/>
    <x v="1"/>
    <x v="0"/>
    <x v="0"/>
    <x v="186"/>
    <x v="1309"/>
    <n v="0"/>
    <x v="0"/>
    <x v="6"/>
    <x v="3"/>
  </r>
  <r>
    <x v="0"/>
    <x v="2"/>
    <x v="2"/>
    <x v="0"/>
    <x v="0"/>
    <x v="186"/>
    <x v="1309"/>
    <n v="0"/>
    <x v="0"/>
    <x v="6"/>
    <x v="3"/>
  </r>
  <r>
    <x v="0"/>
    <x v="3"/>
    <x v="3"/>
    <x v="0"/>
    <x v="0"/>
    <x v="186"/>
    <x v="1309"/>
    <n v="0"/>
    <x v="0"/>
    <x v="6"/>
    <x v="3"/>
  </r>
  <r>
    <x v="0"/>
    <x v="4"/>
    <x v="4"/>
    <x v="0"/>
    <x v="0"/>
    <x v="186"/>
    <x v="1309"/>
    <n v="0"/>
    <x v="0"/>
    <x v="6"/>
    <x v="3"/>
  </r>
  <r>
    <x v="0"/>
    <x v="0"/>
    <x v="0"/>
    <x v="0"/>
    <x v="0"/>
    <x v="546"/>
    <x v="1310"/>
    <n v="0"/>
    <x v="0"/>
    <x v="6"/>
    <x v="3"/>
  </r>
  <r>
    <x v="0"/>
    <x v="1"/>
    <x v="1"/>
    <x v="0"/>
    <x v="0"/>
    <x v="546"/>
    <x v="1310"/>
    <n v="0"/>
    <x v="0"/>
    <x v="6"/>
    <x v="3"/>
  </r>
  <r>
    <x v="0"/>
    <x v="2"/>
    <x v="2"/>
    <x v="0"/>
    <x v="0"/>
    <x v="546"/>
    <x v="1310"/>
    <n v="0"/>
    <x v="0"/>
    <x v="6"/>
    <x v="3"/>
  </r>
  <r>
    <x v="0"/>
    <x v="3"/>
    <x v="3"/>
    <x v="0"/>
    <x v="0"/>
    <x v="546"/>
    <x v="1310"/>
    <n v="0"/>
    <x v="0"/>
    <x v="6"/>
    <x v="3"/>
  </r>
  <r>
    <x v="0"/>
    <x v="4"/>
    <x v="4"/>
    <x v="0"/>
    <x v="0"/>
    <x v="546"/>
    <x v="1310"/>
    <n v="0"/>
    <x v="0"/>
    <x v="6"/>
    <x v="3"/>
  </r>
  <r>
    <x v="0"/>
    <x v="0"/>
    <x v="0"/>
    <x v="0"/>
    <x v="0"/>
    <x v="547"/>
    <x v="1311"/>
    <n v="0"/>
    <x v="0"/>
    <x v="6"/>
    <x v="3"/>
  </r>
  <r>
    <x v="0"/>
    <x v="1"/>
    <x v="1"/>
    <x v="0"/>
    <x v="0"/>
    <x v="547"/>
    <x v="1311"/>
    <n v="0"/>
    <x v="0"/>
    <x v="6"/>
    <x v="3"/>
  </r>
  <r>
    <x v="0"/>
    <x v="2"/>
    <x v="2"/>
    <x v="0"/>
    <x v="0"/>
    <x v="547"/>
    <x v="1311"/>
    <n v="0"/>
    <x v="0"/>
    <x v="6"/>
    <x v="3"/>
  </r>
  <r>
    <x v="0"/>
    <x v="3"/>
    <x v="3"/>
    <x v="0"/>
    <x v="0"/>
    <x v="547"/>
    <x v="1311"/>
    <n v="0"/>
    <x v="0"/>
    <x v="6"/>
    <x v="3"/>
  </r>
  <r>
    <x v="0"/>
    <x v="4"/>
    <x v="4"/>
    <x v="0"/>
    <x v="0"/>
    <x v="547"/>
    <x v="1311"/>
    <n v="0"/>
    <x v="0"/>
    <x v="6"/>
    <x v="3"/>
  </r>
  <r>
    <x v="0"/>
    <x v="0"/>
    <x v="0"/>
    <x v="0"/>
    <x v="0"/>
    <x v="264"/>
    <x v="1312"/>
    <n v="0"/>
    <x v="0"/>
    <x v="6"/>
    <x v="3"/>
  </r>
  <r>
    <x v="0"/>
    <x v="1"/>
    <x v="1"/>
    <x v="0"/>
    <x v="0"/>
    <x v="264"/>
    <x v="1312"/>
    <n v="0"/>
    <x v="0"/>
    <x v="6"/>
    <x v="3"/>
  </r>
  <r>
    <x v="0"/>
    <x v="2"/>
    <x v="2"/>
    <x v="0"/>
    <x v="0"/>
    <x v="264"/>
    <x v="1312"/>
    <n v="0"/>
    <x v="0"/>
    <x v="6"/>
    <x v="3"/>
  </r>
  <r>
    <x v="0"/>
    <x v="3"/>
    <x v="3"/>
    <x v="0"/>
    <x v="0"/>
    <x v="264"/>
    <x v="1312"/>
    <n v="0"/>
    <x v="0"/>
    <x v="6"/>
    <x v="3"/>
  </r>
  <r>
    <x v="0"/>
    <x v="4"/>
    <x v="4"/>
    <x v="0"/>
    <x v="0"/>
    <x v="264"/>
    <x v="1312"/>
    <n v="0"/>
    <x v="0"/>
    <x v="6"/>
    <x v="3"/>
  </r>
  <r>
    <x v="0"/>
    <x v="0"/>
    <x v="0"/>
    <x v="0"/>
    <x v="0"/>
    <x v="68"/>
    <x v="1313"/>
    <n v="0"/>
    <x v="0"/>
    <x v="6"/>
    <x v="3"/>
  </r>
  <r>
    <x v="0"/>
    <x v="1"/>
    <x v="1"/>
    <x v="0"/>
    <x v="0"/>
    <x v="68"/>
    <x v="1313"/>
    <n v="0"/>
    <x v="0"/>
    <x v="6"/>
    <x v="3"/>
  </r>
  <r>
    <x v="0"/>
    <x v="2"/>
    <x v="2"/>
    <x v="0"/>
    <x v="0"/>
    <x v="68"/>
    <x v="1313"/>
    <n v="0"/>
    <x v="0"/>
    <x v="6"/>
    <x v="3"/>
  </r>
  <r>
    <x v="0"/>
    <x v="3"/>
    <x v="3"/>
    <x v="0"/>
    <x v="0"/>
    <x v="68"/>
    <x v="1313"/>
    <n v="0"/>
    <x v="0"/>
    <x v="6"/>
    <x v="3"/>
  </r>
  <r>
    <x v="0"/>
    <x v="4"/>
    <x v="4"/>
    <x v="0"/>
    <x v="0"/>
    <x v="68"/>
    <x v="1313"/>
    <n v="0"/>
    <x v="0"/>
    <x v="6"/>
    <x v="3"/>
  </r>
  <r>
    <x v="0"/>
    <x v="0"/>
    <x v="0"/>
    <x v="0"/>
    <x v="0"/>
    <x v="619"/>
    <x v="1314"/>
    <n v="0"/>
    <x v="0"/>
    <x v="6"/>
    <x v="2"/>
  </r>
  <r>
    <x v="0"/>
    <x v="1"/>
    <x v="1"/>
    <x v="0"/>
    <x v="0"/>
    <x v="619"/>
    <x v="1314"/>
    <n v="0"/>
    <x v="0"/>
    <x v="6"/>
    <x v="2"/>
  </r>
  <r>
    <x v="0"/>
    <x v="2"/>
    <x v="2"/>
    <x v="0"/>
    <x v="0"/>
    <x v="619"/>
    <x v="1314"/>
    <n v="0"/>
    <x v="0"/>
    <x v="6"/>
    <x v="2"/>
  </r>
  <r>
    <x v="0"/>
    <x v="3"/>
    <x v="3"/>
    <x v="0"/>
    <x v="0"/>
    <x v="619"/>
    <x v="1314"/>
    <n v="0"/>
    <x v="0"/>
    <x v="6"/>
    <x v="2"/>
  </r>
  <r>
    <x v="0"/>
    <x v="4"/>
    <x v="4"/>
    <x v="0"/>
    <x v="0"/>
    <x v="619"/>
    <x v="1314"/>
    <n v="0"/>
    <x v="0"/>
    <x v="6"/>
    <x v="2"/>
  </r>
  <r>
    <x v="0"/>
    <x v="0"/>
    <x v="0"/>
    <x v="0"/>
    <x v="0"/>
    <x v="620"/>
    <x v="1315"/>
    <n v="0"/>
    <x v="0"/>
    <x v="6"/>
    <x v="2"/>
  </r>
  <r>
    <x v="0"/>
    <x v="1"/>
    <x v="1"/>
    <x v="0"/>
    <x v="0"/>
    <x v="620"/>
    <x v="1315"/>
    <n v="0"/>
    <x v="0"/>
    <x v="6"/>
    <x v="2"/>
  </r>
  <r>
    <x v="0"/>
    <x v="2"/>
    <x v="2"/>
    <x v="0"/>
    <x v="0"/>
    <x v="620"/>
    <x v="1315"/>
    <n v="0"/>
    <x v="0"/>
    <x v="6"/>
    <x v="2"/>
  </r>
  <r>
    <x v="0"/>
    <x v="3"/>
    <x v="3"/>
    <x v="0"/>
    <x v="0"/>
    <x v="620"/>
    <x v="1315"/>
    <n v="0"/>
    <x v="0"/>
    <x v="6"/>
    <x v="2"/>
  </r>
  <r>
    <x v="0"/>
    <x v="4"/>
    <x v="4"/>
    <x v="0"/>
    <x v="0"/>
    <x v="620"/>
    <x v="1315"/>
    <n v="0"/>
    <x v="0"/>
    <x v="6"/>
    <x v="2"/>
  </r>
  <r>
    <x v="0"/>
    <x v="0"/>
    <x v="0"/>
    <x v="0"/>
    <x v="0"/>
    <x v="312"/>
    <x v="1316"/>
    <n v="0"/>
    <x v="0"/>
    <x v="6"/>
    <x v="3"/>
  </r>
  <r>
    <x v="0"/>
    <x v="1"/>
    <x v="1"/>
    <x v="0"/>
    <x v="0"/>
    <x v="312"/>
    <x v="1316"/>
    <n v="0"/>
    <x v="0"/>
    <x v="6"/>
    <x v="3"/>
  </r>
  <r>
    <x v="0"/>
    <x v="2"/>
    <x v="2"/>
    <x v="0"/>
    <x v="0"/>
    <x v="312"/>
    <x v="1316"/>
    <n v="0"/>
    <x v="0"/>
    <x v="6"/>
    <x v="3"/>
  </r>
  <r>
    <x v="0"/>
    <x v="3"/>
    <x v="3"/>
    <x v="0"/>
    <x v="0"/>
    <x v="312"/>
    <x v="1316"/>
    <n v="0"/>
    <x v="0"/>
    <x v="6"/>
    <x v="3"/>
  </r>
  <r>
    <x v="0"/>
    <x v="4"/>
    <x v="4"/>
    <x v="0"/>
    <x v="0"/>
    <x v="312"/>
    <x v="1316"/>
    <n v="0"/>
    <x v="0"/>
    <x v="6"/>
    <x v="3"/>
  </r>
  <r>
    <x v="0"/>
    <x v="0"/>
    <x v="0"/>
    <x v="0"/>
    <x v="0"/>
    <x v="318"/>
    <x v="1317"/>
    <n v="0"/>
    <x v="0"/>
    <x v="6"/>
    <x v="3"/>
  </r>
  <r>
    <x v="0"/>
    <x v="1"/>
    <x v="1"/>
    <x v="0"/>
    <x v="0"/>
    <x v="318"/>
    <x v="1317"/>
    <n v="0"/>
    <x v="0"/>
    <x v="6"/>
    <x v="3"/>
  </r>
  <r>
    <x v="0"/>
    <x v="2"/>
    <x v="2"/>
    <x v="0"/>
    <x v="0"/>
    <x v="318"/>
    <x v="1317"/>
    <n v="0"/>
    <x v="0"/>
    <x v="6"/>
    <x v="3"/>
  </r>
  <r>
    <x v="0"/>
    <x v="3"/>
    <x v="3"/>
    <x v="0"/>
    <x v="0"/>
    <x v="318"/>
    <x v="1317"/>
    <n v="0"/>
    <x v="0"/>
    <x v="6"/>
    <x v="3"/>
  </r>
  <r>
    <x v="0"/>
    <x v="4"/>
    <x v="4"/>
    <x v="0"/>
    <x v="0"/>
    <x v="318"/>
    <x v="1317"/>
    <n v="0"/>
    <x v="0"/>
    <x v="6"/>
    <x v="3"/>
  </r>
  <r>
    <x v="0"/>
    <x v="0"/>
    <x v="0"/>
    <x v="0"/>
    <x v="0"/>
    <x v="322"/>
    <x v="1318"/>
    <n v="0"/>
    <x v="0"/>
    <x v="6"/>
    <x v="3"/>
  </r>
  <r>
    <x v="0"/>
    <x v="1"/>
    <x v="1"/>
    <x v="0"/>
    <x v="0"/>
    <x v="322"/>
    <x v="1318"/>
    <n v="0"/>
    <x v="0"/>
    <x v="6"/>
    <x v="3"/>
  </r>
  <r>
    <x v="0"/>
    <x v="2"/>
    <x v="2"/>
    <x v="0"/>
    <x v="0"/>
    <x v="322"/>
    <x v="1318"/>
    <n v="0"/>
    <x v="0"/>
    <x v="6"/>
    <x v="3"/>
  </r>
  <r>
    <x v="0"/>
    <x v="3"/>
    <x v="3"/>
    <x v="0"/>
    <x v="0"/>
    <x v="322"/>
    <x v="1318"/>
    <n v="0"/>
    <x v="0"/>
    <x v="6"/>
    <x v="3"/>
  </r>
  <r>
    <x v="0"/>
    <x v="4"/>
    <x v="4"/>
    <x v="0"/>
    <x v="0"/>
    <x v="322"/>
    <x v="1318"/>
    <n v="0"/>
    <x v="0"/>
    <x v="6"/>
    <x v="3"/>
  </r>
  <r>
    <x v="0"/>
    <x v="0"/>
    <x v="0"/>
    <x v="0"/>
    <x v="0"/>
    <x v="17"/>
    <x v="1319"/>
    <n v="0"/>
    <x v="0"/>
    <x v="6"/>
    <x v="3"/>
  </r>
  <r>
    <x v="0"/>
    <x v="1"/>
    <x v="1"/>
    <x v="0"/>
    <x v="0"/>
    <x v="17"/>
    <x v="1319"/>
    <n v="0"/>
    <x v="0"/>
    <x v="6"/>
    <x v="3"/>
  </r>
  <r>
    <x v="0"/>
    <x v="2"/>
    <x v="2"/>
    <x v="0"/>
    <x v="0"/>
    <x v="17"/>
    <x v="1319"/>
    <n v="0"/>
    <x v="0"/>
    <x v="6"/>
    <x v="3"/>
  </r>
  <r>
    <x v="0"/>
    <x v="3"/>
    <x v="3"/>
    <x v="0"/>
    <x v="0"/>
    <x v="17"/>
    <x v="1319"/>
    <n v="0"/>
    <x v="0"/>
    <x v="6"/>
    <x v="3"/>
  </r>
  <r>
    <x v="0"/>
    <x v="4"/>
    <x v="4"/>
    <x v="0"/>
    <x v="0"/>
    <x v="17"/>
    <x v="1319"/>
    <n v="0"/>
    <x v="0"/>
    <x v="6"/>
    <x v="3"/>
  </r>
  <r>
    <x v="0"/>
    <x v="0"/>
    <x v="0"/>
    <x v="0"/>
    <x v="0"/>
    <x v="328"/>
    <x v="1320"/>
    <n v="0"/>
    <x v="0"/>
    <x v="6"/>
    <x v="3"/>
  </r>
  <r>
    <x v="0"/>
    <x v="1"/>
    <x v="1"/>
    <x v="0"/>
    <x v="0"/>
    <x v="328"/>
    <x v="1320"/>
    <n v="0"/>
    <x v="0"/>
    <x v="6"/>
    <x v="3"/>
  </r>
  <r>
    <x v="0"/>
    <x v="2"/>
    <x v="2"/>
    <x v="0"/>
    <x v="0"/>
    <x v="328"/>
    <x v="1320"/>
    <n v="0"/>
    <x v="0"/>
    <x v="6"/>
    <x v="3"/>
  </r>
  <r>
    <x v="0"/>
    <x v="3"/>
    <x v="3"/>
    <x v="0"/>
    <x v="0"/>
    <x v="328"/>
    <x v="1320"/>
    <n v="0"/>
    <x v="0"/>
    <x v="6"/>
    <x v="3"/>
  </r>
  <r>
    <x v="0"/>
    <x v="4"/>
    <x v="4"/>
    <x v="0"/>
    <x v="0"/>
    <x v="328"/>
    <x v="1320"/>
    <n v="0"/>
    <x v="0"/>
    <x v="6"/>
    <x v="3"/>
  </r>
  <r>
    <x v="0"/>
    <x v="0"/>
    <x v="0"/>
    <x v="0"/>
    <x v="0"/>
    <x v="337"/>
    <x v="1321"/>
    <n v="0"/>
    <x v="0"/>
    <x v="6"/>
    <x v="3"/>
  </r>
  <r>
    <x v="0"/>
    <x v="1"/>
    <x v="1"/>
    <x v="0"/>
    <x v="0"/>
    <x v="337"/>
    <x v="1321"/>
    <n v="0"/>
    <x v="0"/>
    <x v="6"/>
    <x v="3"/>
  </r>
  <r>
    <x v="0"/>
    <x v="2"/>
    <x v="2"/>
    <x v="0"/>
    <x v="0"/>
    <x v="337"/>
    <x v="1321"/>
    <n v="0"/>
    <x v="0"/>
    <x v="6"/>
    <x v="3"/>
  </r>
  <r>
    <x v="0"/>
    <x v="3"/>
    <x v="3"/>
    <x v="0"/>
    <x v="0"/>
    <x v="337"/>
    <x v="1321"/>
    <n v="0"/>
    <x v="0"/>
    <x v="6"/>
    <x v="3"/>
  </r>
  <r>
    <x v="0"/>
    <x v="4"/>
    <x v="4"/>
    <x v="0"/>
    <x v="0"/>
    <x v="337"/>
    <x v="1321"/>
    <n v="0"/>
    <x v="0"/>
    <x v="6"/>
    <x v="3"/>
  </r>
  <r>
    <x v="0"/>
    <x v="0"/>
    <x v="0"/>
    <x v="0"/>
    <x v="0"/>
    <x v="340"/>
    <x v="1322"/>
    <n v="0"/>
    <x v="0"/>
    <x v="6"/>
    <x v="3"/>
  </r>
  <r>
    <x v="0"/>
    <x v="1"/>
    <x v="1"/>
    <x v="0"/>
    <x v="0"/>
    <x v="340"/>
    <x v="1322"/>
    <n v="0"/>
    <x v="0"/>
    <x v="6"/>
    <x v="3"/>
  </r>
  <r>
    <x v="0"/>
    <x v="2"/>
    <x v="2"/>
    <x v="0"/>
    <x v="0"/>
    <x v="340"/>
    <x v="1322"/>
    <n v="0"/>
    <x v="0"/>
    <x v="6"/>
    <x v="3"/>
  </r>
  <r>
    <x v="0"/>
    <x v="3"/>
    <x v="3"/>
    <x v="0"/>
    <x v="0"/>
    <x v="340"/>
    <x v="1322"/>
    <n v="0"/>
    <x v="0"/>
    <x v="6"/>
    <x v="3"/>
  </r>
  <r>
    <x v="0"/>
    <x v="4"/>
    <x v="4"/>
    <x v="0"/>
    <x v="0"/>
    <x v="340"/>
    <x v="1322"/>
    <n v="0"/>
    <x v="0"/>
    <x v="6"/>
    <x v="3"/>
  </r>
  <r>
    <x v="0"/>
    <x v="0"/>
    <x v="0"/>
    <x v="0"/>
    <x v="0"/>
    <x v="382"/>
    <x v="1323"/>
    <n v="0"/>
    <x v="0"/>
    <x v="6"/>
    <x v="3"/>
  </r>
  <r>
    <x v="0"/>
    <x v="1"/>
    <x v="1"/>
    <x v="0"/>
    <x v="0"/>
    <x v="382"/>
    <x v="1323"/>
    <n v="0"/>
    <x v="0"/>
    <x v="6"/>
    <x v="3"/>
  </r>
  <r>
    <x v="0"/>
    <x v="2"/>
    <x v="2"/>
    <x v="0"/>
    <x v="0"/>
    <x v="382"/>
    <x v="1323"/>
    <n v="0"/>
    <x v="0"/>
    <x v="6"/>
    <x v="3"/>
  </r>
  <r>
    <x v="0"/>
    <x v="3"/>
    <x v="3"/>
    <x v="0"/>
    <x v="0"/>
    <x v="382"/>
    <x v="1323"/>
    <n v="0"/>
    <x v="0"/>
    <x v="6"/>
    <x v="3"/>
  </r>
  <r>
    <x v="0"/>
    <x v="4"/>
    <x v="4"/>
    <x v="0"/>
    <x v="0"/>
    <x v="382"/>
    <x v="1323"/>
    <n v="0"/>
    <x v="0"/>
    <x v="6"/>
    <x v="3"/>
  </r>
  <r>
    <x v="0"/>
    <x v="0"/>
    <x v="0"/>
    <x v="0"/>
    <x v="0"/>
    <x v="621"/>
    <x v="1324"/>
    <n v="0"/>
    <x v="0"/>
    <x v="6"/>
    <x v="2"/>
  </r>
  <r>
    <x v="0"/>
    <x v="1"/>
    <x v="1"/>
    <x v="0"/>
    <x v="0"/>
    <x v="621"/>
    <x v="1324"/>
    <n v="0"/>
    <x v="0"/>
    <x v="6"/>
    <x v="2"/>
  </r>
  <r>
    <x v="0"/>
    <x v="2"/>
    <x v="2"/>
    <x v="0"/>
    <x v="0"/>
    <x v="621"/>
    <x v="1324"/>
    <n v="0"/>
    <x v="0"/>
    <x v="6"/>
    <x v="2"/>
  </r>
  <r>
    <x v="0"/>
    <x v="3"/>
    <x v="3"/>
    <x v="0"/>
    <x v="0"/>
    <x v="621"/>
    <x v="1324"/>
    <n v="0"/>
    <x v="0"/>
    <x v="6"/>
    <x v="2"/>
  </r>
  <r>
    <x v="0"/>
    <x v="4"/>
    <x v="4"/>
    <x v="0"/>
    <x v="0"/>
    <x v="621"/>
    <x v="1324"/>
    <n v="0"/>
    <x v="0"/>
    <x v="6"/>
    <x v="2"/>
  </r>
  <r>
    <x v="0"/>
    <x v="0"/>
    <x v="0"/>
    <x v="0"/>
    <x v="0"/>
    <x v="622"/>
    <x v="1325"/>
    <n v="0"/>
    <x v="0"/>
    <x v="6"/>
    <x v="3"/>
  </r>
  <r>
    <x v="0"/>
    <x v="1"/>
    <x v="1"/>
    <x v="0"/>
    <x v="0"/>
    <x v="622"/>
    <x v="1325"/>
    <n v="0"/>
    <x v="0"/>
    <x v="6"/>
    <x v="3"/>
  </r>
  <r>
    <x v="0"/>
    <x v="2"/>
    <x v="2"/>
    <x v="0"/>
    <x v="0"/>
    <x v="622"/>
    <x v="1325"/>
    <n v="0"/>
    <x v="0"/>
    <x v="6"/>
    <x v="3"/>
  </r>
  <r>
    <x v="0"/>
    <x v="3"/>
    <x v="3"/>
    <x v="0"/>
    <x v="0"/>
    <x v="622"/>
    <x v="1325"/>
    <n v="0"/>
    <x v="0"/>
    <x v="6"/>
    <x v="3"/>
  </r>
  <r>
    <x v="0"/>
    <x v="4"/>
    <x v="4"/>
    <x v="0"/>
    <x v="0"/>
    <x v="622"/>
    <x v="1325"/>
    <n v="0"/>
    <x v="0"/>
    <x v="6"/>
    <x v="3"/>
  </r>
  <r>
    <x v="0"/>
    <x v="0"/>
    <x v="0"/>
    <x v="0"/>
    <x v="0"/>
    <x v="623"/>
    <x v="1326"/>
    <n v="0"/>
    <x v="0"/>
    <x v="6"/>
    <x v="3"/>
  </r>
  <r>
    <x v="0"/>
    <x v="1"/>
    <x v="1"/>
    <x v="0"/>
    <x v="0"/>
    <x v="623"/>
    <x v="1326"/>
    <n v="0"/>
    <x v="0"/>
    <x v="6"/>
    <x v="3"/>
  </r>
  <r>
    <x v="0"/>
    <x v="2"/>
    <x v="2"/>
    <x v="0"/>
    <x v="0"/>
    <x v="623"/>
    <x v="1326"/>
    <n v="0"/>
    <x v="0"/>
    <x v="6"/>
    <x v="3"/>
  </r>
  <r>
    <x v="0"/>
    <x v="3"/>
    <x v="3"/>
    <x v="0"/>
    <x v="0"/>
    <x v="623"/>
    <x v="1326"/>
    <n v="0"/>
    <x v="0"/>
    <x v="6"/>
    <x v="3"/>
  </r>
  <r>
    <x v="0"/>
    <x v="4"/>
    <x v="4"/>
    <x v="0"/>
    <x v="0"/>
    <x v="623"/>
    <x v="1326"/>
    <n v="0"/>
    <x v="0"/>
    <x v="6"/>
    <x v="3"/>
  </r>
  <r>
    <x v="0"/>
    <x v="0"/>
    <x v="0"/>
    <x v="0"/>
    <x v="0"/>
    <x v="624"/>
    <x v="1327"/>
    <n v="0"/>
    <x v="0"/>
    <x v="6"/>
    <x v="3"/>
  </r>
  <r>
    <x v="0"/>
    <x v="1"/>
    <x v="1"/>
    <x v="0"/>
    <x v="0"/>
    <x v="624"/>
    <x v="1327"/>
    <n v="0"/>
    <x v="0"/>
    <x v="6"/>
    <x v="3"/>
  </r>
  <r>
    <x v="0"/>
    <x v="2"/>
    <x v="2"/>
    <x v="0"/>
    <x v="0"/>
    <x v="624"/>
    <x v="1327"/>
    <n v="0"/>
    <x v="0"/>
    <x v="6"/>
    <x v="3"/>
  </r>
  <r>
    <x v="0"/>
    <x v="3"/>
    <x v="3"/>
    <x v="0"/>
    <x v="0"/>
    <x v="624"/>
    <x v="1327"/>
    <n v="0"/>
    <x v="0"/>
    <x v="6"/>
    <x v="3"/>
  </r>
  <r>
    <x v="0"/>
    <x v="4"/>
    <x v="4"/>
    <x v="0"/>
    <x v="0"/>
    <x v="624"/>
    <x v="1327"/>
    <n v="0"/>
    <x v="0"/>
    <x v="6"/>
    <x v="3"/>
  </r>
  <r>
    <x v="0"/>
    <x v="0"/>
    <x v="0"/>
    <x v="0"/>
    <x v="0"/>
    <x v="625"/>
    <x v="1328"/>
    <n v="0"/>
    <x v="0"/>
    <x v="6"/>
    <x v="3"/>
  </r>
  <r>
    <x v="0"/>
    <x v="1"/>
    <x v="1"/>
    <x v="0"/>
    <x v="0"/>
    <x v="625"/>
    <x v="1328"/>
    <n v="0"/>
    <x v="0"/>
    <x v="6"/>
    <x v="3"/>
  </r>
  <r>
    <x v="0"/>
    <x v="2"/>
    <x v="2"/>
    <x v="0"/>
    <x v="0"/>
    <x v="625"/>
    <x v="1328"/>
    <n v="0"/>
    <x v="0"/>
    <x v="6"/>
    <x v="3"/>
  </r>
  <r>
    <x v="0"/>
    <x v="3"/>
    <x v="3"/>
    <x v="0"/>
    <x v="0"/>
    <x v="625"/>
    <x v="1328"/>
    <n v="0"/>
    <x v="0"/>
    <x v="6"/>
    <x v="3"/>
  </r>
  <r>
    <x v="0"/>
    <x v="4"/>
    <x v="4"/>
    <x v="0"/>
    <x v="0"/>
    <x v="625"/>
    <x v="1328"/>
    <n v="0"/>
    <x v="0"/>
    <x v="6"/>
    <x v="3"/>
  </r>
  <r>
    <x v="0"/>
    <x v="0"/>
    <x v="0"/>
    <x v="0"/>
    <x v="0"/>
    <x v="626"/>
    <x v="1329"/>
    <n v="0"/>
    <x v="0"/>
    <x v="6"/>
    <x v="3"/>
  </r>
  <r>
    <x v="0"/>
    <x v="1"/>
    <x v="1"/>
    <x v="0"/>
    <x v="0"/>
    <x v="626"/>
    <x v="1329"/>
    <n v="0"/>
    <x v="0"/>
    <x v="6"/>
    <x v="3"/>
  </r>
  <r>
    <x v="0"/>
    <x v="2"/>
    <x v="2"/>
    <x v="0"/>
    <x v="0"/>
    <x v="626"/>
    <x v="1329"/>
    <n v="0"/>
    <x v="0"/>
    <x v="6"/>
    <x v="3"/>
  </r>
  <r>
    <x v="0"/>
    <x v="3"/>
    <x v="3"/>
    <x v="0"/>
    <x v="0"/>
    <x v="626"/>
    <x v="1329"/>
    <n v="0"/>
    <x v="0"/>
    <x v="6"/>
    <x v="3"/>
  </r>
  <r>
    <x v="0"/>
    <x v="4"/>
    <x v="4"/>
    <x v="0"/>
    <x v="0"/>
    <x v="626"/>
    <x v="1329"/>
    <n v="0"/>
    <x v="0"/>
    <x v="6"/>
    <x v="3"/>
  </r>
  <r>
    <x v="0"/>
    <x v="0"/>
    <x v="0"/>
    <x v="0"/>
    <x v="0"/>
    <x v="627"/>
    <x v="1330"/>
    <n v="0"/>
    <x v="0"/>
    <x v="6"/>
    <x v="3"/>
  </r>
  <r>
    <x v="0"/>
    <x v="1"/>
    <x v="1"/>
    <x v="0"/>
    <x v="0"/>
    <x v="627"/>
    <x v="1330"/>
    <n v="0"/>
    <x v="0"/>
    <x v="6"/>
    <x v="3"/>
  </r>
  <r>
    <x v="0"/>
    <x v="2"/>
    <x v="2"/>
    <x v="0"/>
    <x v="0"/>
    <x v="627"/>
    <x v="1330"/>
    <n v="0"/>
    <x v="0"/>
    <x v="6"/>
    <x v="3"/>
  </r>
  <r>
    <x v="0"/>
    <x v="3"/>
    <x v="3"/>
    <x v="0"/>
    <x v="0"/>
    <x v="627"/>
    <x v="1330"/>
    <n v="0"/>
    <x v="0"/>
    <x v="6"/>
    <x v="3"/>
  </r>
  <r>
    <x v="0"/>
    <x v="4"/>
    <x v="4"/>
    <x v="0"/>
    <x v="0"/>
    <x v="627"/>
    <x v="1330"/>
    <n v="0"/>
    <x v="0"/>
    <x v="6"/>
    <x v="3"/>
  </r>
  <r>
    <x v="0"/>
    <x v="0"/>
    <x v="0"/>
    <x v="0"/>
    <x v="0"/>
    <x v="628"/>
    <x v="1331"/>
    <n v="0"/>
    <x v="0"/>
    <x v="6"/>
    <x v="3"/>
  </r>
  <r>
    <x v="0"/>
    <x v="1"/>
    <x v="1"/>
    <x v="0"/>
    <x v="0"/>
    <x v="628"/>
    <x v="1331"/>
    <n v="0"/>
    <x v="0"/>
    <x v="6"/>
    <x v="3"/>
  </r>
  <r>
    <x v="0"/>
    <x v="2"/>
    <x v="2"/>
    <x v="0"/>
    <x v="0"/>
    <x v="628"/>
    <x v="1331"/>
    <n v="0"/>
    <x v="0"/>
    <x v="6"/>
    <x v="3"/>
  </r>
  <r>
    <x v="0"/>
    <x v="3"/>
    <x v="3"/>
    <x v="0"/>
    <x v="0"/>
    <x v="628"/>
    <x v="1331"/>
    <n v="0"/>
    <x v="0"/>
    <x v="6"/>
    <x v="3"/>
  </r>
  <r>
    <x v="0"/>
    <x v="4"/>
    <x v="4"/>
    <x v="0"/>
    <x v="0"/>
    <x v="628"/>
    <x v="1331"/>
    <n v="0"/>
    <x v="0"/>
    <x v="6"/>
    <x v="3"/>
  </r>
  <r>
    <x v="0"/>
    <x v="0"/>
    <x v="0"/>
    <x v="0"/>
    <x v="0"/>
    <x v="629"/>
    <x v="1332"/>
    <n v="70740.92"/>
    <x v="0"/>
    <x v="6"/>
    <x v="2"/>
  </r>
  <r>
    <x v="0"/>
    <x v="1"/>
    <x v="1"/>
    <x v="0"/>
    <x v="0"/>
    <x v="629"/>
    <x v="1332"/>
    <n v="273683.87"/>
    <x v="0"/>
    <x v="6"/>
    <x v="2"/>
  </r>
  <r>
    <x v="0"/>
    <x v="2"/>
    <x v="2"/>
    <x v="0"/>
    <x v="0"/>
    <x v="629"/>
    <x v="1332"/>
    <n v="815753.72"/>
    <x v="0"/>
    <x v="6"/>
    <x v="2"/>
  </r>
  <r>
    <x v="0"/>
    <x v="3"/>
    <x v="3"/>
    <x v="0"/>
    <x v="0"/>
    <x v="629"/>
    <x v="1332"/>
    <n v="389847.58"/>
    <x v="0"/>
    <x v="6"/>
    <x v="2"/>
  </r>
  <r>
    <x v="0"/>
    <x v="4"/>
    <x v="4"/>
    <x v="0"/>
    <x v="0"/>
    <x v="629"/>
    <x v="1332"/>
    <n v="1550026.09"/>
    <x v="0"/>
    <x v="6"/>
    <x v="2"/>
  </r>
  <r>
    <x v="0"/>
    <x v="0"/>
    <x v="0"/>
    <x v="0"/>
    <x v="0"/>
    <x v="630"/>
    <x v="1333"/>
    <n v="0"/>
    <x v="0"/>
    <x v="6"/>
    <x v="3"/>
  </r>
  <r>
    <x v="0"/>
    <x v="1"/>
    <x v="1"/>
    <x v="0"/>
    <x v="0"/>
    <x v="630"/>
    <x v="1333"/>
    <n v="0"/>
    <x v="0"/>
    <x v="6"/>
    <x v="3"/>
  </r>
  <r>
    <x v="0"/>
    <x v="2"/>
    <x v="2"/>
    <x v="0"/>
    <x v="0"/>
    <x v="630"/>
    <x v="1333"/>
    <n v="69.64"/>
    <x v="0"/>
    <x v="6"/>
    <x v="3"/>
  </r>
  <r>
    <x v="0"/>
    <x v="3"/>
    <x v="3"/>
    <x v="0"/>
    <x v="0"/>
    <x v="630"/>
    <x v="1333"/>
    <n v="0"/>
    <x v="0"/>
    <x v="6"/>
    <x v="3"/>
  </r>
  <r>
    <x v="0"/>
    <x v="4"/>
    <x v="4"/>
    <x v="0"/>
    <x v="0"/>
    <x v="630"/>
    <x v="1333"/>
    <n v="69.64"/>
    <x v="0"/>
    <x v="6"/>
    <x v="3"/>
  </r>
  <r>
    <x v="0"/>
    <x v="0"/>
    <x v="0"/>
    <x v="0"/>
    <x v="0"/>
    <x v="631"/>
    <x v="1334"/>
    <n v="0"/>
    <x v="0"/>
    <x v="6"/>
    <x v="3"/>
  </r>
  <r>
    <x v="0"/>
    <x v="1"/>
    <x v="1"/>
    <x v="0"/>
    <x v="0"/>
    <x v="631"/>
    <x v="1334"/>
    <n v="0"/>
    <x v="0"/>
    <x v="6"/>
    <x v="3"/>
  </r>
  <r>
    <x v="0"/>
    <x v="2"/>
    <x v="2"/>
    <x v="0"/>
    <x v="0"/>
    <x v="631"/>
    <x v="1334"/>
    <n v="96772.72"/>
    <x v="0"/>
    <x v="6"/>
    <x v="3"/>
  </r>
  <r>
    <x v="0"/>
    <x v="3"/>
    <x v="3"/>
    <x v="0"/>
    <x v="0"/>
    <x v="631"/>
    <x v="1334"/>
    <n v="87639.679999999993"/>
    <x v="0"/>
    <x v="6"/>
    <x v="3"/>
  </r>
  <r>
    <x v="0"/>
    <x v="4"/>
    <x v="4"/>
    <x v="0"/>
    <x v="0"/>
    <x v="631"/>
    <x v="1334"/>
    <n v="184412.4"/>
    <x v="0"/>
    <x v="6"/>
    <x v="3"/>
  </r>
  <r>
    <x v="0"/>
    <x v="0"/>
    <x v="0"/>
    <x v="0"/>
    <x v="0"/>
    <x v="632"/>
    <x v="1335"/>
    <n v="0"/>
    <x v="0"/>
    <x v="6"/>
    <x v="3"/>
  </r>
  <r>
    <x v="0"/>
    <x v="1"/>
    <x v="1"/>
    <x v="0"/>
    <x v="0"/>
    <x v="632"/>
    <x v="1335"/>
    <n v="0"/>
    <x v="0"/>
    <x v="6"/>
    <x v="3"/>
  </r>
  <r>
    <x v="0"/>
    <x v="2"/>
    <x v="2"/>
    <x v="0"/>
    <x v="0"/>
    <x v="632"/>
    <x v="1335"/>
    <n v="0"/>
    <x v="0"/>
    <x v="6"/>
    <x v="3"/>
  </r>
  <r>
    <x v="0"/>
    <x v="3"/>
    <x v="3"/>
    <x v="0"/>
    <x v="0"/>
    <x v="632"/>
    <x v="1335"/>
    <n v="22590.17"/>
    <x v="0"/>
    <x v="6"/>
    <x v="3"/>
  </r>
  <r>
    <x v="0"/>
    <x v="4"/>
    <x v="4"/>
    <x v="0"/>
    <x v="0"/>
    <x v="632"/>
    <x v="1335"/>
    <n v="22590.17"/>
    <x v="0"/>
    <x v="6"/>
    <x v="3"/>
  </r>
  <r>
    <x v="0"/>
    <x v="0"/>
    <x v="0"/>
    <x v="0"/>
    <x v="0"/>
    <x v="633"/>
    <x v="1336"/>
    <n v="0"/>
    <x v="0"/>
    <x v="6"/>
    <x v="3"/>
  </r>
  <r>
    <x v="0"/>
    <x v="1"/>
    <x v="1"/>
    <x v="0"/>
    <x v="0"/>
    <x v="633"/>
    <x v="1336"/>
    <n v="0"/>
    <x v="0"/>
    <x v="6"/>
    <x v="3"/>
  </r>
  <r>
    <x v="0"/>
    <x v="2"/>
    <x v="2"/>
    <x v="0"/>
    <x v="0"/>
    <x v="633"/>
    <x v="1336"/>
    <n v="663.1"/>
    <x v="0"/>
    <x v="6"/>
    <x v="3"/>
  </r>
  <r>
    <x v="0"/>
    <x v="3"/>
    <x v="3"/>
    <x v="0"/>
    <x v="0"/>
    <x v="633"/>
    <x v="1336"/>
    <n v="129575.79"/>
    <x v="0"/>
    <x v="6"/>
    <x v="3"/>
  </r>
  <r>
    <x v="0"/>
    <x v="4"/>
    <x v="4"/>
    <x v="0"/>
    <x v="0"/>
    <x v="633"/>
    <x v="1336"/>
    <n v="130238.89"/>
    <x v="0"/>
    <x v="6"/>
    <x v="3"/>
  </r>
  <r>
    <x v="0"/>
    <x v="0"/>
    <x v="0"/>
    <x v="0"/>
    <x v="0"/>
    <x v="634"/>
    <x v="1337"/>
    <n v="0"/>
    <x v="0"/>
    <x v="6"/>
    <x v="3"/>
  </r>
  <r>
    <x v="0"/>
    <x v="1"/>
    <x v="1"/>
    <x v="0"/>
    <x v="0"/>
    <x v="634"/>
    <x v="1337"/>
    <n v="0"/>
    <x v="0"/>
    <x v="6"/>
    <x v="3"/>
  </r>
  <r>
    <x v="0"/>
    <x v="2"/>
    <x v="2"/>
    <x v="0"/>
    <x v="0"/>
    <x v="634"/>
    <x v="1337"/>
    <n v="0"/>
    <x v="0"/>
    <x v="6"/>
    <x v="3"/>
  </r>
  <r>
    <x v="0"/>
    <x v="3"/>
    <x v="3"/>
    <x v="0"/>
    <x v="0"/>
    <x v="634"/>
    <x v="1337"/>
    <n v="0"/>
    <x v="0"/>
    <x v="6"/>
    <x v="3"/>
  </r>
  <r>
    <x v="0"/>
    <x v="4"/>
    <x v="4"/>
    <x v="0"/>
    <x v="0"/>
    <x v="634"/>
    <x v="1337"/>
    <n v="0"/>
    <x v="0"/>
    <x v="6"/>
    <x v="3"/>
  </r>
  <r>
    <x v="0"/>
    <x v="0"/>
    <x v="0"/>
    <x v="0"/>
    <x v="0"/>
    <x v="635"/>
    <x v="1338"/>
    <n v="0"/>
    <x v="0"/>
    <x v="6"/>
    <x v="3"/>
  </r>
  <r>
    <x v="0"/>
    <x v="1"/>
    <x v="1"/>
    <x v="0"/>
    <x v="0"/>
    <x v="635"/>
    <x v="1338"/>
    <n v="0"/>
    <x v="0"/>
    <x v="6"/>
    <x v="3"/>
  </r>
  <r>
    <x v="0"/>
    <x v="2"/>
    <x v="2"/>
    <x v="0"/>
    <x v="0"/>
    <x v="635"/>
    <x v="1338"/>
    <n v="0"/>
    <x v="0"/>
    <x v="6"/>
    <x v="3"/>
  </r>
  <r>
    <x v="0"/>
    <x v="3"/>
    <x v="3"/>
    <x v="0"/>
    <x v="0"/>
    <x v="635"/>
    <x v="1338"/>
    <n v="0"/>
    <x v="0"/>
    <x v="6"/>
    <x v="3"/>
  </r>
  <r>
    <x v="0"/>
    <x v="4"/>
    <x v="4"/>
    <x v="0"/>
    <x v="0"/>
    <x v="635"/>
    <x v="1338"/>
    <n v="0"/>
    <x v="0"/>
    <x v="6"/>
    <x v="3"/>
  </r>
  <r>
    <x v="0"/>
    <x v="0"/>
    <x v="0"/>
    <x v="0"/>
    <x v="0"/>
    <x v="636"/>
    <x v="1339"/>
    <n v="0"/>
    <x v="0"/>
    <x v="6"/>
    <x v="3"/>
  </r>
  <r>
    <x v="0"/>
    <x v="1"/>
    <x v="1"/>
    <x v="0"/>
    <x v="0"/>
    <x v="636"/>
    <x v="1339"/>
    <n v="0"/>
    <x v="0"/>
    <x v="6"/>
    <x v="3"/>
  </r>
  <r>
    <x v="0"/>
    <x v="2"/>
    <x v="2"/>
    <x v="0"/>
    <x v="0"/>
    <x v="636"/>
    <x v="1339"/>
    <n v="718157.07"/>
    <x v="0"/>
    <x v="6"/>
    <x v="3"/>
  </r>
  <r>
    <x v="0"/>
    <x v="3"/>
    <x v="3"/>
    <x v="0"/>
    <x v="0"/>
    <x v="636"/>
    <x v="1339"/>
    <n v="0"/>
    <x v="0"/>
    <x v="6"/>
    <x v="3"/>
  </r>
  <r>
    <x v="0"/>
    <x v="4"/>
    <x v="4"/>
    <x v="0"/>
    <x v="0"/>
    <x v="636"/>
    <x v="1339"/>
    <n v="718157.07"/>
    <x v="0"/>
    <x v="6"/>
    <x v="3"/>
  </r>
  <r>
    <x v="0"/>
    <x v="0"/>
    <x v="0"/>
    <x v="0"/>
    <x v="0"/>
    <x v="637"/>
    <x v="1340"/>
    <n v="0"/>
    <x v="0"/>
    <x v="6"/>
    <x v="3"/>
  </r>
  <r>
    <x v="0"/>
    <x v="1"/>
    <x v="1"/>
    <x v="0"/>
    <x v="0"/>
    <x v="637"/>
    <x v="1340"/>
    <n v="0"/>
    <x v="0"/>
    <x v="6"/>
    <x v="3"/>
  </r>
  <r>
    <x v="0"/>
    <x v="2"/>
    <x v="2"/>
    <x v="0"/>
    <x v="0"/>
    <x v="637"/>
    <x v="1340"/>
    <n v="0"/>
    <x v="0"/>
    <x v="6"/>
    <x v="3"/>
  </r>
  <r>
    <x v="0"/>
    <x v="3"/>
    <x v="3"/>
    <x v="0"/>
    <x v="0"/>
    <x v="637"/>
    <x v="1340"/>
    <n v="0"/>
    <x v="0"/>
    <x v="6"/>
    <x v="3"/>
  </r>
  <r>
    <x v="0"/>
    <x v="4"/>
    <x v="4"/>
    <x v="0"/>
    <x v="0"/>
    <x v="637"/>
    <x v="1340"/>
    <n v="0"/>
    <x v="0"/>
    <x v="6"/>
    <x v="3"/>
  </r>
  <r>
    <x v="0"/>
    <x v="0"/>
    <x v="0"/>
    <x v="0"/>
    <x v="0"/>
    <x v="638"/>
    <x v="1341"/>
    <n v="0"/>
    <x v="0"/>
    <x v="6"/>
    <x v="3"/>
  </r>
  <r>
    <x v="0"/>
    <x v="1"/>
    <x v="1"/>
    <x v="0"/>
    <x v="0"/>
    <x v="638"/>
    <x v="1341"/>
    <n v="0"/>
    <x v="0"/>
    <x v="6"/>
    <x v="3"/>
  </r>
  <r>
    <x v="0"/>
    <x v="2"/>
    <x v="2"/>
    <x v="0"/>
    <x v="0"/>
    <x v="638"/>
    <x v="1341"/>
    <n v="0"/>
    <x v="0"/>
    <x v="6"/>
    <x v="3"/>
  </r>
  <r>
    <x v="0"/>
    <x v="3"/>
    <x v="3"/>
    <x v="0"/>
    <x v="0"/>
    <x v="638"/>
    <x v="1341"/>
    <n v="0"/>
    <x v="0"/>
    <x v="6"/>
    <x v="3"/>
  </r>
  <r>
    <x v="0"/>
    <x v="4"/>
    <x v="4"/>
    <x v="0"/>
    <x v="0"/>
    <x v="638"/>
    <x v="1341"/>
    <n v="0"/>
    <x v="0"/>
    <x v="6"/>
    <x v="3"/>
  </r>
  <r>
    <x v="0"/>
    <x v="0"/>
    <x v="0"/>
    <x v="0"/>
    <x v="0"/>
    <x v="639"/>
    <x v="1342"/>
    <n v="0"/>
    <x v="0"/>
    <x v="6"/>
    <x v="3"/>
  </r>
  <r>
    <x v="0"/>
    <x v="1"/>
    <x v="1"/>
    <x v="0"/>
    <x v="0"/>
    <x v="639"/>
    <x v="1342"/>
    <n v="0"/>
    <x v="0"/>
    <x v="6"/>
    <x v="3"/>
  </r>
  <r>
    <x v="0"/>
    <x v="2"/>
    <x v="2"/>
    <x v="0"/>
    <x v="0"/>
    <x v="639"/>
    <x v="1342"/>
    <n v="0"/>
    <x v="0"/>
    <x v="6"/>
    <x v="3"/>
  </r>
  <r>
    <x v="0"/>
    <x v="3"/>
    <x v="3"/>
    <x v="0"/>
    <x v="0"/>
    <x v="639"/>
    <x v="1342"/>
    <n v="0"/>
    <x v="0"/>
    <x v="6"/>
    <x v="3"/>
  </r>
  <r>
    <x v="0"/>
    <x v="4"/>
    <x v="4"/>
    <x v="0"/>
    <x v="0"/>
    <x v="639"/>
    <x v="1342"/>
    <n v="0"/>
    <x v="0"/>
    <x v="6"/>
    <x v="3"/>
  </r>
  <r>
    <x v="0"/>
    <x v="0"/>
    <x v="0"/>
    <x v="0"/>
    <x v="0"/>
    <x v="640"/>
    <x v="1343"/>
    <n v="0"/>
    <x v="0"/>
    <x v="6"/>
    <x v="3"/>
  </r>
  <r>
    <x v="0"/>
    <x v="1"/>
    <x v="1"/>
    <x v="0"/>
    <x v="0"/>
    <x v="640"/>
    <x v="1343"/>
    <n v="159535.38"/>
    <x v="0"/>
    <x v="6"/>
    <x v="3"/>
  </r>
  <r>
    <x v="0"/>
    <x v="2"/>
    <x v="2"/>
    <x v="0"/>
    <x v="0"/>
    <x v="640"/>
    <x v="1343"/>
    <n v="0"/>
    <x v="0"/>
    <x v="6"/>
    <x v="3"/>
  </r>
  <r>
    <x v="0"/>
    <x v="3"/>
    <x v="3"/>
    <x v="0"/>
    <x v="0"/>
    <x v="640"/>
    <x v="1343"/>
    <n v="65392.33"/>
    <x v="0"/>
    <x v="6"/>
    <x v="3"/>
  </r>
  <r>
    <x v="0"/>
    <x v="4"/>
    <x v="4"/>
    <x v="0"/>
    <x v="0"/>
    <x v="640"/>
    <x v="1343"/>
    <n v="224927.71"/>
    <x v="0"/>
    <x v="6"/>
    <x v="3"/>
  </r>
  <r>
    <x v="0"/>
    <x v="0"/>
    <x v="0"/>
    <x v="0"/>
    <x v="0"/>
    <x v="641"/>
    <x v="1344"/>
    <n v="0"/>
    <x v="0"/>
    <x v="6"/>
    <x v="3"/>
  </r>
  <r>
    <x v="0"/>
    <x v="1"/>
    <x v="1"/>
    <x v="0"/>
    <x v="0"/>
    <x v="641"/>
    <x v="1344"/>
    <n v="114148.49"/>
    <x v="0"/>
    <x v="6"/>
    <x v="3"/>
  </r>
  <r>
    <x v="0"/>
    <x v="2"/>
    <x v="2"/>
    <x v="0"/>
    <x v="0"/>
    <x v="641"/>
    <x v="1344"/>
    <n v="0"/>
    <x v="0"/>
    <x v="6"/>
    <x v="3"/>
  </r>
  <r>
    <x v="0"/>
    <x v="3"/>
    <x v="3"/>
    <x v="0"/>
    <x v="0"/>
    <x v="641"/>
    <x v="1344"/>
    <n v="84649.61"/>
    <x v="0"/>
    <x v="6"/>
    <x v="3"/>
  </r>
  <r>
    <x v="0"/>
    <x v="4"/>
    <x v="4"/>
    <x v="0"/>
    <x v="0"/>
    <x v="641"/>
    <x v="1344"/>
    <n v="198798.1"/>
    <x v="0"/>
    <x v="6"/>
    <x v="3"/>
  </r>
  <r>
    <x v="0"/>
    <x v="0"/>
    <x v="0"/>
    <x v="0"/>
    <x v="0"/>
    <x v="642"/>
    <x v="1345"/>
    <n v="0"/>
    <x v="0"/>
    <x v="6"/>
    <x v="3"/>
  </r>
  <r>
    <x v="0"/>
    <x v="1"/>
    <x v="1"/>
    <x v="0"/>
    <x v="0"/>
    <x v="642"/>
    <x v="1345"/>
    <n v="0"/>
    <x v="0"/>
    <x v="6"/>
    <x v="3"/>
  </r>
  <r>
    <x v="0"/>
    <x v="2"/>
    <x v="2"/>
    <x v="0"/>
    <x v="0"/>
    <x v="642"/>
    <x v="1345"/>
    <n v="0"/>
    <x v="0"/>
    <x v="6"/>
    <x v="3"/>
  </r>
  <r>
    <x v="0"/>
    <x v="3"/>
    <x v="3"/>
    <x v="0"/>
    <x v="0"/>
    <x v="642"/>
    <x v="1345"/>
    <n v="0"/>
    <x v="0"/>
    <x v="6"/>
    <x v="3"/>
  </r>
  <r>
    <x v="0"/>
    <x v="4"/>
    <x v="4"/>
    <x v="0"/>
    <x v="0"/>
    <x v="642"/>
    <x v="1345"/>
    <n v="0"/>
    <x v="0"/>
    <x v="6"/>
    <x v="3"/>
  </r>
  <r>
    <x v="0"/>
    <x v="0"/>
    <x v="0"/>
    <x v="0"/>
    <x v="0"/>
    <x v="643"/>
    <x v="1346"/>
    <n v="3352.04"/>
    <x v="0"/>
    <x v="6"/>
    <x v="3"/>
  </r>
  <r>
    <x v="0"/>
    <x v="1"/>
    <x v="1"/>
    <x v="0"/>
    <x v="0"/>
    <x v="643"/>
    <x v="1346"/>
    <n v="0"/>
    <x v="0"/>
    <x v="6"/>
    <x v="3"/>
  </r>
  <r>
    <x v="0"/>
    <x v="2"/>
    <x v="2"/>
    <x v="0"/>
    <x v="0"/>
    <x v="643"/>
    <x v="1346"/>
    <n v="0"/>
    <x v="0"/>
    <x v="6"/>
    <x v="3"/>
  </r>
  <r>
    <x v="0"/>
    <x v="3"/>
    <x v="3"/>
    <x v="0"/>
    <x v="0"/>
    <x v="643"/>
    <x v="1346"/>
    <n v="0"/>
    <x v="0"/>
    <x v="6"/>
    <x v="3"/>
  </r>
  <r>
    <x v="0"/>
    <x v="4"/>
    <x v="4"/>
    <x v="0"/>
    <x v="0"/>
    <x v="643"/>
    <x v="1346"/>
    <n v="3352.04"/>
    <x v="0"/>
    <x v="6"/>
    <x v="3"/>
  </r>
  <r>
    <x v="0"/>
    <x v="0"/>
    <x v="0"/>
    <x v="0"/>
    <x v="0"/>
    <x v="644"/>
    <x v="1347"/>
    <n v="63829.54"/>
    <x v="0"/>
    <x v="6"/>
    <x v="3"/>
  </r>
  <r>
    <x v="0"/>
    <x v="1"/>
    <x v="1"/>
    <x v="0"/>
    <x v="0"/>
    <x v="644"/>
    <x v="1347"/>
    <n v="0"/>
    <x v="0"/>
    <x v="6"/>
    <x v="3"/>
  </r>
  <r>
    <x v="0"/>
    <x v="2"/>
    <x v="2"/>
    <x v="0"/>
    <x v="0"/>
    <x v="644"/>
    <x v="1347"/>
    <n v="0"/>
    <x v="0"/>
    <x v="6"/>
    <x v="3"/>
  </r>
  <r>
    <x v="0"/>
    <x v="3"/>
    <x v="3"/>
    <x v="0"/>
    <x v="0"/>
    <x v="644"/>
    <x v="1347"/>
    <n v="0"/>
    <x v="0"/>
    <x v="6"/>
    <x v="3"/>
  </r>
  <r>
    <x v="0"/>
    <x v="4"/>
    <x v="4"/>
    <x v="0"/>
    <x v="0"/>
    <x v="644"/>
    <x v="1347"/>
    <n v="63829.54"/>
    <x v="0"/>
    <x v="6"/>
    <x v="3"/>
  </r>
  <r>
    <x v="0"/>
    <x v="0"/>
    <x v="0"/>
    <x v="0"/>
    <x v="0"/>
    <x v="645"/>
    <x v="1348"/>
    <n v="0"/>
    <x v="0"/>
    <x v="6"/>
    <x v="3"/>
  </r>
  <r>
    <x v="0"/>
    <x v="1"/>
    <x v="1"/>
    <x v="0"/>
    <x v="0"/>
    <x v="645"/>
    <x v="1348"/>
    <n v="0"/>
    <x v="0"/>
    <x v="6"/>
    <x v="3"/>
  </r>
  <r>
    <x v="0"/>
    <x v="2"/>
    <x v="2"/>
    <x v="0"/>
    <x v="0"/>
    <x v="645"/>
    <x v="1348"/>
    <n v="0"/>
    <x v="0"/>
    <x v="6"/>
    <x v="3"/>
  </r>
  <r>
    <x v="0"/>
    <x v="3"/>
    <x v="3"/>
    <x v="0"/>
    <x v="0"/>
    <x v="645"/>
    <x v="1348"/>
    <n v="0"/>
    <x v="0"/>
    <x v="6"/>
    <x v="3"/>
  </r>
  <r>
    <x v="0"/>
    <x v="4"/>
    <x v="4"/>
    <x v="0"/>
    <x v="0"/>
    <x v="645"/>
    <x v="1348"/>
    <n v="0"/>
    <x v="0"/>
    <x v="6"/>
    <x v="3"/>
  </r>
  <r>
    <x v="0"/>
    <x v="0"/>
    <x v="0"/>
    <x v="0"/>
    <x v="0"/>
    <x v="646"/>
    <x v="1349"/>
    <n v="2396.7800000000002"/>
    <x v="0"/>
    <x v="6"/>
    <x v="3"/>
  </r>
  <r>
    <x v="0"/>
    <x v="1"/>
    <x v="1"/>
    <x v="0"/>
    <x v="0"/>
    <x v="646"/>
    <x v="1349"/>
    <n v="0"/>
    <x v="0"/>
    <x v="6"/>
    <x v="3"/>
  </r>
  <r>
    <x v="0"/>
    <x v="2"/>
    <x v="2"/>
    <x v="0"/>
    <x v="0"/>
    <x v="646"/>
    <x v="1349"/>
    <n v="0"/>
    <x v="0"/>
    <x v="6"/>
    <x v="3"/>
  </r>
  <r>
    <x v="0"/>
    <x v="3"/>
    <x v="3"/>
    <x v="0"/>
    <x v="0"/>
    <x v="646"/>
    <x v="1349"/>
    <n v="0"/>
    <x v="0"/>
    <x v="6"/>
    <x v="3"/>
  </r>
  <r>
    <x v="0"/>
    <x v="4"/>
    <x v="4"/>
    <x v="0"/>
    <x v="0"/>
    <x v="646"/>
    <x v="1349"/>
    <n v="2396.7800000000002"/>
    <x v="0"/>
    <x v="6"/>
    <x v="3"/>
  </r>
  <r>
    <x v="0"/>
    <x v="0"/>
    <x v="0"/>
    <x v="0"/>
    <x v="0"/>
    <x v="647"/>
    <x v="1350"/>
    <n v="0"/>
    <x v="0"/>
    <x v="6"/>
    <x v="3"/>
  </r>
  <r>
    <x v="0"/>
    <x v="1"/>
    <x v="1"/>
    <x v="0"/>
    <x v="0"/>
    <x v="647"/>
    <x v="1350"/>
    <n v="0"/>
    <x v="0"/>
    <x v="6"/>
    <x v="3"/>
  </r>
  <r>
    <x v="0"/>
    <x v="2"/>
    <x v="2"/>
    <x v="0"/>
    <x v="0"/>
    <x v="647"/>
    <x v="1350"/>
    <n v="0"/>
    <x v="0"/>
    <x v="6"/>
    <x v="3"/>
  </r>
  <r>
    <x v="0"/>
    <x v="3"/>
    <x v="3"/>
    <x v="0"/>
    <x v="0"/>
    <x v="647"/>
    <x v="1350"/>
    <n v="0"/>
    <x v="0"/>
    <x v="6"/>
    <x v="3"/>
  </r>
  <r>
    <x v="0"/>
    <x v="4"/>
    <x v="4"/>
    <x v="0"/>
    <x v="0"/>
    <x v="647"/>
    <x v="1350"/>
    <n v="0"/>
    <x v="0"/>
    <x v="6"/>
    <x v="3"/>
  </r>
  <r>
    <x v="0"/>
    <x v="0"/>
    <x v="0"/>
    <x v="0"/>
    <x v="0"/>
    <x v="648"/>
    <x v="1351"/>
    <n v="0"/>
    <x v="0"/>
    <x v="6"/>
    <x v="3"/>
  </r>
  <r>
    <x v="0"/>
    <x v="1"/>
    <x v="1"/>
    <x v="0"/>
    <x v="0"/>
    <x v="648"/>
    <x v="1351"/>
    <n v="0"/>
    <x v="0"/>
    <x v="6"/>
    <x v="3"/>
  </r>
  <r>
    <x v="0"/>
    <x v="2"/>
    <x v="2"/>
    <x v="0"/>
    <x v="0"/>
    <x v="648"/>
    <x v="1351"/>
    <n v="0"/>
    <x v="0"/>
    <x v="6"/>
    <x v="3"/>
  </r>
  <r>
    <x v="0"/>
    <x v="3"/>
    <x v="3"/>
    <x v="0"/>
    <x v="0"/>
    <x v="648"/>
    <x v="1351"/>
    <n v="0"/>
    <x v="0"/>
    <x v="6"/>
    <x v="3"/>
  </r>
  <r>
    <x v="0"/>
    <x v="4"/>
    <x v="4"/>
    <x v="0"/>
    <x v="0"/>
    <x v="648"/>
    <x v="1351"/>
    <n v="0"/>
    <x v="0"/>
    <x v="6"/>
    <x v="3"/>
  </r>
  <r>
    <x v="0"/>
    <x v="0"/>
    <x v="0"/>
    <x v="0"/>
    <x v="0"/>
    <x v="649"/>
    <x v="1352"/>
    <n v="0"/>
    <x v="0"/>
    <x v="6"/>
    <x v="3"/>
  </r>
  <r>
    <x v="0"/>
    <x v="1"/>
    <x v="1"/>
    <x v="0"/>
    <x v="0"/>
    <x v="649"/>
    <x v="1352"/>
    <n v="0"/>
    <x v="0"/>
    <x v="6"/>
    <x v="3"/>
  </r>
  <r>
    <x v="0"/>
    <x v="2"/>
    <x v="2"/>
    <x v="0"/>
    <x v="0"/>
    <x v="649"/>
    <x v="1352"/>
    <n v="0"/>
    <x v="0"/>
    <x v="6"/>
    <x v="3"/>
  </r>
  <r>
    <x v="0"/>
    <x v="3"/>
    <x v="3"/>
    <x v="0"/>
    <x v="0"/>
    <x v="649"/>
    <x v="1352"/>
    <n v="0"/>
    <x v="0"/>
    <x v="6"/>
    <x v="3"/>
  </r>
  <r>
    <x v="0"/>
    <x v="4"/>
    <x v="4"/>
    <x v="0"/>
    <x v="0"/>
    <x v="649"/>
    <x v="1352"/>
    <n v="0"/>
    <x v="0"/>
    <x v="6"/>
    <x v="3"/>
  </r>
  <r>
    <x v="0"/>
    <x v="0"/>
    <x v="0"/>
    <x v="0"/>
    <x v="0"/>
    <x v="650"/>
    <x v="1353"/>
    <n v="0"/>
    <x v="0"/>
    <x v="6"/>
    <x v="3"/>
  </r>
  <r>
    <x v="0"/>
    <x v="1"/>
    <x v="1"/>
    <x v="0"/>
    <x v="0"/>
    <x v="650"/>
    <x v="1353"/>
    <n v="0"/>
    <x v="0"/>
    <x v="6"/>
    <x v="3"/>
  </r>
  <r>
    <x v="0"/>
    <x v="2"/>
    <x v="2"/>
    <x v="0"/>
    <x v="0"/>
    <x v="650"/>
    <x v="1353"/>
    <n v="91.19"/>
    <x v="0"/>
    <x v="6"/>
    <x v="3"/>
  </r>
  <r>
    <x v="0"/>
    <x v="3"/>
    <x v="3"/>
    <x v="0"/>
    <x v="0"/>
    <x v="650"/>
    <x v="1353"/>
    <n v="0"/>
    <x v="0"/>
    <x v="6"/>
    <x v="3"/>
  </r>
  <r>
    <x v="0"/>
    <x v="4"/>
    <x v="4"/>
    <x v="0"/>
    <x v="0"/>
    <x v="650"/>
    <x v="1353"/>
    <n v="91.19"/>
    <x v="0"/>
    <x v="6"/>
    <x v="3"/>
  </r>
  <r>
    <x v="0"/>
    <x v="0"/>
    <x v="0"/>
    <x v="0"/>
    <x v="0"/>
    <x v="651"/>
    <x v="1354"/>
    <n v="0"/>
    <x v="0"/>
    <x v="6"/>
    <x v="3"/>
  </r>
  <r>
    <x v="0"/>
    <x v="1"/>
    <x v="1"/>
    <x v="0"/>
    <x v="0"/>
    <x v="651"/>
    <x v="1354"/>
    <n v="0"/>
    <x v="0"/>
    <x v="6"/>
    <x v="3"/>
  </r>
  <r>
    <x v="0"/>
    <x v="2"/>
    <x v="2"/>
    <x v="0"/>
    <x v="0"/>
    <x v="651"/>
    <x v="1354"/>
    <n v="0"/>
    <x v="0"/>
    <x v="6"/>
    <x v="3"/>
  </r>
  <r>
    <x v="0"/>
    <x v="3"/>
    <x v="3"/>
    <x v="0"/>
    <x v="0"/>
    <x v="651"/>
    <x v="1354"/>
    <n v="0"/>
    <x v="0"/>
    <x v="6"/>
    <x v="3"/>
  </r>
  <r>
    <x v="0"/>
    <x v="4"/>
    <x v="4"/>
    <x v="0"/>
    <x v="0"/>
    <x v="651"/>
    <x v="1354"/>
    <n v="0"/>
    <x v="0"/>
    <x v="6"/>
    <x v="3"/>
  </r>
  <r>
    <x v="0"/>
    <x v="0"/>
    <x v="0"/>
    <x v="0"/>
    <x v="0"/>
    <x v="652"/>
    <x v="1355"/>
    <n v="0"/>
    <x v="0"/>
    <x v="6"/>
    <x v="3"/>
  </r>
  <r>
    <x v="0"/>
    <x v="1"/>
    <x v="1"/>
    <x v="0"/>
    <x v="0"/>
    <x v="652"/>
    <x v="1355"/>
    <n v="0"/>
    <x v="0"/>
    <x v="6"/>
    <x v="3"/>
  </r>
  <r>
    <x v="0"/>
    <x v="2"/>
    <x v="2"/>
    <x v="0"/>
    <x v="0"/>
    <x v="652"/>
    <x v="1355"/>
    <n v="0"/>
    <x v="0"/>
    <x v="6"/>
    <x v="3"/>
  </r>
  <r>
    <x v="0"/>
    <x v="3"/>
    <x v="3"/>
    <x v="0"/>
    <x v="0"/>
    <x v="652"/>
    <x v="1355"/>
    <n v="0"/>
    <x v="0"/>
    <x v="6"/>
    <x v="3"/>
  </r>
  <r>
    <x v="0"/>
    <x v="4"/>
    <x v="4"/>
    <x v="0"/>
    <x v="0"/>
    <x v="652"/>
    <x v="1355"/>
    <n v="0"/>
    <x v="0"/>
    <x v="6"/>
    <x v="3"/>
  </r>
  <r>
    <x v="0"/>
    <x v="0"/>
    <x v="0"/>
    <x v="0"/>
    <x v="0"/>
    <x v="653"/>
    <x v="1356"/>
    <n v="0"/>
    <x v="0"/>
    <x v="6"/>
    <x v="3"/>
  </r>
  <r>
    <x v="0"/>
    <x v="1"/>
    <x v="1"/>
    <x v="0"/>
    <x v="0"/>
    <x v="653"/>
    <x v="1356"/>
    <n v="0"/>
    <x v="0"/>
    <x v="6"/>
    <x v="3"/>
  </r>
  <r>
    <x v="0"/>
    <x v="2"/>
    <x v="2"/>
    <x v="0"/>
    <x v="0"/>
    <x v="653"/>
    <x v="1356"/>
    <n v="0"/>
    <x v="0"/>
    <x v="6"/>
    <x v="3"/>
  </r>
  <r>
    <x v="0"/>
    <x v="3"/>
    <x v="3"/>
    <x v="0"/>
    <x v="0"/>
    <x v="653"/>
    <x v="1356"/>
    <n v="0"/>
    <x v="0"/>
    <x v="6"/>
    <x v="3"/>
  </r>
  <r>
    <x v="0"/>
    <x v="4"/>
    <x v="4"/>
    <x v="0"/>
    <x v="0"/>
    <x v="653"/>
    <x v="1356"/>
    <n v="0"/>
    <x v="0"/>
    <x v="6"/>
    <x v="3"/>
  </r>
  <r>
    <x v="0"/>
    <x v="0"/>
    <x v="0"/>
    <x v="0"/>
    <x v="0"/>
    <x v="654"/>
    <x v="1357"/>
    <n v="0"/>
    <x v="0"/>
    <x v="6"/>
    <x v="3"/>
  </r>
  <r>
    <x v="0"/>
    <x v="1"/>
    <x v="1"/>
    <x v="0"/>
    <x v="0"/>
    <x v="654"/>
    <x v="1357"/>
    <n v="0"/>
    <x v="0"/>
    <x v="6"/>
    <x v="3"/>
  </r>
  <r>
    <x v="0"/>
    <x v="2"/>
    <x v="2"/>
    <x v="0"/>
    <x v="0"/>
    <x v="654"/>
    <x v="1357"/>
    <n v="0"/>
    <x v="0"/>
    <x v="6"/>
    <x v="3"/>
  </r>
  <r>
    <x v="0"/>
    <x v="3"/>
    <x v="3"/>
    <x v="0"/>
    <x v="0"/>
    <x v="654"/>
    <x v="1357"/>
    <n v="0"/>
    <x v="0"/>
    <x v="6"/>
    <x v="3"/>
  </r>
  <r>
    <x v="0"/>
    <x v="4"/>
    <x v="4"/>
    <x v="0"/>
    <x v="0"/>
    <x v="654"/>
    <x v="1357"/>
    <n v="0"/>
    <x v="0"/>
    <x v="6"/>
    <x v="3"/>
  </r>
  <r>
    <x v="0"/>
    <x v="0"/>
    <x v="0"/>
    <x v="0"/>
    <x v="0"/>
    <x v="655"/>
    <x v="1358"/>
    <n v="0"/>
    <x v="0"/>
    <x v="6"/>
    <x v="3"/>
  </r>
  <r>
    <x v="0"/>
    <x v="1"/>
    <x v="1"/>
    <x v="0"/>
    <x v="0"/>
    <x v="655"/>
    <x v="1358"/>
    <n v="0"/>
    <x v="0"/>
    <x v="6"/>
    <x v="3"/>
  </r>
  <r>
    <x v="0"/>
    <x v="2"/>
    <x v="2"/>
    <x v="0"/>
    <x v="0"/>
    <x v="655"/>
    <x v="1358"/>
    <n v="0"/>
    <x v="0"/>
    <x v="6"/>
    <x v="3"/>
  </r>
  <r>
    <x v="0"/>
    <x v="3"/>
    <x v="3"/>
    <x v="0"/>
    <x v="0"/>
    <x v="655"/>
    <x v="1358"/>
    <n v="0"/>
    <x v="0"/>
    <x v="6"/>
    <x v="3"/>
  </r>
  <r>
    <x v="0"/>
    <x v="4"/>
    <x v="4"/>
    <x v="0"/>
    <x v="0"/>
    <x v="655"/>
    <x v="1358"/>
    <n v="0"/>
    <x v="0"/>
    <x v="6"/>
    <x v="3"/>
  </r>
  <r>
    <x v="0"/>
    <x v="0"/>
    <x v="0"/>
    <x v="0"/>
    <x v="0"/>
    <x v="656"/>
    <x v="1359"/>
    <n v="0"/>
    <x v="0"/>
    <x v="6"/>
    <x v="3"/>
  </r>
  <r>
    <x v="0"/>
    <x v="1"/>
    <x v="1"/>
    <x v="0"/>
    <x v="0"/>
    <x v="656"/>
    <x v="1359"/>
    <n v="0"/>
    <x v="0"/>
    <x v="6"/>
    <x v="3"/>
  </r>
  <r>
    <x v="0"/>
    <x v="2"/>
    <x v="2"/>
    <x v="0"/>
    <x v="0"/>
    <x v="656"/>
    <x v="1359"/>
    <n v="0"/>
    <x v="0"/>
    <x v="6"/>
    <x v="3"/>
  </r>
  <r>
    <x v="0"/>
    <x v="3"/>
    <x v="3"/>
    <x v="0"/>
    <x v="0"/>
    <x v="656"/>
    <x v="1359"/>
    <n v="0"/>
    <x v="0"/>
    <x v="6"/>
    <x v="3"/>
  </r>
  <r>
    <x v="0"/>
    <x v="4"/>
    <x v="4"/>
    <x v="0"/>
    <x v="0"/>
    <x v="656"/>
    <x v="1359"/>
    <n v="0"/>
    <x v="0"/>
    <x v="6"/>
    <x v="3"/>
  </r>
  <r>
    <x v="0"/>
    <x v="0"/>
    <x v="0"/>
    <x v="0"/>
    <x v="0"/>
    <x v="657"/>
    <x v="1360"/>
    <n v="1162.56"/>
    <x v="0"/>
    <x v="6"/>
    <x v="3"/>
  </r>
  <r>
    <x v="0"/>
    <x v="1"/>
    <x v="1"/>
    <x v="0"/>
    <x v="0"/>
    <x v="657"/>
    <x v="1360"/>
    <n v="0"/>
    <x v="0"/>
    <x v="6"/>
    <x v="3"/>
  </r>
  <r>
    <x v="0"/>
    <x v="2"/>
    <x v="2"/>
    <x v="0"/>
    <x v="0"/>
    <x v="657"/>
    <x v="1360"/>
    <n v="0"/>
    <x v="0"/>
    <x v="6"/>
    <x v="3"/>
  </r>
  <r>
    <x v="0"/>
    <x v="3"/>
    <x v="3"/>
    <x v="0"/>
    <x v="0"/>
    <x v="657"/>
    <x v="1360"/>
    <n v="0"/>
    <x v="0"/>
    <x v="6"/>
    <x v="3"/>
  </r>
  <r>
    <x v="0"/>
    <x v="4"/>
    <x v="4"/>
    <x v="0"/>
    <x v="0"/>
    <x v="657"/>
    <x v="1360"/>
    <n v="1162.56"/>
    <x v="0"/>
    <x v="6"/>
    <x v="3"/>
  </r>
  <r>
    <x v="0"/>
    <x v="0"/>
    <x v="0"/>
    <x v="0"/>
    <x v="0"/>
    <x v="658"/>
    <x v="1361"/>
    <n v="0"/>
    <x v="0"/>
    <x v="6"/>
    <x v="3"/>
  </r>
  <r>
    <x v="0"/>
    <x v="1"/>
    <x v="1"/>
    <x v="0"/>
    <x v="0"/>
    <x v="658"/>
    <x v="1361"/>
    <n v="0"/>
    <x v="0"/>
    <x v="6"/>
    <x v="3"/>
  </r>
  <r>
    <x v="0"/>
    <x v="2"/>
    <x v="2"/>
    <x v="0"/>
    <x v="0"/>
    <x v="658"/>
    <x v="1361"/>
    <n v="0"/>
    <x v="0"/>
    <x v="6"/>
    <x v="3"/>
  </r>
  <r>
    <x v="0"/>
    <x v="3"/>
    <x v="3"/>
    <x v="0"/>
    <x v="0"/>
    <x v="658"/>
    <x v="1361"/>
    <n v="0"/>
    <x v="0"/>
    <x v="6"/>
    <x v="3"/>
  </r>
  <r>
    <x v="0"/>
    <x v="4"/>
    <x v="4"/>
    <x v="0"/>
    <x v="0"/>
    <x v="658"/>
    <x v="1361"/>
    <n v="0"/>
    <x v="0"/>
    <x v="6"/>
    <x v="3"/>
  </r>
  <r>
    <x v="0"/>
    <x v="0"/>
    <x v="0"/>
    <x v="0"/>
    <x v="0"/>
    <x v="659"/>
    <x v="1362"/>
    <n v="0"/>
    <x v="0"/>
    <x v="6"/>
    <x v="3"/>
  </r>
  <r>
    <x v="0"/>
    <x v="1"/>
    <x v="1"/>
    <x v="0"/>
    <x v="0"/>
    <x v="659"/>
    <x v="1362"/>
    <n v="0"/>
    <x v="0"/>
    <x v="6"/>
    <x v="3"/>
  </r>
  <r>
    <x v="0"/>
    <x v="2"/>
    <x v="2"/>
    <x v="0"/>
    <x v="0"/>
    <x v="659"/>
    <x v="1362"/>
    <n v="0"/>
    <x v="0"/>
    <x v="6"/>
    <x v="3"/>
  </r>
  <r>
    <x v="0"/>
    <x v="3"/>
    <x v="3"/>
    <x v="0"/>
    <x v="0"/>
    <x v="659"/>
    <x v="1362"/>
    <n v="0"/>
    <x v="0"/>
    <x v="6"/>
    <x v="3"/>
  </r>
  <r>
    <x v="0"/>
    <x v="4"/>
    <x v="4"/>
    <x v="0"/>
    <x v="0"/>
    <x v="659"/>
    <x v="1362"/>
    <n v="0"/>
    <x v="0"/>
    <x v="6"/>
    <x v="3"/>
  </r>
  <r>
    <x v="0"/>
    <x v="0"/>
    <x v="0"/>
    <x v="0"/>
    <x v="0"/>
    <x v="660"/>
    <x v="1363"/>
    <n v="3164002.03"/>
    <x v="0"/>
    <x v="6"/>
    <x v="2"/>
  </r>
  <r>
    <x v="0"/>
    <x v="1"/>
    <x v="1"/>
    <x v="0"/>
    <x v="0"/>
    <x v="660"/>
    <x v="1363"/>
    <n v="1921288.17"/>
    <x v="0"/>
    <x v="6"/>
    <x v="2"/>
  </r>
  <r>
    <x v="0"/>
    <x v="2"/>
    <x v="2"/>
    <x v="0"/>
    <x v="0"/>
    <x v="660"/>
    <x v="1363"/>
    <n v="12337585.66"/>
    <x v="0"/>
    <x v="6"/>
    <x v="2"/>
  </r>
  <r>
    <x v="0"/>
    <x v="3"/>
    <x v="3"/>
    <x v="0"/>
    <x v="0"/>
    <x v="660"/>
    <x v="1363"/>
    <n v="1374149.87"/>
    <x v="0"/>
    <x v="6"/>
    <x v="2"/>
  </r>
  <r>
    <x v="0"/>
    <x v="4"/>
    <x v="4"/>
    <x v="0"/>
    <x v="0"/>
    <x v="660"/>
    <x v="1363"/>
    <n v="18797025.73"/>
    <x v="0"/>
    <x v="6"/>
    <x v="2"/>
  </r>
  <r>
    <x v="0"/>
    <x v="0"/>
    <x v="0"/>
    <x v="0"/>
    <x v="0"/>
    <x v="661"/>
    <x v="1364"/>
    <n v="0"/>
    <x v="0"/>
    <x v="6"/>
    <x v="3"/>
  </r>
  <r>
    <x v="0"/>
    <x v="1"/>
    <x v="1"/>
    <x v="0"/>
    <x v="0"/>
    <x v="661"/>
    <x v="1364"/>
    <n v="1921288.17"/>
    <x v="0"/>
    <x v="6"/>
    <x v="3"/>
  </r>
  <r>
    <x v="0"/>
    <x v="2"/>
    <x v="2"/>
    <x v="0"/>
    <x v="0"/>
    <x v="661"/>
    <x v="1364"/>
    <n v="0"/>
    <x v="0"/>
    <x v="6"/>
    <x v="3"/>
  </r>
  <r>
    <x v="0"/>
    <x v="3"/>
    <x v="3"/>
    <x v="0"/>
    <x v="0"/>
    <x v="661"/>
    <x v="1364"/>
    <n v="0"/>
    <x v="0"/>
    <x v="6"/>
    <x v="3"/>
  </r>
  <r>
    <x v="0"/>
    <x v="4"/>
    <x v="4"/>
    <x v="0"/>
    <x v="0"/>
    <x v="661"/>
    <x v="1364"/>
    <n v="1921288.17"/>
    <x v="0"/>
    <x v="6"/>
    <x v="3"/>
  </r>
  <r>
    <x v="0"/>
    <x v="0"/>
    <x v="0"/>
    <x v="0"/>
    <x v="0"/>
    <x v="662"/>
    <x v="1365"/>
    <n v="3164002.03"/>
    <x v="0"/>
    <x v="6"/>
    <x v="3"/>
  </r>
  <r>
    <x v="0"/>
    <x v="1"/>
    <x v="1"/>
    <x v="0"/>
    <x v="0"/>
    <x v="662"/>
    <x v="1365"/>
    <n v="0"/>
    <x v="0"/>
    <x v="6"/>
    <x v="3"/>
  </r>
  <r>
    <x v="0"/>
    <x v="2"/>
    <x v="2"/>
    <x v="0"/>
    <x v="0"/>
    <x v="662"/>
    <x v="1365"/>
    <n v="12337585.66"/>
    <x v="0"/>
    <x v="6"/>
    <x v="3"/>
  </r>
  <r>
    <x v="0"/>
    <x v="3"/>
    <x v="3"/>
    <x v="0"/>
    <x v="0"/>
    <x v="662"/>
    <x v="1365"/>
    <n v="1172527.8999999999"/>
    <x v="0"/>
    <x v="6"/>
    <x v="3"/>
  </r>
  <r>
    <x v="0"/>
    <x v="4"/>
    <x v="4"/>
    <x v="0"/>
    <x v="0"/>
    <x v="662"/>
    <x v="1365"/>
    <n v="16674115.59"/>
    <x v="0"/>
    <x v="6"/>
    <x v="3"/>
  </r>
  <r>
    <x v="0"/>
    <x v="0"/>
    <x v="0"/>
    <x v="0"/>
    <x v="0"/>
    <x v="179"/>
    <x v="1366"/>
    <n v="0"/>
    <x v="0"/>
    <x v="6"/>
    <x v="3"/>
  </r>
  <r>
    <x v="0"/>
    <x v="1"/>
    <x v="1"/>
    <x v="0"/>
    <x v="0"/>
    <x v="179"/>
    <x v="1366"/>
    <n v="0"/>
    <x v="0"/>
    <x v="6"/>
    <x v="3"/>
  </r>
  <r>
    <x v="0"/>
    <x v="2"/>
    <x v="2"/>
    <x v="0"/>
    <x v="0"/>
    <x v="179"/>
    <x v="1366"/>
    <n v="0"/>
    <x v="0"/>
    <x v="6"/>
    <x v="3"/>
  </r>
  <r>
    <x v="0"/>
    <x v="3"/>
    <x v="3"/>
    <x v="0"/>
    <x v="0"/>
    <x v="179"/>
    <x v="1366"/>
    <n v="0"/>
    <x v="0"/>
    <x v="6"/>
    <x v="3"/>
  </r>
  <r>
    <x v="0"/>
    <x v="4"/>
    <x v="4"/>
    <x v="0"/>
    <x v="0"/>
    <x v="179"/>
    <x v="1366"/>
    <n v="0"/>
    <x v="0"/>
    <x v="6"/>
    <x v="3"/>
  </r>
  <r>
    <x v="0"/>
    <x v="0"/>
    <x v="0"/>
    <x v="0"/>
    <x v="0"/>
    <x v="180"/>
    <x v="1367"/>
    <n v="0"/>
    <x v="0"/>
    <x v="6"/>
    <x v="3"/>
  </r>
  <r>
    <x v="0"/>
    <x v="1"/>
    <x v="1"/>
    <x v="0"/>
    <x v="0"/>
    <x v="180"/>
    <x v="1367"/>
    <n v="0"/>
    <x v="0"/>
    <x v="6"/>
    <x v="3"/>
  </r>
  <r>
    <x v="0"/>
    <x v="2"/>
    <x v="2"/>
    <x v="0"/>
    <x v="0"/>
    <x v="180"/>
    <x v="1367"/>
    <n v="0"/>
    <x v="0"/>
    <x v="6"/>
    <x v="3"/>
  </r>
  <r>
    <x v="0"/>
    <x v="3"/>
    <x v="3"/>
    <x v="0"/>
    <x v="0"/>
    <x v="180"/>
    <x v="1367"/>
    <n v="201621.97"/>
    <x v="0"/>
    <x v="6"/>
    <x v="3"/>
  </r>
  <r>
    <x v="0"/>
    <x v="4"/>
    <x v="4"/>
    <x v="0"/>
    <x v="0"/>
    <x v="180"/>
    <x v="1367"/>
    <n v="201621.97"/>
    <x v="0"/>
    <x v="6"/>
    <x v="3"/>
  </r>
  <r>
    <x v="0"/>
    <x v="0"/>
    <x v="0"/>
    <x v="0"/>
    <x v="0"/>
    <x v="555"/>
    <x v="1368"/>
    <n v="0"/>
    <x v="0"/>
    <x v="6"/>
    <x v="3"/>
  </r>
  <r>
    <x v="0"/>
    <x v="1"/>
    <x v="1"/>
    <x v="0"/>
    <x v="0"/>
    <x v="555"/>
    <x v="1368"/>
    <n v="0"/>
    <x v="0"/>
    <x v="6"/>
    <x v="3"/>
  </r>
  <r>
    <x v="0"/>
    <x v="2"/>
    <x v="2"/>
    <x v="0"/>
    <x v="0"/>
    <x v="555"/>
    <x v="1368"/>
    <n v="0"/>
    <x v="0"/>
    <x v="6"/>
    <x v="3"/>
  </r>
  <r>
    <x v="0"/>
    <x v="3"/>
    <x v="3"/>
    <x v="0"/>
    <x v="0"/>
    <x v="555"/>
    <x v="1368"/>
    <n v="0"/>
    <x v="0"/>
    <x v="6"/>
    <x v="3"/>
  </r>
  <r>
    <x v="0"/>
    <x v="4"/>
    <x v="4"/>
    <x v="0"/>
    <x v="0"/>
    <x v="555"/>
    <x v="1368"/>
    <n v="0"/>
    <x v="0"/>
    <x v="6"/>
    <x v="3"/>
  </r>
  <r>
    <x v="0"/>
    <x v="0"/>
    <x v="0"/>
    <x v="0"/>
    <x v="0"/>
    <x v="663"/>
    <x v="1369"/>
    <n v="0"/>
    <x v="0"/>
    <x v="6"/>
    <x v="3"/>
  </r>
  <r>
    <x v="0"/>
    <x v="1"/>
    <x v="1"/>
    <x v="0"/>
    <x v="0"/>
    <x v="663"/>
    <x v="1369"/>
    <n v="0"/>
    <x v="0"/>
    <x v="6"/>
    <x v="3"/>
  </r>
  <r>
    <x v="0"/>
    <x v="2"/>
    <x v="2"/>
    <x v="0"/>
    <x v="0"/>
    <x v="663"/>
    <x v="1369"/>
    <n v="0"/>
    <x v="0"/>
    <x v="6"/>
    <x v="3"/>
  </r>
  <r>
    <x v="0"/>
    <x v="3"/>
    <x v="3"/>
    <x v="0"/>
    <x v="0"/>
    <x v="663"/>
    <x v="1369"/>
    <n v="0"/>
    <x v="0"/>
    <x v="6"/>
    <x v="3"/>
  </r>
  <r>
    <x v="0"/>
    <x v="4"/>
    <x v="4"/>
    <x v="0"/>
    <x v="0"/>
    <x v="663"/>
    <x v="1369"/>
    <n v="0"/>
    <x v="0"/>
    <x v="6"/>
    <x v="3"/>
  </r>
  <r>
    <x v="0"/>
    <x v="0"/>
    <x v="0"/>
    <x v="0"/>
    <x v="0"/>
    <x v="183"/>
    <x v="1370"/>
    <n v="0"/>
    <x v="0"/>
    <x v="6"/>
    <x v="3"/>
  </r>
  <r>
    <x v="0"/>
    <x v="1"/>
    <x v="1"/>
    <x v="0"/>
    <x v="0"/>
    <x v="183"/>
    <x v="1370"/>
    <n v="0"/>
    <x v="0"/>
    <x v="6"/>
    <x v="3"/>
  </r>
  <r>
    <x v="0"/>
    <x v="2"/>
    <x v="2"/>
    <x v="0"/>
    <x v="0"/>
    <x v="183"/>
    <x v="1370"/>
    <n v="0"/>
    <x v="0"/>
    <x v="6"/>
    <x v="3"/>
  </r>
  <r>
    <x v="0"/>
    <x v="3"/>
    <x v="3"/>
    <x v="0"/>
    <x v="0"/>
    <x v="183"/>
    <x v="1370"/>
    <n v="0"/>
    <x v="0"/>
    <x v="6"/>
    <x v="3"/>
  </r>
  <r>
    <x v="0"/>
    <x v="4"/>
    <x v="4"/>
    <x v="0"/>
    <x v="0"/>
    <x v="183"/>
    <x v="1370"/>
    <n v="0"/>
    <x v="0"/>
    <x v="6"/>
    <x v="3"/>
  </r>
  <r>
    <x v="0"/>
    <x v="0"/>
    <x v="0"/>
    <x v="0"/>
    <x v="0"/>
    <x v="184"/>
    <x v="1371"/>
    <n v="0"/>
    <x v="0"/>
    <x v="6"/>
    <x v="3"/>
  </r>
  <r>
    <x v="0"/>
    <x v="1"/>
    <x v="1"/>
    <x v="0"/>
    <x v="0"/>
    <x v="184"/>
    <x v="1371"/>
    <n v="0"/>
    <x v="0"/>
    <x v="6"/>
    <x v="3"/>
  </r>
  <r>
    <x v="0"/>
    <x v="2"/>
    <x v="2"/>
    <x v="0"/>
    <x v="0"/>
    <x v="184"/>
    <x v="1371"/>
    <n v="0"/>
    <x v="0"/>
    <x v="6"/>
    <x v="3"/>
  </r>
  <r>
    <x v="0"/>
    <x v="3"/>
    <x v="3"/>
    <x v="0"/>
    <x v="0"/>
    <x v="184"/>
    <x v="1371"/>
    <n v="0"/>
    <x v="0"/>
    <x v="6"/>
    <x v="3"/>
  </r>
  <r>
    <x v="0"/>
    <x v="4"/>
    <x v="4"/>
    <x v="0"/>
    <x v="0"/>
    <x v="184"/>
    <x v="1371"/>
    <n v="0"/>
    <x v="0"/>
    <x v="6"/>
    <x v="3"/>
  </r>
  <r>
    <x v="0"/>
    <x v="0"/>
    <x v="0"/>
    <x v="0"/>
    <x v="0"/>
    <x v="664"/>
    <x v="1372"/>
    <n v="0"/>
    <x v="0"/>
    <x v="6"/>
    <x v="2"/>
  </r>
  <r>
    <x v="0"/>
    <x v="1"/>
    <x v="1"/>
    <x v="0"/>
    <x v="0"/>
    <x v="664"/>
    <x v="1372"/>
    <n v="132777.03"/>
    <x v="0"/>
    <x v="6"/>
    <x v="2"/>
  </r>
  <r>
    <x v="0"/>
    <x v="2"/>
    <x v="2"/>
    <x v="0"/>
    <x v="0"/>
    <x v="664"/>
    <x v="1372"/>
    <n v="0"/>
    <x v="0"/>
    <x v="6"/>
    <x v="2"/>
  </r>
  <r>
    <x v="0"/>
    <x v="3"/>
    <x v="3"/>
    <x v="0"/>
    <x v="0"/>
    <x v="664"/>
    <x v="1372"/>
    <n v="0"/>
    <x v="0"/>
    <x v="6"/>
    <x v="2"/>
  </r>
  <r>
    <x v="0"/>
    <x v="4"/>
    <x v="4"/>
    <x v="0"/>
    <x v="0"/>
    <x v="664"/>
    <x v="1372"/>
    <n v="132777.03"/>
    <x v="0"/>
    <x v="6"/>
    <x v="2"/>
  </r>
  <r>
    <x v="0"/>
    <x v="0"/>
    <x v="0"/>
    <x v="0"/>
    <x v="0"/>
    <x v="312"/>
    <x v="1373"/>
    <n v="0"/>
    <x v="0"/>
    <x v="6"/>
    <x v="3"/>
  </r>
  <r>
    <x v="0"/>
    <x v="1"/>
    <x v="1"/>
    <x v="0"/>
    <x v="0"/>
    <x v="312"/>
    <x v="1373"/>
    <n v="132777.03"/>
    <x v="0"/>
    <x v="6"/>
    <x v="3"/>
  </r>
  <r>
    <x v="0"/>
    <x v="2"/>
    <x v="2"/>
    <x v="0"/>
    <x v="0"/>
    <x v="312"/>
    <x v="1373"/>
    <n v="0"/>
    <x v="0"/>
    <x v="6"/>
    <x v="3"/>
  </r>
  <r>
    <x v="0"/>
    <x v="3"/>
    <x v="3"/>
    <x v="0"/>
    <x v="0"/>
    <x v="312"/>
    <x v="1373"/>
    <n v="0"/>
    <x v="0"/>
    <x v="6"/>
    <x v="3"/>
  </r>
  <r>
    <x v="0"/>
    <x v="4"/>
    <x v="4"/>
    <x v="0"/>
    <x v="0"/>
    <x v="312"/>
    <x v="1373"/>
    <n v="132777.03"/>
    <x v="0"/>
    <x v="6"/>
    <x v="3"/>
  </r>
  <r>
    <x v="0"/>
    <x v="0"/>
    <x v="0"/>
    <x v="0"/>
    <x v="0"/>
    <x v="322"/>
    <x v="1374"/>
    <n v="0"/>
    <x v="0"/>
    <x v="6"/>
    <x v="3"/>
  </r>
  <r>
    <x v="0"/>
    <x v="1"/>
    <x v="1"/>
    <x v="0"/>
    <x v="0"/>
    <x v="322"/>
    <x v="1374"/>
    <n v="0"/>
    <x v="0"/>
    <x v="6"/>
    <x v="3"/>
  </r>
  <r>
    <x v="0"/>
    <x v="2"/>
    <x v="2"/>
    <x v="0"/>
    <x v="0"/>
    <x v="322"/>
    <x v="1374"/>
    <n v="0"/>
    <x v="0"/>
    <x v="6"/>
    <x v="3"/>
  </r>
  <r>
    <x v="0"/>
    <x v="3"/>
    <x v="3"/>
    <x v="0"/>
    <x v="0"/>
    <x v="322"/>
    <x v="1374"/>
    <n v="0"/>
    <x v="0"/>
    <x v="6"/>
    <x v="3"/>
  </r>
  <r>
    <x v="0"/>
    <x v="4"/>
    <x v="4"/>
    <x v="0"/>
    <x v="0"/>
    <x v="322"/>
    <x v="1374"/>
    <n v="0"/>
    <x v="0"/>
    <x v="6"/>
    <x v="3"/>
  </r>
  <r>
    <x v="0"/>
    <x v="0"/>
    <x v="0"/>
    <x v="0"/>
    <x v="0"/>
    <x v="665"/>
    <x v="1375"/>
    <n v="0"/>
    <x v="0"/>
    <x v="6"/>
    <x v="2"/>
  </r>
  <r>
    <x v="0"/>
    <x v="1"/>
    <x v="1"/>
    <x v="0"/>
    <x v="0"/>
    <x v="665"/>
    <x v="1375"/>
    <n v="0"/>
    <x v="0"/>
    <x v="6"/>
    <x v="2"/>
  </r>
  <r>
    <x v="0"/>
    <x v="2"/>
    <x v="2"/>
    <x v="0"/>
    <x v="0"/>
    <x v="665"/>
    <x v="1375"/>
    <n v="0"/>
    <x v="0"/>
    <x v="6"/>
    <x v="2"/>
  </r>
  <r>
    <x v="0"/>
    <x v="3"/>
    <x v="3"/>
    <x v="0"/>
    <x v="0"/>
    <x v="665"/>
    <x v="1375"/>
    <n v="0"/>
    <x v="0"/>
    <x v="6"/>
    <x v="2"/>
  </r>
  <r>
    <x v="0"/>
    <x v="4"/>
    <x v="4"/>
    <x v="0"/>
    <x v="0"/>
    <x v="665"/>
    <x v="1375"/>
    <n v="0"/>
    <x v="0"/>
    <x v="6"/>
    <x v="2"/>
  </r>
  <r>
    <x v="0"/>
    <x v="0"/>
    <x v="0"/>
    <x v="0"/>
    <x v="0"/>
    <x v="359"/>
    <x v="1376"/>
    <n v="0"/>
    <x v="0"/>
    <x v="6"/>
    <x v="3"/>
  </r>
  <r>
    <x v="0"/>
    <x v="1"/>
    <x v="1"/>
    <x v="0"/>
    <x v="0"/>
    <x v="359"/>
    <x v="1376"/>
    <n v="0"/>
    <x v="0"/>
    <x v="6"/>
    <x v="3"/>
  </r>
  <r>
    <x v="0"/>
    <x v="2"/>
    <x v="2"/>
    <x v="0"/>
    <x v="0"/>
    <x v="359"/>
    <x v="1376"/>
    <n v="0"/>
    <x v="0"/>
    <x v="6"/>
    <x v="3"/>
  </r>
  <r>
    <x v="0"/>
    <x v="3"/>
    <x v="3"/>
    <x v="0"/>
    <x v="0"/>
    <x v="359"/>
    <x v="1376"/>
    <n v="0"/>
    <x v="0"/>
    <x v="6"/>
    <x v="3"/>
  </r>
  <r>
    <x v="0"/>
    <x v="4"/>
    <x v="4"/>
    <x v="0"/>
    <x v="0"/>
    <x v="359"/>
    <x v="1376"/>
    <n v="0"/>
    <x v="0"/>
    <x v="6"/>
    <x v="3"/>
  </r>
  <r>
    <x v="0"/>
    <x v="0"/>
    <x v="0"/>
    <x v="0"/>
    <x v="0"/>
    <x v="360"/>
    <x v="1377"/>
    <n v="0"/>
    <x v="0"/>
    <x v="6"/>
    <x v="3"/>
  </r>
  <r>
    <x v="0"/>
    <x v="1"/>
    <x v="1"/>
    <x v="0"/>
    <x v="0"/>
    <x v="360"/>
    <x v="1377"/>
    <n v="0"/>
    <x v="0"/>
    <x v="6"/>
    <x v="3"/>
  </r>
  <r>
    <x v="0"/>
    <x v="2"/>
    <x v="2"/>
    <x v="0"/>
    <x v="0"/>
    <x v="360"/>
    <x v="1377"/>
    <n v="0"/>
    <x v="0"/>
    <x v="6"/>
    <x v="3"/>
  </r>
  <r>
    <x v="0"/>
    <x v="3"/>
    <x v="3"/>
    <x v="0"/>
    <x v="0"/>
    <x v="360"/>
    <x v="1377"/>
    <n v="0"/>
    <x v="0"/>
    <x v="6"/>
    <x v="3"/>
  </r>
  <r>
    <x v="0"/>
    <x v="4"/>
    <x v="4"/>
    <x v="0"/>
    <x v="0"/>
    <x v="360"/>
    <x v="1377"/>
    <n v="0"/>
    <x v="0"/>
    <x v="6"/>
    <x v="3"/>
  </r>
  <r>
    <x v="0"/>
    <x v="0"/>
    <x v="0"/>
    <x v="0"/>
    <x v="0"/>
    <x v="666"/>
    <x v="1378"/>
    <n v="6375339"/>
    <x v="0"/>
    <x v="6"/>
    <x v="2"/>
  </r>
  <r>
    <x v="0"/>
    <x v="1"/>
    <x v="1"/>
    <x v="0"/>
    <x v="0"/>
    <x v="666"/>
    <x v="1378"/>
    <n v="0"/>
    <x v="0"/>
    <x v="6"/>
    <x v="2"/>
  </r>
  <r>
    <x v="0"/>
    <x v="2"/>
    <x v="2"/>
    <x v="0"/>
    <x v="0"/>
    <x v="666"/>
    <x v="1378"/>
    <n v="0"/>
    <x v="0"/>
    <x v="6"/>
    <x v="2"/>
  </r>
  <r>
    <x v="0"/>
    <x v="3"/>
    <x v="3"/>
    <x v="0"/>
    <x v="0"/>
    <x v="666"/>
    <x v="1378"/>
    <n v="28000"/>
    <x v="0"/>
    <x v="6"/>
    <x v="2"/>
  </r>
  <r>
    <x v="0"/>
    <x v="4"/>
    <x v="4"/>
    <x v="0"/>
    <x v="0"/>
    <x v="666"/>
    <x v="1378"/>
    <n v="6403339"/>
    <x v="0"/>
    <x v="6"/>
    <x v="2"/>
  </r>
  <r>
    <x v="0"/>
    <x v="0"/>
    <x v="0"/>
    <x v="0"/>
    <x v="0"/>
    <x v="667"/>
    <x v="1379"/>
    <n v="0"/>
    <x v="0"/>
    <x v="6"/>
    <x v="3"/>
  </r>
  <r>
    <x v="0"/>
    <x v="1"/>
    <x v="1"/>
    <x v="0"/>
    <x v="0"/>
    <x v="667"/>
    <x v="1379"/>
    <n v="0"/>
    <x v="0"/>
    <x v="6"/>
    <x v="3"/>
  </r>
  <r>
    <x v="0"/>
    <x v="2"/>
    <x v="2"/>
    <x v="0"/>
    <x v="0"/>
    <x v="667"/>
    <x v="1379"/>
    <n v="0"/>
    <x v="0"/>
    <x v="6"/>
    <x v="3"/>
  </r>
  <r>
    <x v="0"/>
    <x v="3"/>
    <x v="3"/>
    <x v="0"/>
    <x v="0"/>
    <x v="667"/>
    <x v="1379"/>
    <n v="0"/>
    <x v="0"/>
    <x v="6"/>
    <x v="3"/>
  </r>
  <r>
    <x v="0"/>
    <x v="4"/>
    <x v="4"/>
    <x v="0"/>
    <x v="0"/>
    <x v="667"/>
    <x v="1379"/>
    <n v="0"/>
    <x v="0"/>
    <x v="6"/>
    <x v="3"/>
  </r>
  <r>
    <x v="0"/>
    <x v="0"/>
    <x v="0"/>
    <x v="0"/>
    <x v="0"/>
    <x v="668"/>
    <x v="1380"/>
    <n v="6375339"/>
    <x v="0"/>
    <x v="6"/>
    <x v="3"/>
  </r>
  <r>
    <x v="0"/>
    <x v="1"/>
    <x v="1"/>
    <x v="0"/>
    <x v="0"/>
    <x v="668"/>
    <x v="1380"/>
    <n v="0"/>
    <x v="0"/>
    <x v="6"/>
    <x v="3"/>
  </r>
  <r>
    <x v="0"/>
    <x v="2"/>
    <x v="2"/>
    <x v="0"/>
    <x v="0"/>
    <x v="668"/>
    <x v="1380"/>
    <n v="0"/>
    <x v="0"/>
    <x v="6"/>
    <x v="3"/>
  </r>
  <r>
    <x v="0"/>
    <x v="3"/>
    <x v="3"/>
    <x v="0"/>
    <x v="0"/>
    <x v="668"/>
    <x v="1380"/>
    <n v="28000"/>
    <x v="0"/>
    <x v="6"/>
    <x v="3"/>
  </r>
  <r>
    <x v="0"/>
    <x v="4"/>
    <x v="4"/>
    <x v="0"/>
    <x v="0"/>
    <x v="668"/>
    <x v="1380"/>
    <n v="6403339"/>
    <x v="0"/>
    <x v="6"/>
    <x v="3"/>
  </r>
  <r>
    <x v="0"/>
    <x v="0"/>
    <x v="0"/>
    <x v="0"/>
    <x v="0"/>
    <x v="190"/>
    <x v="1381"/>
    <n v="0"/>
    <x v="0"/>
    <x v="6"/>
    <x v="3"/>
  </r>
  <r>
    <x v="0"/>
    <x v="1"/>
    <x v="1"/>
    <x v="0"/>
    <x v="0"/>
    <x v="190"/>
    <x v="1381"/>
    <n v="0"/>
    <x v="0"/>
    <x v="6"/>
    <x v="3"/>
  </r>
  <r>
    <x v="0"/>
    <x v="2"/>
    <x v="2"/>
    <x v="0"/>
    <x v="0"/>
    <x v="190"/>
    <x v="1381"/>
    <n v="0"/>
    <x v="0"/>
    <x v="6"/>
    <x v="3"/>
  </r>
  <r>
    <x v="0"/>
    <x v="3"/>
    <x v="3"/>
    <x v="0"/>
    <x v="0"/>
    <x v="190"/>
    <x v="1381"/>
    <n v="0"/>
    <x v="0"/>
    <x v="6"/>
    <x v="3"/>
  </r>
  <r>
    <x v="0"/>
    <x v="4"/>
    <x v="4"/>
    <x v="0"/>
    <x v="0"/>
    <x v="190"/>
    <x v="1381"/>
    <n v="0"/>
    <x v="0"/>
    <x v="6"/>
    <x v="3"/>
  </r>
</pivotCacheRecords>
</file>

<file path=xl/pivotCache/pivotCacheRecords4.xml><?xml version="1.0" encoding="utf-8"?>
<pivotCacheRecords xmlns="http://schemas.openxmlformats.org/spreadsheetml/2006/main" xmlns:r="http://schemas.openxmlformats.org/officeDocument/2006/relationships" count="36">
  <r>
    <x v="0"/>
    <x v="0"/>
    <x v="0"/>
    <x v="0"/>
    <x v="0"/>
    <n v="185584543.81"/>
    <x v="0"/>
  </r>
  <r>
    <x v="0"/>
    <x v="0"/>
    <x v="0"/>
    <x v="0"/>
    <x v="1"/>
    <n v="164324105.62"/>
    <x v="1"/>
  </r>
  <r>
    <x v="0"/>
    <x v="0"/>
    <x v="0"/>
    <x v="0"/>
    <x v="2"/>
    <n v="52397546.590000004"/>
    <x v="2"/>
  </r>
  <r>
    <x v="0"/>
    <x v="0"/>
    <x v="0"/>
    <x v="0"/>
    <x v="3"/>
    <n v="106004550.97"/>
    <x v="3"/>
  </r>
  <r>
    <x v="0"/>
    <x v="0"/>
    <x v="0"/>
    <x v="0"/>
    <x v="4"/>
    <n v="21000216.640000001"/>
    <x v="4"/>
  </r>
  <r>
    <x v="0"/>
    <x v="0"/>
    <x v="0"/>
    <x v="0"/>
    <x v="5"/>
    <n v="16461515.789999999"/>
    <x v="5"/>
  </r>
  <r>
    <x v="0"/>
    <x v="0"/>
    <x v="0"/>
    <x v="0"/>
    <x v="6"/>
    <n v="147070641.35999998"/>
    <x v="6"/>
  </r>
  <r>
    <x v="0"/>
    <x v="0"/>
    <x v="0"/>
    <x v="0"/>
    <x v="7"/>
    <n v="18865765.559999999"/>
    <x v="7"/>
  </r>
  <r>
    <x v="0"/>
    <x v="0"/>
    <x v="0"/>
    <x v="0"/>
    <x v="8"/>
    <n v="260221.54999999996"/>
    <x v="8"/>
  </r>
  <r>
    <x v="0"/>
    <x v="1"/>
    <x v="1"/>
    <x v="0"/>
    <x v="0"/>
    <n v="52376778.75"/>
    <x v="0"/>
  </r>
  <r>
    <x v="0"/>
    <x v="1"/>
    <x v="1"/>
    <x v="0"/>
    <x v="1"/>
    <n v="47571309.710000001"/>
    <x v="1"/>
  </r>
  <r>
    <x v="0"/>
    <x v="1"/>
    <x v="1"/>
    <x v="0"/>
    <x v="2"/>
    <n v="10912615.619999999"/>
    <x v="2"/>
  </r>
  <r>
    <x v="0"/>
    <x v="1"/>
    <x v="1"/>
    <x v="0"/>
    <x v="3"/>
    <n v="32299888.859999999"/>
    <x v="3"/>
  </r>
  <r>
    <x v="0"/>
    <x v="1"/>
    <x v="1"/>
    <x v="0"/>
    <x v="4"/>
    <n v="4762585.41"/>
    <x v="4"/>
  </r>
  <r>
    <x v="0"/>
    <x v="1"/>
    <x v="1"/>
    <x v="0"/>
    <x v="5"/>
    <n v="4047225.87"/>
    <x v="5"/>
  </r>
  <r>
    <x v="0"/>
    <x v="1"/>
    <x v="1"/>
    <x v="0"/>
    <x v="6"/>
    <n v="41472953.300000004"/>
    <x v="6"/>
  </r>
  <r>
    <x v="0"/>
    <x v="1"/>
    <x v="1"/>
    <x v="0"/>
    <x v="7"/>
    <n v="4875868"/>
    <x v="7"/>
  </r>
  <r>
    <x v="0"/>
    <x v="1"/>
    <x v="1"/>
    <x v="0"/>
    <x v="8"/>
    <n v="42883.630000000005"/>
    <x v="8"/>
  </r>
  <r>
    <x v="0"/>
    <x v="2"/>
    <x v="2"/>
    <x v="0"/>
    <x v="0"/>
    <n v="708619337.00999999"/>
    <x v="0"/>
  </r>
  <r>
    <x v="0"/>
    <x v="2"/>
    <x v="2"/>
    <x v="0"/>
    <x v="1"/>
    <n v="652707573.96000004"/>
    <x v="1"/>
  </r>
  <r>
    <x v="0"/>
    <x v="2"/>
    <x v="2"/>
    <x v="0"/>
    <x v="2"/>
    <n v="189616831.97999999"/>
    <x v="2"/>
  </r>
  <r>
    <x v="0"/>
    <x v="2"/>
    <x v="2"/>
    <x v="0"/>
    <x v="3"/>
    <n v="397379674.02999997"/>
    <x v="3"/>
  </r>
  <r>
    <x v="0"/>
    <x v="2"/>
    <x v="2"/>
    <x v="0"/>
    <x v="4"/>
    <n v="55723314.399999999"/>
    <x v="4"/>
  </r>
  <r>
    <x v="0"/>
    <x v="2"/>
    <x v="2"/>
    <x v="0"/>
    <x v="5"/>
    <n v="110273765.04000001"/>
    <x v="5"/>
  </r>
  <r>
    <x v="0"/>
    <x v="2"/>
    <x v="2"/>
    <x v="0"/>
    <x v="6"/>
    <n v="395290372.17000002"/>
    <x v="6"/>
  </r>
  <r>
    <x v="0"/>
    <x v="2"/>
    <x v="2"/>
    <x v="0"/>
    <x v="7"/>
    <n v="53637471.329999998"/>
    <x v="7"/>
  </r>
  <r>
    <x v="0"/>
    <x v="2"/>
    <x v="2"/>
    <x v="0"/>
    <x v="8"/>
    <n v="188448.6499999995"/>
    <x v="8"/>
  </r>
  <r>
    <x v="0"/>
    <x v="3"/>
    <x v="3"/>
    <x v="0"/>
    <x v="0"/>
    <n v="27894986.649999999"/>
    <x v="0"/>
  </r>
  <r>
    <x v="0"/>
    <x v="3"/>
    <x v="3"/>
    <x v="0"/>
    <x v="1"/>
    <n v="25667096.23"/>
    <x v="1"/>
  </r>
  <r>
    <x v="0"/>
    <x v="3"/>
    <x v="3"/>
    <x v="0"/>
    <x v="2"/>
    <n v="5226921.38"/>
    <x v="2"/>
  </r>
  <r>
    <x v="0"/>
    <x v="3"/>
    <x v="3"/>
    <x v="0"/>
    <x v="3"/>
    <n v="17495172.780000001"/>
    <x v="3"/>
  </r>
  <r>
    <x v="0"/>
    <x v="3"/>
    <x v="3"/>
    <x v="0"/>
    <x v="4"/>
    <n v="2287927.66"/>
    <x v="4"/>
  </r>
  <r>
    <x v="0"/>
    <x v="3"/>
    <x v="3"/>
    <x v="0"/>
    <x v="5"/>
    <n v="3277862.62"/>
    <x v="5"/>
  </r>
  <r>
    <x v="0"/>
    <x v="3"/>
    <x v="3"/>
    <x v="0"/>
    <x v="6"/>
    <n v="19520536.050000001"/>
    <x v="6"/>
  </r>
  <r>
    <x v="0"/>
    <x v="3"/>
    <x v="3"/>
    <x v="0"/>
    <x v="7"/>
    <n v="2372167.23"/>
    <x v="7"/>
  </r>
  <r>
    <x v="0"/>
    <x v="3"/>
    <x v="3"/>
    <x v="0"/>
    <x v="8"/>
    <n v="-60037.240000000005"/>
    <x v="8"/>
  </r>
</pivotCacheRecords>
</file>

<file path=xl/pivotCache/pivotCacheRecords5.xml><?xml version="1.0" encoding="utf-8"?>
<pivotCacheRecords xmlns="http://schemas.openxmlformats.org/spreadsheetml/2006/main" xmlns:r="http://schemas.openxmlformats.org/officeDocument/2006/relationships" count="5">
  <r>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x v="1"/>
    <x v="1"/>
    <x v="0"/>
    <x v="0"/>
    <x v="0"/>
    <x v="1"/>
    <x v="1"/>
    <x v="1"/>
    <x v="1"/>
    <x v="1"/>
    <x v="1"/>
    <x v="1"/>
    <x v="1"/>
    <x v="1"/>
    <x v="1"/>
    <x v="1"/>
    <x v="1"/>
    <x v="1"/>
    <x v="1"/>
    <x v="1"/>
    <x v="1"/>
    <x v="1"/>
    <x v="1"/>
    <x v="1"/>
    <x v="1"/>
    <x v="1"/>
    <x v="1"/>
    <x v="1"/>
    <x v="1"/>
    <x v="1"/>
    <x v="1"/>
    <x v="1"/>
    <x v="1"/>
    <x v="1"/>
    <x v="1"/>
    <x v="1"/>
    <x v="1"/>
    <x v="0"/>
    <x v="1"/>
    <x v="1"/>
    <x v="1"/>
    <x v="0"/>
    <x v="1"/>
    <x v="0"/>
    <x v="0"/>
    <x v="1"/>
    <x v="1"/>
    <x v="1"/>
    <x v="1"/>
    <x v="1"/>
    <x v="1"/>
    <x v="1"/>
    <x v="1"/>
    <x v="0"/>
    <x v="0"/>
    <x v="1"/>
    <x v="0"/>
    <x v="0"/>
    <x v="1"/>
    <x v="1"/>
    <x v="1"/>
    <x v="1"/>
    <x v="1"/>
    <x v="1"/>
    <x v="1"/>
    <x v="1"/>
    <x v="1"/>
    <x v="0"/>
    <x v="0"/>
    <x v="1"/>
    <x v="0"/>
    <x v="0"/>
    <x v="1"/>
    <x v="1"/>
    <x v="1"/>
    <x v="1"/>
    <x v="1"/>
    <x v="1"/>
    <x v="1"/>
    <x v="0"/>
    <x v="0"/>
    <x v="1"/>
    <x v="0"/>
    <x v="0"/>
    <x v="1"/>
    <x v="1"/>
    <x v="1"/>
    <x v="1"/>
    <x v="1"/>
    <x v="1"/>
    <x v="1"/>
    <x v="1"/>
    <x v="1"/>
    <x v="0"/>
    <x v="0"/>
    <x v="1"/>
    <x v="0"/>
    <x v="0"/>
    <x v="1"/>
    <x v="1"/>
    <x v="1"/>
    <x v="1"/>
    <x v="1"/>
    <x v="1"/>
    <x v="1"/>
    <x v="1"/>
    <x v="1"/>
    <x v="1"/>
    <x v="1"/>
    <x v="1"/>
    <x v="1"/>
    <x v="1"/>
    <x v="1"/>
    <x v="1"/>
    <x v="1"/>
    <x v="1"/>
    <x v="1"/>
    <x v="1"/>
    <x v="1"/>
    <x v="1"/>
    <x v="1"/>
    <x v="1"/>
    <x v="1"/>
    <x v="1"/>
    <x v="1"/>
    <x v="1"/>
    <x v="1"/>
    <x v="1"/>
    <x v="1"/>
    <x v="1"/>
    <x v="1"/>
    <x v="0"/>
    <x v="0"/>
    <x v="0"/>
    <x v="0"/>
    <x v="0"/>
    <x v="0"/>
    <x v="0"/>
    <x v="0"/>
    <x v="1"/>
    <x v="1"/>
    <x v="1"/>
    <x v="1"/>
    <x v="0"/>
    <x v="0"/>
    <x v="0"/>
    <x v="0"/>
    <x v="0"/>
    <x v="0"/>
    <x v="0"/>
    <x v="0"/>
    <x v="1"/>
    <x v="1"/>
    <x v="1"/>
    <x v="1"/>
    <x v="0"/>
    <x v="0"/>
    <x v="1"/>
    <x v="0"/>
    <x v="0"/>
    <x v="1"/>
    <x v="1"/>
    <x v="1"/>
    <x v="1"/>
    <x v="1"/>
    <x v="1"/>
    <x v="1"/>
    <x v="1"/>
    <x v="1"/>
    <x v="1"/>
    <x v="1"/>
    <x v="1"/>
    <x v="1"/>
    <x v="1"/>
    <x v="1"/>
    <x v="1"/>
    <x v="1"/>
    <x v="1"/>
    <x v="1"/>
    <x v="0"/>
    <x v="1"/>
    <x v="1"/>
    <x v="1"/>
    <x v="1"/>
    <x v="1"/>
    <x v="1"/>
    <x v="1"/>
    <x v="1"/>
    <x v="1"/>
    <x v="1"/>
    <x v="1"/>
    <x v="1"/>
    <x v="1"/>
    <x v="1"/>
    <x v="1"/>
    <x v="1"/>
    <x v="0"/>
    <x v="1"/>
    <x v="0"/>
    <x v="1"/>
    <x v="0"/>
    <x v="0"/>
    <x v="1"/>
    <x v="1"/>
    <x v="1"/>
    <x v="1"/>
    <x v="1"/>
    <x v="1"/>
    <x v="1"/>
    <x v="0"/>
    <x v="1"/>
    <x v="1"/>
    <x v="1"/>
    <x v="1"/>
    <x v="1"/>
    <x v="1"/>
    <x v="1"/>
    <x v="1"/>
    <x v="1"/>
    <x v="1"/>
    <x v="1"/>
    <x v="1"/>
    <x v="1"/>
    <x v="1"/>
    <x v="1"/>
    <x v="1"/>
    <x v="1"/>
    <x v="1"/>
    <x v="1"/>
    <x v="0"/>
    <x v="1"/>
    <x v="1"/>
    <x v="1"/>
    <x v="1"/>
    <x v="1"/>
    <x v="1"/>
    <x v="1"/>
    <x v="1"/>
    <x v="1"/>
    <x v="1"/>
    <x v="1"/>
    <x v="1"/>
    <x v="1"/>
    <x v="1"/>
    <x v="1"/>
    <x v="1"/>
    <x v="1"/>
    <x v="1"/>
    <x v="1"/>
    <x v="1"/>
    <x v="1"/>
    <x v="1"/>
    <x v="1"/>
    <x v="1"/>
    <x v="0"/>
    <x v="1"/>
    <x v="1"/>
    <x v="1"/>
    <x v="1"/>
    <x v="1"/>
    <x v="1"/>
    <x v="1"/>
    <x v="1"/>
    <x v="1"/>
    <x v="1"/>
    <x v="1"/>
    <x v="1"/>
    <x v="1"/>
    <x v="1"/>
    <x v="1"/>
    <x v="1"/>
    <x v="1"/>
    <x v="1"/>
    <x v="0"/>
    <x v="0"/>
    <x v="0"/>
    <x v="0"/>
    <x v="0"/>
    <x v="0"/>
    <x v="0"/>
    <x v="0"/>
    <x v="0"/>
    <x v="0"/>
    <x v="0"/>
    <x v="0"/>
    <x v="0"/>
    <x v="0"/>
    <x v="0"/>
    <x v="0"/>
    <x v="0"/>
    <x v="0"/>
    <x v="0"/>
    <x v="0"/>
    <x v="0"/>
    <x v="0"/>
    <x v="0"/>
    <x v="0"/>
    <x v="0"/>
    <x v="0"/>
    <x v="0"/>
    <x v="0"/>
    <x v="0"/>
    <x v="0"/>
    <x v="1"/>
    <x v="1"/>
    <x v="1"/>
    <x v="1"/>
    <x v="1"/>
    <x v="1"/>
    <x v="1"/>
    <x v="1"/>
    <x v="1"/>
    <x v="1"/>
    <x v="0"/>
    <x v="1"/>
    <x v="1"/>
    <x v="1"/>
    <x v="1"/>
    <x v="0"/>
    <x v="0"/>
    <x v="0"/>
    <x v="0"/>
    <x v="0"/>
    <x v="0"/>
    <x v="0"/>
    <x v="0"/>
    <x v="0"/>
    <x v="0"/>
    <x v="0"/>
    <x v="0"/>
    <x v="0"/>
    <x v="0"/>
    <x v="0"/>
    <x v="0"/>
    <x v="0"/>
    <x v="0"/>
    <x v="0"/>
    <x v="0"/>
    <x v="0"/>
    <x v="0"/>
    <x v="0"/>
    <x v="0"/>
    <x v="0"/>
    <x v="0"/>
    <x v="0"/>
    <x v="1"/>
    <x v="1"/>
    <x v="1"/>
    <x v="1"/>
    <x v="1"/>
    <x v="1"/>
    <x v="1"/>
    <x v="1"/>
    <x v="1"/>
    <x v="1"/>
    <x v="1"/>
    <x v="1"/>
    <x v="0"/>
    <x v="0"/>
    <x v="0"/>
    <x v="0"/>
    <x v="0"/>
    <x v="0"/>
    <x v="1"/>
    <x v="1"/>
    <x v="1"/>
    <x v="0"/>
    <x v="0"/>
    <x v="0"/>
    <x v="0"/>
    <x v="0"/>
    <x v="0"/>
    <x v="1"/>
    <x v="1"/>
    <x v="1"/>
    <x v="0"/>
    <x v="0"/>
    <x v="0"/>
    <x v="0"/>
    <x v="0"/>
    <x v="0"/>
    <x v="0"/>
    <x v="0"/>
    <x v="0"/>
    <x v="0"/>
    <x v="0"/>
    <x v="0"/>
  </r>
  <r>
    <x v="2"/>
    <x v="2"/>
    <x v="0"/>
    <x v="0"/>
    <x v="0"/>
    <x v="2"/>
    <x v="2"/>
    <x v="2"/>
    <x v="2"/>
    <x v="2"/>
    <x v="2"/>
    <x v="2"/>
    <x v="2"/>
    <x v="2"/>
    <x v="2"/>
    <x v="2"/>
    <x v="2"/>
    <x v="2"/>
    <x v="2"/>
    <x v="2"/>
    <x v="2"/>
    <x v="2"/>
    <x v="2"/>
    <x v="2"/>
    <x v="2"/>
    <x v="2"/>
    <x v="2"/>
    <x v="2"/>
    <x v="2"/>
    <x v="2"/>
    <x v="2"/>
    <x v="2"/>
    <x v="2"/>
    <x v="2"/>
    <x v="2"/>
    <x v="2"/>
    <x v="2"/>
    <x v="0"/>
    <x v="2"/>
    <x v="2"/>
    <x v="2"/>
    <x v="1"/>
    <x v="2"/>
    <x v="0"/>
    <x v="0"/>
    <x v="2"/>
    <x v="2"/>
    <x v="2"/>
    <x v="2"/>
    <x v="2"/>
    <x v="2"/>
    <x v="2"/>
    <x v="2"/>
    <x v="0"/>
    <x v="1"/>
    <x v="2"/>
    <x v="1"/>
    <x v="0"/>
    <x v="2"/>
    <x v="2"/>
    <x v="2"/>
    <x v="2"/>
    <x v="2"/>
    <x v="2"/>
    <x v="2"/>
    <x v="2"/>
    <x v="2"/>
    <x v="0"/>
    <x v="0"/>
    <x v="2"/>
    <x v="1"/>
    <x v="0"/>
    <x v="2"/>
    <x v="2"/>
    <x v="2"/>
    <x v="2"/>
    <x v="2"/>
    <x v="2"/>
    <x v="2"/>
    <x v="0"/>
    <x v="1"/>
    <x v="2"/>
    <x v="1"/>
    <x v="0"/>
    <x v="2"/>
    <x v="2"/>
    <x v="2"/>
    <x v="2"/>
    <x v="2"/>
    <x v="2"/>
    <x v="2"/>
    <x v="2"/>
    <x v="2"/>
    <x v="0"/>
    <x v="0"/>
    <x v="2"/>
    <x v="1"/>
    <x v="0"/>
    <x v="2"/>
    <x v="2"/>
    <x v="2"/>
    <x v="2"/>
    <x v="2"/>
    <x v="2"/>
    <x v="2"/>
    <x v="2"/>
    <x v="2"/>
    <x v="2"/>
    <x v="2"/>
    <x v="2"/>
    <x v="2"/>
    <x v="2"/>
    <x v="2"/>
    <x v="2"/>
    <x v="2"/>
    <x v="2"/>
    <x v="2"/>
    <x v="2"/>
    <x v="2"/>
    <x v="2"/>
    <x v="2"/>
    <x v="2"/>
    <x v="2"/>
    <x v="2"/>
    <x v="2"/>
    <x v="2"/>
    <x v="2"/>
    <x v="2"/>
    <x v="2"/>
    <x v="2"/>
    <x v="2"/>
    <x v="0"/>
    <x v="0"/>
    <x v="0"/>
    <x v="0"/>
    <x v="1"/>
    <x v="1"/>
    <x v="1"/>
    <x v="1"/>
    <x v="2"/>
    <x v="2"/>
    <x v="2"/>
    <x v="2"/>
    <x v="1"/>
    <x v="1"/>
    <x v="1"/>
    <x v="1"/>
    <x v="0"/>
    <x v="0"/>
    <x v="0"/>
    <x v="0"/>
    <x v="2"/>
    <x v="2"/>
    <x v="2"/>
    <x v="2"/>
    <x v="0"/>
    <x v="1"/>
    <x v="2"/>
    <x v="1"/>
    <x v="0"/>
    <x v="2"/>
    <x v="2"/>
    <x v="2"/>
    <x v="2"/>
    <x v="2"/>
    <x v="0"/>
    <x v="2"/>
    <x v="2"/>
    <x v="2"/>
    <x v="0"/>
    <x v="2"/>
    <x v="2"/>
    <x v="2"/>
    <x v="2"/>
    <x v="2"/>
    <x v="2"/>
    <x v="2"/>
    <x v="2"/>
    <x v="2"/>
    <x v="0"/>
    <x v="2"/>
    <x v="2"/>
    <x v="2"/>
    <x v="2"/>
    <x v="2"/>
    <x v="2"/>
    <x v="2"/>
    <x v="2"/>
    <x v="2"/>
    <x v="2"/>
    <x v="2"/>
    <x v="2"/>
    <x v="2"/>
    <x v="2"/>
    <x v="2"/>
    <x v="2"/>
    <x v="0"/>
    <x v="2"/>
    <x v="0"/>
    <x v="2"/>
    <x v="0"/>
    <x v="0"/>
    <x v="2"/>
    <x v="2"/>
    <x v="2"/>
    <x v="2"/>
    <x v="2"/>
    <x v="2"/>
    <x v="2"/>
    <x v="0"/>
    <x v="2"/>
    <x v="2"/>
    <x v="2"/>
    <x v="2"/>
    <x v="2"/>
    <x v="2"/>
    <x v="2"/>
    <x v="2"/>
    <x v="2"/>
    <x v="2"/>
    <x v="2"/>
    <x v="2"/>
    <x v="2"/>
    <x v="2"/>
    <x v="2"/>
    <x v="2"/>
    <x v="2"/>
    <x v="2"/>
    <x v="2"/>
    <x v="0"/>
    <x v="2"/>
    <x v="2"/>
    <x v="2"/>
    <x v="2"/>
    <x v="2"/>
    <x v="2"/>
    <x v="2"/>
    <x v="2"/>
    <x v="2"/>
    <x v="2"/>
    <x v="2"/>
    <x v="2"/>
    <x v="0"/>
    <x v="2"/>
    <x v="2"/>
    <x v="2"/>
    <x v="2"/>
    <x v="2"/>
    <x v="2"/>
    <x v="2"/>
    <x v="2"/>
    <x v="2"/>
    <x v="2"/>
    <x v="2"/>
    <x v="0"/>
    <x v="2"/>
    <x v="2"/>
    <x v="2"/>
    <x v="2"/>
    <x v="2"/>
    <x v="2"/>
    <x v="2"/>
    <x v="2"/>
    <x v="2"/>
    <x v="2"/>
    <x v="2"/>
    <x v="2"/>
    <x v="2"/>
    <x v="0"/>
    <x v="2"/>
    <x v="2"/>
    <x v="2"/>
    <x v="2"/>
    <x v="0"/>
    <x v="0"/>
    <x v="0"/>
    <x v="0"/>
    <x v="0"/>
    <x v="0"/>
    <x v="0"/>
    <x v="0"/>
    <x v="0"/>
    <x v="0"/>
    <x v="0"/>
    <x v="0"/>
    <x v="0"/>
    <x v="0"/>
    <x v="0"/>
    <x v="1"/>
    <x v="1"/>
    <x v="1"/>
    <x v="1"/>
    <x v="1"/>
    <x v="0"/>
    <x v="0"/>
    <x v="0"/>
    <x v="0"/>
    <x v="0"/>
    <x v="0"/>
    <x v="0"/>
    <x v="0"/>
    <x v="0"/>
    <x v="0"/>
    <x v="2"/>
    <x v="2"/>
    <x v="2"/>
    <x v="2"/>
    <x v="2"/>
    <x v="2"/>
    <x v="2"/>
    <x v="2"/>
    <x v="2"/>
    <x v="2"/>
    <x v="0"/>
    <x v="2"/>
    <x v="2"/>
    <x v="2"/>
    <x v="2"/>
    <x v="1"/>
    <x v="1"/>
    <x v="1"/>
    <x v="1"/>
    <x v="1"/>
    <x v="1"/>
    <x v="1"/>
    <x v="1"/>
    <x v="0"/>
    <x v="1"/>
    <x v="1"/>
    <x v="1"/>
    <x v="0"/>
    <x v="0"/>
    <x v="0"/>
    <x v="0"/>
    <x v="0"/>
    <x v="0"/>
    <x v="0"/>
    <x v="0"/>
    <x v="0"/>
    <x v="0"/>
    <x v="0"/>
    <x v="0"/>
    <x v="0"/>
    <x v="0"/>
    <x v="0"/>
    <x v="2"/>
    <x v="2"/>
    <x v="2"/>
    <x v="2"/>
    <x v="2"/>
    <x v="2"/>
    <x v="2"/>
    <x v="2"/>
    <x v="2"/>
    <x v="2"/>
    <x v="2"/>
    <x v="2"/>
    <x v="0"/>
    <x v="0"/>
    <x v="0"/>
    <x v="1"/>
    <x v="0"/>
    <x v="0"/>
    <x v="2"/>
    <x v="2"/>
    <x v="2"/>
    <x v="1"/>
    <x v="1"/>
    <x v="1"/>
    <x v="0"/>
    <x v="0"/>
    <x v="0"/>
    <x v="2"/>
    <x v="2"/>
    <x v="2"/>
    <x v="0"/>
    <x v="0"/>
    <x v="0"/>
    <x v="0"/>
    <x v="0"/>
    <x v="0"/>
    <x v="0"/>
    <x v="0"/>
    <x v="0"/>
    <x v="0"/>
    <x v="0"/>
    <x v="0"/>
  </r>
  <r>
    <x v="3"/>
    <x v="3"/>
    <x v="0"/>
    <x v="0"/>
    <x v="0"/>
    <x v="3"/>
    <x v="3"/>
    <x v="3"/>
    <x v="3"/>
    <x v="1"/>
    <x v="3"/>
    <x v="3"/>
    <x v="0"/>
    <x v="3"/>
    <x v="3"/>
    <x v="3"/>
    <x v="3"/>
    <x v="3"/>
    <x v="1"/>
    <x v="3"/>
    <x v="3"/>
    <x v="3"/>
    <x v="3"/>
    <x v="3"/>
    <x v="3"/>
    <x v="3"/>
    <x v="3"/>
    <x v="3"/>
    <x v="3"/>
    <x v="3"/>
    <x v="3"/>
    <x v="3"/>
    <x v="3"/>
    <x v="3"/>
    <x v="3"/>
    <x v="3"/>
    <x v="3"/>
    <x v="0"/>
    <x v="3"/>
    <x v="1"/>
    <x v="3"/>
    <x v="0"/>
    <x v="3"/>
    <x v="0"/>
    <x v="0"/>
    <x v="3"/>
    <x v="3"/>
    <x v="3"/>
    <x v="3"/>
    <x v="3"/>
    <x v="3"/>
    <x v="3"/>
    <x v="3"/>
    <x v="0"/>
    <x v="0"/>
    <x v="1"/>
    <x v="0"/>
    <x v="0"/>
    <x v="3"/>
    <x v="3"/>
    <x v="3"/>
    <x v="3"/>
    <x v="3"/>
    <x v="3"/>
    <x v="3"/>
    <x v="3"/>
    <x v="3"/>
    <x v="0"/>
    <x v="0"/>
    <x v="1"/>
    <x v="0"/>
    <x v="0"/>
    <x v="3"/>
    <x v="3"/>
    <x v="3"/>
    <x v="3"/>
    <x v="3"/>
    <x v="3"/>
    <x v="3"/>
    <x v="0"/>
    <x v="0"/>
    <x v="1"/>
    <x v="0"/>
    <x v="0"/>
    <x v="3"/>
    <x v="3"/>
    <x v="3"/>
    <x v="3"/>
    <x v="3"/>
    <x v="3"/>
    <x v="3"/>
    <x v="3"/>
    <x v="3"/>
    <x v="0"/>
    <x v="0"/>
    <x v="1"/>
    <x v="0"/>
    <x v="0"/>
    <x v="3"/>
    <x v="3"/>
    <x v="3"/>
    <x v="3"/>
    <x v="3"/>
    <x v="3"/>
    <x v="3"/>
    <x v="3"/>
    <x v="3"/>
    <x v="3"/>
    <x v="3"/>
    <x v="3"/>
    <x v="3"/>
    <x v="3"/>
    <x v="3"/>
    <x v="3"/>
    <x v="3"/>
    <x v="3"/>
    <x v="3"/>
    <x v="3"/>
    <x v="3"/>
    <x v="3"/>
    <x v="3"/>
    <x v="3"/>
    <x v="3"/>
    <x v="3"/>
    <x v="3"/>
    <x v="3"/>
    <x v="3"/>
    <x v="3"/>
    <x v="3"/>
    <x v="3"/>
    <x v="3"/>
    <x v="0"/>
    <x v="0"/>
    <x v="0"/>
    <x v="0"/>
    <x v="0"/>
    <x v="0"/>
    <x v="0"/>
    <x v="0"/>
    <x v="1"/>
    <x v="1"/>
    <x v="1"/>
    <x v="1"/>
    <x v="0"/>
    <x v="0"/>
    <x v="0"/>
    <x v="0"/>
    <x v="0"/>
    <x v="0"/>
    <x v="0"/>
    <x v="0"/>
    <x v="3"/>
    <x v="3"/>
    <x v="3"/>
    <x v="3"/>
    <x v="0"/>
    <x v="0"/>
    <x v="1"/>
    <x v="0"/>
    <x v="0"/>
    <x v="3"/>
    <x v="3"/>
    <x v="3"/>
    <x v="3"/>
    <x v="3"/>
    <x v="0"/>
    <x v="0"/>
    <x v="0"/>
    <x v="0"/>
    <x v="0"/>
    <x v="3"/>
    <x v="3"/>
    <x v="3"/>
    <x v="3"/>
    <x v="3"/>
    <x v="3"/>
    <x v="3"/>
    <x v="3"/>
    <x v="3"/>
    <x v="0"/>
    <x v="3"/>
    <x v="3"/>
    <x v="3"/>
    <x v="3"/>
    <x v="3"/>
    <x v="3"/>
    <x v="3"/>
    <x v="3"/>
    <x v="3"/>
    <x v="3"/>
    <x v="3"/>
    <x v="3"/>
    <x v="3"/>
    <x v="1"/>
    <x v="1"/>
    <x v="1"/>
    <x v="0"/>
    <x v="3"/>
    <x v="0"/>
    <x v="3"/>
    <x v="0"/>
    <x v="0"/>
    <x v="3"/>
    <x v="3"/>
    <x v="3"/>
    <x v="3"/>
    <x v="3"/>
    <x v="3"/>
    <x v="3"/>
    <x v="0"/>
    <x v="3"/>
    <x v="3"/>
    <x v="3"/>
    <x v="3"/>
    <x v="3"/>
    <x v="3"/>
    <x v="3"/>
    <x v="3"/>
    <x v="3"/>
    <x v="3"/>
    <x v="3"/>
    <x v="3"/>
    <x v="3"/>
    <x v="3"/>
    <x v="3"/>
    <x v="3"/>
    <x v="3"/>
    <x v="3"/>
    <x v="3"/>
    <x v="0"/>
    <x v="3"/>
    <x v="0"/>
    <x v="0"/>
    <x v="3"/>
    <x v="3"/>
    <x v="3"/>
    <x v="3"/>
    <x v="3"/>
    <x v="3"/>
    <x v="3"/>
    <x v="3"/>
    <x v="3"/>
    <x v="0"/>
    <x v="3"/>
    <x v="3"/>
    <x v="3"/>
    <x v="3"/>
    <x v="3"/>
    <x v="3"/>
    <x v="3"/>
    <x v="3"/>
    <x v="3"/>
    <x v="3"/>
    <x v="3"/>
    <x v="0"/>
    <x v="3"/>
    <x v="3"/>
    <x v="3"/>
    <x v="3"/>
    <x v="3"/>
    <x v="3"/>
    <x v="3"/>
    <x v="3"/>
    <x v="3"/>
    <x v="3"/>
    <x v="3"/>
    <x v="3"/>
    <x v="3"/>
    <x v="0"/>
    <x v="3"/>
    <x v="3"/>
    <x v="3"/>
    <x v="3"/>
    <x v="0"/>
    <x v="0"/>
    <x v="0"/>
    <x v="0"/>
    <x v="0"/>
    <x v="0"/>
    <x v="0"/>
    <x v="0"/>
    <x v="0"/>
    <x v="0"/>
    <x v="0"/>
    <x v="0"/>
    <x v="0"/>
    <x v="0"/>
    <x v="0"/>
    <x v="0"/>
    <x v="0"/>
    <x v="0"/>
    <x v="0"/>
    <x v="0"/>
    <x v="0"/>
    <x v="0"/>
    <x v="0"/>
    <x v="0"/>
    <x v="0"/>
    <x v="0"/>
    <x v="0"/>
    <x v="0"/>
    <x v="0"/>
    <x v="0"/>
    <x v="1"/>
    <x v="1"/>
    <x v="1"/>
    <x v="1"/>
    <x v="1"/>
    <x v="1"/>
    <x v="1"/>
    <x v="1"/>
    <x v="1"/>
    <x v="1"/>
    <x v="0"/>
    <x v="1"/>
    <x v="1"/>
    <x v="1"/>
    <x v="1"/>
    <x v="0"/>
    <x v="0"/>
    <x v="0"/>
    <x v="0"/>
    <x v="0"/>
    <x v="0"/>
    <x v="0"/>
    <x v="0"/>
    <x v="0"/>
    <x v="0"/>
    <x v="0"/>
    <x v="0"/>
    <x v="0"/>
    <x v="0"/>
    <x v="0"/>
    <x v="0"/>
    <x v="0"/>
    <x v="0"/>
    <x v="0"/>
    <x v="0"/>
    <x v="0"/>
    <x v="0"/>
    <x v="0"/>
    <x v="0"/>
    <x v="0"/>
    <x v="0"/>
    <x v="0"/>
    <x v="3"/>
    <x v="3"/>
    <x v="3"/>
    <x v="3"/>
    <x v="3"/>
    <x v="3"/>
    <x v="3"/>
    <x v="3"/>
    <x v="3"/>
    <x v="3"/>
    <x v="3"/>
    <x v="3"/>
    <x v="0"/>
    <x v="0"/>
    <x v="0"/>
    <x v="0"/>
    <x v="0"/>
    <x v="0"/>
    <x v="1"/>
    <x v="1"/>
    <x v="1"/>
    <x v="0"/>
    <x v="0"/>
    <x v="0"/>
    <x v="0"/>
    <x v="0"/>
    <x v="0"/>
    <x v="3"/>
    <x v="3"/>
    <x v="3"/>
    <x v="0"/>
    <x v="0"/>
    <x v="0"/>
    <x v="0"/>
    <x v="0"/>
    <x v="0"/>
    <x v="0"/>
    <x v="0"/>
    <x v="0"/>
    <x v="0"/>
    <x v="0"/>
    <x v="0"/>
  </r>
  <r>
    <x v="4"/>
    <x v="4"/>
    <x v="0"/>
    <x v="0"/>
    <x v="0"/>
    <x v="4"/>
    <x v="4"/>
    <x v="4"/>
    <x v="4"/>
    <x v="3"/>
    <x v="4"/>
    <x v="4"/>
    <x v="3"/>
    <x v="4"/>
    <x v="4"/>
    <x v="4"/>
    <x v="4"/>
    <x v="4"/>
    <x v="3"/>
    <x v="4"/>
    <x v="4"/>
    <x v="4"/>
    <x v="4"/>
    <x v="4"/>
    <x v="4"/>
    <x v="4"/>
    <x v="4"/>
    <x v="4"/>
    <x v="4"/>
    <x v="4"/>
    <x v="4"/>
    <x v="4"/>
    <x v="4"/>
    <x v="4"/>
    <x v="4"/>
    <x v="4"/>
    <x v="4"/>
    <x v="0"/>
    <x v="4"/>
    <x v="3"/>
    <x v="4"/>
    <x v="1"/>
    <x v="4"/>
    <x v="0"/>
    <x v="0"/>
    <x v="4"/>
    <x v="4"/>
    <x v="4"/>
    <x v="4"/>
    <x v="4"/>
    <x v="4"/>
    <x v="4"/>
    <x v="4"/>
    <x v="0"/>
    <x v="1"/>
    <x v="3"/>
    <x v="1"/>
    <x v="0"/>
    <x v="4"/>
    <x v="4"/>
    <x v="4"/>
    <x v="4"/>
    <x v="4"/>
    <x v="4"/>
    <x v="4"/>
    <x v="4"/>
    <x v="4"/>
    <x v="0"/>
    <x v="0"/>
    <x v="3"/>
    <x v="1"/>
    <x v="0"/>
    <x v="4"/>
    <x v="4"/>
    <x v="4"/>
    <x v="4"/>
    <x v="4"/>
    <x v="4"/>
    <x v="4"/>
    <x v="0"/>
    <x v="1"/>
    <x v="3"/>
    <x v="1"/>
    <x v="0"/>
    <x v="4"/>
    <x v="4"/>
    <x v="4"/>
    <x v="4"/>
    <x v="4"/>
    <x v="4"/>
    <x v="4"/>
    <x v="4"/>
    <x v="4"/>
    <x v="0"/>
    <x v="0"/>
    <x v="3"/>
    <x v="1"/>
    <x v="0"/>
    <x v="4"/>
    <x v="4"/>
    <x v="4"/>
    <x v="4"/>
    <x v="4"/>
    <x v="4"/>
    <x v="4"/>
    <x v="4"/>
    <x v="4"/>
    <x v="4"/>
    <x v="4"/>
    <x v="4"/>
    <x v="4"/>
    <x v="4"/>
    <x v="4"/>
    <x v="4"/>
    <x v="4"/>
    <x v="4"/>
    <x v="4"/>
    <x v="4"/>
    <x v="4"/>
    <x v="4"/>
    <x v="4"/>
    <x v="4"/>
    <x v="4"/>
    <x v="4"/>
    <x v="4"/>
    <x v="4"/>
    <x v="4"/>
    <x v="4"/>
    <x v="4"/>
    <x v="4"/>
    <x v="4"/>
    <x v="0"/>
    <x v="0"/>
    <x v="0"/>
    <x v="0"/>
    <x v="1"/>
    <x v="1"/>
    <x v="1"/>
    <x v="1"/>
    <x v="3"/>
    <x v="3"/>
    <x v="3"/>
    <x v="3"/>
    <x v="1"/>
    <x v="1"/>
    <x v="1"/>
    <x v="1"/>
    <x v="0"/>
    <x v="0"/>
    <x v="0"/>
    <x v="0"/>
    <x v="4"/>
    <x v="4"/>
    <x v="4"/>
    <x v="4"/>
    <x v="0"/>
    <x v="1"/>
    <x v="3"/>
    <x v="1"/>
    <x v="0"/>
    <x v="4"/>
    <x v="4"/>
    <x v="4"/>
    <x v="4"/>
    <x v="4"/>
    <x v="1"/>
    <x v="3"/>
    <x v="3"/>
    <x v="3"/>
    <x v="2"/>
    <x v="4"/>
    <x v="4"/>
    <x v="4"/>
    <x v="4"/>
    <x v="4"/>
    <x v="4"/>
    <x v="4"/>
    <x v="4"/>
    <x v="4"/>
    <x v="0"/>
    <x v="4"/>
    <x v="4"/>
    <x v="4"/>
    <x v="4"/>
    <x v="4"/>
    <x v="4"/>
    <x v="4"/>
    <x v="4"/>
    <x v="4"/>
    <x v="4"/>
    <x v="4"/>
    <x v="4"/>
    <x v="4"/>
    <x v="3"/>
    <x v="3"/>
    <x v="3"/>
    <x v="0"/>
    <x v="4"/>
    <x v="0"/>
    <x v="4"/>
    <x v="0"/>
    <x v="0"/>
    <x v="4"/>
    <x v="4"/>
    <x v="4"/>
    <x v="4"/>
    <x v="4"/>
    <x v="4"/>
    <x v="4"/>
    <x v="0"/>
    <x v="4"/>
    <x v="4"/>
    <x v="4"/>
    <x v="4"/>
    <x v="4"/>
    <x v="4"/>
    <x v="4"/>
    <x v="4"/>
    <x v="4"/>
    <x v="4"/>
    <x v="4"/>
    <x v="4"/>
    <x v="4"/>
    <x v="4"/>
    <x v="4"/>
    <x v="4"/>
    <x v="4"/>
    <x v="4"/>
    <x v="4"/>
    <x v="0"/>
    <x v="4"/>
    <x v="3"/>
    <x v="3"/>
    <x v="4"/>
    <x v="4"/>
    <x v="4"/>
    <x v="4"/>
    <x v="4"/>
    <x v="4"/>
    <x v="4"/>
    <x v="4"/>
    <x v="4"/>
    <x v="1"/>
    <x v="4"/>
    <x v="4"/>
    <x v="4"/>
    <x v="4"/>
    <x v="4"/>
    <x v="4"/>
    <x v="4"/>
    <x v="4"/>
    <x v="4"/>
    <x v="4"/>
    <x v="4"/>
    <x v="0"/>
    <x v="4"/>
    <x v="4"/>
    <x v="4"/>
    <x v="4"/>
    <x v="4"/>
    <x v="4"/>
    <x v="4"/>
    <x v="4"/>
    <x v="4"/>
    <x v="4"/>
    <x v="4"/>
    <x v="4"/>
    <x v="4"/>
    <x v="1"/>
    <x v="4"/>
    <x v="4"/>
    <x v="4"/>
    <x v="4"/>
    <x v="0"/>
    <x v="0"/>
    <x v="0"/>
    <x v="0"/>
    <x v="0"/>
    <x v="0"/>
    <x v="0"/>
    <x v="0"/>
    <x v="0"/>
    <x v="0"/>
    <x v="0"/>
    <x v="0"/>
    <x v="0"/>
    <x v="0"/>
    <x v="0"/>
    <x v="1"/>
    <x v="1"/>
    <x v="1"/>
    <x v="1"/>
    <x v="1"/>
    <x v="0"/>
    <x v="0"/>
    <x v="0"/>
    <x v="0"/>
    <x v="0"/>
    <x v="0"/>
    <x v="0"/>
    <x v="0"/>
    <x v="0"/>
    <x v="0"/>
    <x v="3"/>
    <x v="3"/>
    <x v="3"/>
    <x v="3"/>
    <x v="3"/>
    <x v="3"/>
    <x v="3"/>
    <x v="3"/>
    <x v="3"/>
    <x v="3"/>
    <x v="0"/>
    <x v="3"/>
    <x v="3"/>
    <x v="3"/>
    <x v="3"/>
    <x v="1"/>
    <x v="1"/>
    <x v="1"/>
    <x v="1"/>
    <x v="1"/>
    <x v="1"/>
    <x v="1"/>
    <x v="1"/>
    <x v="0"/>
    <x v="1"/>
    <x v="1"/>
    <x v="1"/>
    <x v="0"/>
    <x v="0"/>
    <x v="0"/>
    <x v="0"/>
    <x v="0"/>
    <x v="0"/>
    <x v="0"/>
    <x v="0"/>
    <x v="0"/>
    <x v="0"/>
    <x v="0"/>
    <x v="0"/>
    <x v="0"/>
    <x v="0"/>
    <x v="0"/>
    <x v="4"/>
    <x v="4"/>
    <x v="4"/>
    <x v="4"/>
    <x v="4"/>
    <x v="4"/>
    <x v="4"/>
    <x v="4"/>
    <x v="4"/>
    <x v="4"/>
    <x v="4"/>
    <x v="4"/>
    <x v="0"/>
    <x v="0"/>
    <x v="0"/>
    <x v="1"/>
    <x v="0"/>
    <x v="0"/>
    <x v="3"/>
    <x v="3"/>
    <x v="3"/>
    <x v="1"/>
    <x v="1"/>
    <x v="1"/>
    <x v="0"/>
    <x v="0"/>
    <x v="0"/>
    <x v="4"/>
    <x v="4"/>
    <x v="4"/>
    <x v="0"/>
    <x v="0"/>
    <x v="0"/>
    <x v="0"/>
    <x v="0"/>
    <x v="0"/>
    <x v="0"/>
    <x v="0"/>
    <x v="0"/>
    <x v="0"/>
    <x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a dinámica2" cacheId="311" applyNumberFormats="0" applyBorderFormats="0" applyFontFormats="0" applyPatternFormats="0" applyAlignmentFormats="0" applyWidthHeightFormats="1" dataCaption="Valores" updatedVersion="5" minRefreshableVersion="3" rowGrandTotals="0" colGrandTotals="0" itemPrintTitles="1" createdVersion="5" indent="0" compact="0" compactData="0" gridDropZones="1" multipleFieldFilters="0" chartFormat="13">
  <location ref="A11:I1395" firstHeaderRow="1" firstDataRow="3" firstDataCol="4"/>
  <pivotFields count="11">
    <pivotField compact="0" outline="0" showAll="0" defaultSubtotal="0"/>
    <pivotField compact="0" outline="0" showAll="0" defaultSubtotal="0"/>
    <pivotField axis="axisCol" compact="0" outline="0" showAll="0" defaultSubtotal="0">
      <items count="5">
        <item x="3"/>
        <item x="0"/>
        <item x="1"/>
        <item x="2"/>
        <item x="4"/>
      </items>
    </pivotField>
    <pivotField compact="0" outline="0" showAll="0" defaultSubtotal="0"/>
    <pivotField axis="axisCol" compact="0" numFmtId="14" outline="0" showAll="0" sortType="ascending" defaultSubtotal="0">
      <items count="1">
        <item x="0"/>
      </items>
    </pivotField>
    <pivotField name="Nombre de Cuenta" axis="axisRow" compact="0" outline="0" showAll="0" defaultSubtotal="0">
      <items count="669">
        <item x="257"/>
        <item x="259"/>
        <item x="258"/>
        <item x="263"/>
        <item x="164"/>
        <item x="261"/>
        <item x="173"/>
        <item x="27"/>
        <item x="628"/>
        <item x="518"/>
        <item x="0"/>
        <item x="548"/>
        <item x="385"/>
        <item x="466"/>
        <item x="284"/>
        <item x="212"/>
        <item x="460"/>
        <item x="461"/>
        <item x="462"/>
        <item x="345"/>
        <item x="393"/>
        <item x="498"/>
        <item x="215"/>
        <item x="493"/>
        <item x="519"/>
        <item x="6"/>
        <item x="19"/>
        <item x="11"/>
        <item x="10"/>
        <item x="9"/>
        <item x="344"/>
        <item x="614"/>
        <item x="229"/>
        <item x="242"/>
        <item x="547"/>
        <item x="546"/>
        <item x="440"/>
        <item x="333"/>
        <item x="2"/>
        <item x="4"/>
        <item x="563"/>
        <item x="392"/>
        <item x="619"/>
        <item x="661"/>
        <item x="662"/>
        <item x="555"/>
        <item x="177"/>
        <item x="365"/>
        <item x="214"/>
        <item x="582"/>
        <item x="331"/>
        <item x="552"/>
        <item x="196"/>
        <item x="420"/>
        <item x="492"/>
        <item x="188"/>
        <item x="341"/>
        <item x="529"/>
        <item x="527"/>
        <item x="255"/>
        <item x="553"/>
        <item x="360"/>
        <item x="562"/>
        <item x="352"/>
        <item x="515"/>
        <item x="533"/>
        <item x="591"/>
        <item x="534"/>
        <item x="169"/>
        <item x="211"/>
        <item x="337"/>
        <item x="361"/>
        <item x="363"/>
        <item x="59"/>
        <item x="53"/>
        <item x="48"/>
        <item x="60"/>
        <item x="54"/>
        <item x="49"/>
        <item x="61"/>
        <item x="55"/>
        <item x="50"/>
        <item x="510"/>
        <item x="299"/>
        <item x="63"/>
        <item x="488"/>
        <item x="300"/>
        <item x="613"/>
        <item x="16"/>
        <item x="167"/>
        <item x="465"/>
        <item x="233"/>
        <item x="565"/>
        <item x="489"/>
        <item x="624"/>
        <item x="516"/>
        <item x="449"/>
        <item x="174"/>
        <item x="44"/>
        <item x="398"/>
        <item x="245"/>
        <item x="230"/>
        <item x="3"/>
        <item x="13"/>
        <item x="380"/>
        <item x="536"/>
        <item x="540"/>
        <item x="537"/>
        <item x="267"/>
        <item x="266"/>
        <item x="425"/>
        <item x="426"/>
        <item x="64"/>
        <item x="240"/>
        <item x="241"/>
        <item x="401"/>
        <item x="216"/>
        <item x="289"/>
        <item x="364"/>
        <item x="304"/>
        <item x="494"/>
        <item x="346"/>
        <item x="396"/>
        <item x="279"/>
        <item x="315"/>
        <item x="1"/>
        <item x="416"/>
        <item x="484"/>
        <item x="326"/>
        <item x="18"/>
        <item x="414"/>
        <item x="467"/>
        <item x="443"/>
        <item x="286"/>
        <item x="200"/>
        <item x="197"/>
        <item x="283"/>
        <item x="400"/>
        <item x="330"/>
        <item x="329"/>
        <item x="448"/>
        <item x="450"/>
        <item x="353"/>
        <item x="446"/>
        <item x="301"/>
        <item x="199"/>
        <item x="458"/>
        <item x="459"/>
        <item x="464"/>
        <item x="457"/>
        <item x="625"/>
        <item x="479"/>
        <item x="499"/>
        <item x="383"/>
        <item x="554"/>
        <item x="618"/>
        <item x="238"/>
        <item x="12"/>
        <item x="195"/>
        <item x="415"/>
        <item x="170"/>
        <item x="172"/>
        <item x="338"/>
        <item x="201"/>
        <item x="513"/>
        <item x="477"/>
        <item x="480"/>
        <item x="561"/>
        <item x="171"/>
        <item x="26"/>
        <item x="542"/>
        <item x="486"/>
        <item x="545"/>
        <item x="543"/>
        <item x="265"/>
        <item x="544"/>
        <item x="193"/>
        <item x="218"/>
        <item x="500"/>
        <item x="175"/>
        <item x="46"/>
        <item x="470"/>
        <item x="231"/>
        <item x="239"/>
        <item x="354"/>
        <item x="583"/>
        <item x="463"/>
        <item x="334"/>
        <item x="373"/>
        <item x="369"/>
        <item x="371"/>
        <item x="340"/>
        <item x="328"/>
        <item x="607"/>
        <item x="342"/>
        <item x="357"/>
        <item x="564"/>
        <item x="550"/>
        <item x="189"/>
        <item x="665"/>
        <item x="318"/>
        <item x="21"/>
        <item x="319"/>
        <item x="320"/>
        <item x="17"/>
        <item x="441"/>
        <item x="608"/>
        <item x="606"/>
        <item x="327"/>
        <item x="190"/>
        <item x="355"/>
        <item x="517"/>
        <item x="590"/>
        <item x="666"/>
        <item x="581"/>
        <item x="366"/>
        <item x="20"/>
        <item x="377"/>
        <item x="351"/>
        <item x="68"/>
        <item x="264"/>
        <item x="404"/>
        <item x="532"/>
        <item x="468"/>
        <item x="474"/>
        <item x="302"/>
        <item x="506"/>
        <item x="503"/>
        <item x="419"/>
        <item x="187"/>
        <item x="490"/>
        <item x="246"/>
        <item x="382"/>
        <item x="456"/>
        <item x="483"/>
        <item x="194"/>
        <item x="310"/>
        <item x="620"/>
        <item x="622"/>
        <item x="391"/>
        <item x="447"/>
        <item x="375"/>
        <item x="421"/>
        <item x="491"/>
        <item x="403"/>
        <item x="217"/>
        <item x="430"/>
        <item x="254"/>
        <item x="356"/>
        <item x="431"/>
        <item x="629"/>
        <item x="362"/>
        <item x="454"/>
        <item x="509"/>
        <item x="557"/>
        <item x="556"/>
        <item x="247"/>
        <item x="343"/>
        <item x="444"/>
        <item x="191"/>
        <item x="497"/>
        <item x="384"/>
        <item x="397"/>
        <item x="395"/>
        <item x="409"/>
        <item x="349"/>
        <item x="350"/>
        <item x="531"/>
        <item x="530"/>
        <item x="198"/>
        <item x="422"/>
        <item x="451"/>
        <item x="389"/>
        <item x="367"/>
        <item x="469"/>
        <item x="502"/>
        <item x="225"/>
        <item x="297"/>
        <item x="232"/>
        <item x="508"/>
        <item x="507"/>
        <item x="505"/>
        <item x="412"/>
        <item x="504"/>
        <item x="496"/>
        <item x="410"/>
        <item x="535"/>
        <item x="592"/>
        <item x="616"/>
        <item x="305"/>
        <item x="390"/>
        <item x="571"/>
        <item x="572"/>
        <item x="573"/>
        <item x="574"/>
        <item x="575"/>
        <item x="576"/>
        <item x="577"/>
        <item x="578"/>
        <item x="569"/>
        <item x="579"/>
        <item x="580"/>
        <item x="598"/>
        <item x="599"/>
        <item x="600"/>
        <item x="601"/>
        <item x="602"/>
        <item x="603"/>
        <item x="604"/>
        <item x="605"/>
        <item x="657"/>
        <item x="658"/>
        <item x="659"/>
        <item x="8"/>
        <item x="5"/>
        <item x="7"/>
        <item x="66"/>
        <item x="227"/>
        <item x="235"/>
        <item x="236"/>
        <item x="237"/>
        <item x="234"/>
        <item x="228"/>
        <item x="224"/>
        <item x="226"/>
        <item x="253"/>
        <item x="250"/>
        <item x="280"/>
        <item x="281"/>
        <item x="282"/>
        <item x="295"/>
        <item x="376"/>
        <item x="387"/>
        <item x="394"/>
        <item x="399"/>
        <item x="566"/>
        <item x="539"/>
        <item x="538"/>
        <item x="14"/>
        <item x="15"/>
        <item x="22"/>
        <item x="23"/>
        <item x="24"/>
        <item x="25"/>
        <item x="28"/>
        <item x="29"/>
        <item x="30"/>
        <item x="31"/>
        <item x="32"/>
        <item x="33"/>
        <item x="34"/>
        <item x="35"/>
        <item x="36"/>
        <item x="37"/>
        <item x="38"/>
        <item x="39"/>
        <item x="40"/>
        <item x="41"/>
        <item x="42"/>
        <item x="43"/>
        <item x="45"/>
        <item x="47"/>
        <item x="51"/>
        <item x="52"/>
        <item x="56"/>
        <item x="57"/>
        <item x="58"/>
        <item x="62"/>
        <item x="65"/>
        <item x="67"/>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5"/>
        <item x="166"/>
        <item x="168"/>
        <item x="176"/>
        <item x="178"/>
        <item x="179"/>
        <item x="180"/>
        <item x="181"/>
        <item x="182"/>
        <item x="183"/>
        <item x="184"/>
        <item x="185"/>
        <item x="186"/>
        <item x="192"/>
        <item x="202"/>
        <item x="203"/>
        <item x="204"/>
        <item x="205"/>
        <item x="206"/>
        <item x="207"/>
        <item x="208"/>
        <item x="209"/>
        <item x="210"/>
        <item x="213"/>
        <item x="219"/>
        <item x="220"/>
        <item x="221"/>
        <item x="222"/>
        <item x="223"/>
        <item x="243"/>
        <item x="244"/>
        <item x="248"/>
        <item x="249"/>
        <item x="251"/>
        <item x="252"/>
        <item x="256"/>
        <item x="260"/>
        <item x="262"/>
        <item x="268"/>
        <item x="269"/>
        <item x="270"/>
        <item x="271"/>
        <item x="272"/>
        <item x="273"/>
        <item x="274"/>
        <item x="275"/>
        <item x="276"/>
        <item x="277"/>
        <item x="278"/>
        <item x="285"/>
        <item x="287"/>
        <item x="288"/>
        <item x="290"/>
        <item x="291"/>
        <item x="292"/>
        <item x="293"/>
        <item x="294"/>
        <item x="296"/>
        <item x="298"/>
        <item x="303"/>
        <item x="306"/>
        <item x="307"/>
        <item x="308"/>
        <item x="309"/>
        <item x="311"/>
        <item x="312"/>
        <item x="313"/>
        <item x="314"/>
        <item x="316"/>
        <item x="317"/>
        <item x="321"/>
        <item x="322"/>
        <item x="323"/>
        <item x="324"/>
        <item x="325"/>
        <item x="332"/>
        <item x="335"/>
        <item x="336"/>
        <item x="339"/>
        <item x="347"/>
        <item x="348"/>
        <item x="358"/>
        <item x="359"/>
        <item x="368"/>
        <item x="370"/>
        <item x="372"/>
        <item x="374"/>
        <item x="378"/>
        <item x="379"/>
        <item x="381"/>
        <item x="386"/>
        <item x="388"/>
        <item x="402"/>
        <item x="405"/>
        <item x="406"/>
        <item x="407"/>
        <item x="408"/>
        <item x="411"/>
        <item x="413"/>
        <item x="417"/>
        <item x="418"/>
        <item x="423"/>
        <item x="424"/>
        <item x="427"/>
        <item x="428"/>
        <item x="429"/>
        <item x="432"/>
        <item x="433"/>
        <item x="434"/>
        <item x="435"/>
        <item x="436"/>
        <item x="437"/>
        <item x="438"/>
        <item x="439"/>
        <item x="442"/>
        <item x="445"/>
        <item x="452"/>
        <item x="453"/>
        <item x="455"/>
        <item x="471"/>
        <item x="472"/>
        <item x="473"/>
        <item x="475"/>
        <item x="476"/>
        <item x="478"/>
        <item x="481"/>
        <item x="482"/>
        <item x="485"/>
        <item x="487"/>
        <item x="495"/>
        <item x="501"/>
        <item x="511"/>
        <item x="512"/>
        <item x="514"/>
        <item x="520"/>
        <item x="521"/>
        <item x="522"/>
        <item x="523"/>
        <item x="524"/>
        <item x="525"/>
        <item x="526"/>
        <item x="528"/>
        <item x="541"/>
        <item x="549"/>
        <item x="551"/>
        <item x="567"/>
        <item x="568"/>
        <item x="570"/>
        <item x="584"/>
        <item x="585"/>
        <item x="586"/>
        <item x="587"/>
        <item x="588"/>
        <item x="593"/>
        <item x="594"/>
        <item x="595"/>
        <item x="596"/>
        <item x="597"/>
        <item x="609"/>
        <item x="615"/>
        <item x="617"/>
        <item x="621"/>
        <item x="623"/>
        <item x="626"/>
        <item x="627"/>
        <item x="630"/>
        <item x="631"/>
        <item x="632"/>
        <item x="633"/>
        <item x="634"/>
        <item x="635"/>
        <item x="636"/>
        <item x="637"/>
        <item x="638"/>
        <item x="639"/>
        <item x="640"/>
        <item x="641"/>
        <item x="642"/>
        <item x="643"/>
        <item x="644"/>
        <item x="645"/>
        <item x="646"/>
        <item x="647"/>
        <item x="648"/>
        <item x="649"/>
        <item x="650"/>
        <item x="651"/>
        <item x="652"/>
        <item x="653"/>
        <item x="654"/>
        <item x="655"/>
        <item x="656"/>
        <item x="660"/>
        <item x="663"/>
        <item x="664"/>
        <item x="667"/>
        <item x="668"/>
        <item x="558"/>
        <item x="559"/>
        <item x="560"/>
        <item x="589"/>
        <item x="610"/>
        <item x="611"/>
        <item x="612"/>
      </items>
    </pivotField>
    <pivotField name="COD CONTABLE" axis="axisRow" compact="0" outline="0" showAll="0" sortType="ascending" defaultSubtotal="0">
      <items count="138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s>
    </pivotField>
    <pivotField dataField="1" compact="0" numFmtId="49" outline="0" showAll="0" defaultSubtotal="0"/>
    <pivotField compact="0" outline="0" showAll="0" defaultSubtotal="0"/>
    <pivotField name="TIPO*" axis="axisRow" compact="0" outline="0" showAll="0" sortType="ascending" defaultSubtotal="0">
      <items count="7">
        <item x="0"/>
        <item x="1"/>
        <item x="2"/>
        <item x="3"/>
        <item x="4"/>
        <item x="5"/>
        <item x="6"/>
      </items>
    </pivotField>
    <pivotField name="GRUPO**" axis="axisRow" compact="0" outline="0" showAll="0" defaultSubtotal="0">
      <items count="4">
        <item x="1"/>
        <item x="3"/>
        <item x="2"/>
        <item x="0"/>
      </items>
    </pivotField>
  </pivotFields>
  <rowFields count="4">
    <field x="6"/>
    <field x="5"/>
    <field x="9"/>
    <field x="10"/>
  </rowFields>
  <rowItems count="1382">
    <i>
      <x/>
      <x v="10"/>
      <x/>
      <x v="3"/>
    </i>
    <i>
      <x v="1"/>
      <x v="125"/>
      <x/>
      <x/>
    </i>
    <i>
      <x v="2"/>
      <x v="38"/>
      <x/>
      <x v="2"/>
    </i>
    <i>
      <x v="3"/>
      <x v="102"/>
      <x/>
      <x v="1"/>
    </i>
    <i>
      <x v="4"/>
      <x v="39"/>
      <x/>
      <x v="1"/>
    </i>
    <i>
      <x v="5"/>
      <x v="314"/>
      <x/>
      <x v="2"/>
    </i>
    <i>
      <x v="6"/>
      <x v="25"/>
      <x/>
      <x v="1"/>
    </i>
    <i>
      <x v="7"/>
      <x v="315"/>
      <x/>
      <x v="1"/>
    </i>
    <i>
      <x v="8"/>
      <x v="313"/>
      <x/>
      <x v="1"/>
    </i>
    <i>
      <x v="9"/>
      <x v="29"/>
      <x/>
      <x v="2"/>
    </i>
    <i>
      <x v="10"/>
      <x v="25"/>
      <x/>
      <x v="1"/>
    </i>
    <i>
      <x v="11"/>
      <x v="28"/>
      <x/>
      <x v="1"/>
    </i>
    <i>
      <x v="12"/>
      <x v="27"/>
      <x/>
      <x v="1"/>
    </i>
    <i>
      <x v="13"/>
      <x v="157"/>
      <x/>
      <x v="1"/>
    </i>
    <i>
      <x v="14"/>
      <x v="103"/>
      <x/>
      <x v="2"/>
    </i>
    <i>
      <x v="15"/>
      <x v="103"/>
      <x/>
      <x v="1"/>
    </i>
    <i>
      <x v="16"/>
      <x v="338"/>
      <x/>
      <x v="2"/>
    </i>
    <i>
      <x v="17"/>
      <x v="339"/>
      <x/>
      <x v="1"/>
    </i>
    <i>
      <x v="18"/>
      <x v="88"/>
      <x/>
      <x v="1"/>
    </i>
    <i>
      <x v="19"/>
      <x v="204"/>
      <x/>
      <x/>
    </i>
    <i>
      <x v="20"/>
      <x v="129"/>
      <x/>
      <x v="2"/>
    </i>
    <i>
      <x v="21"/>
      <x v="26"/>
      <x/>
      <x v="1"/>
    </i>
    <i>
      <x v="22"/>
      <x v="216"/>
      <x/>
      <x v="1"/>
    </i>
    <i>
      <x v="23"/>
      <x v="157"/>
      <x/>
      <x v="1"/>
    </i>
    <i>
      <x v="24"/>
      <x v="201"/>
      <x/>
      <x v="2"/>
    </i>
    <i>
      <x v="25"/>
      <x v="340"/>
      <x/>
      <x v="1"/>
    </i>
    <i>
      <x v="26"/>
      <x v="26"/>
      <x/>
      <x v="1"/>
    </i>
    <i>
      <x v="27"/>
      <x v="216"/>
      <x/>
      <x v="1"/>
    </i>
    <i>
      <x v="28"/>
      <x v="157"/>
      <x/>
      <x v="1"/>
    </i>
    <i>
      <x v="29"/>
      <x v="341"/>
      <x/>
      <x v="2"/>
    </i>
    <i>
      <x v="30"/>
      <x v="342"/>
      <x/>
      <x v="1"/>
    </i>
    <i>
      <x v="31"/>
      <x v="343"/>
      <x/>
      <x v="1"/>
    </i>
    <i>
      <x v="32"/>
      <x v="169"/>
      <x/>
      <x/>
    </i>
    <i>
      <x v="33"/>
      <x v="7"/>
      <x/>
      <x v="2"/>
    </i>
    <i>
      <x v="34"/>
      <x v="344"/>
      <x/>
      <x v="1"/>
    </i>
    <i>
      <x v="35"/>
      <x v="345"/>
      <x/>
      <x v="1"/>
    </i>
    <i>
      <x v="36"/>
      <x v="346"/>
      <x/>
      <x v="1"/>
    </i>
    <i>
      <x v="37"/>
      <x v="347"/>
      <x/>
      <x v="1"/>
    </i>
    <i>
      <x v="38"/>
      <x v="348"/>
      <x/>
      <x v="1"/>
    </i>
    <i>
      <x v="39"/>
      <x v="349"/>
      <x/>
      <x v="1"/>
    </i>
    <i>
      <x v="40"/>
      <x v="350"/>
      <x/>
      <x v="1"/>
    </i>
    <i>
      <x v="41"/>
      <x v="351"/>
      <x/>
      <x v="1"/>
    </i>
    <i>
      <x v="42"/>
      <x v="352"/>
      <x/>
      <x v="1"/>
    </i>
    <i>
      <x v="43"/>
      <x v="353"/>
      <x/>
      <x v="1"/>
    </i>
    <i>
      <x v="44"/>
      <x v="354"/>
      <x/>
      <x v="2"/>
    </i>
    <i>
      <x v="45"/>
      <x v="355"/>
      <x/>
      <x v="1"/>
    </i>
    <i>
      <x v="46"/>
      <x v="356"/>
      <x/>
      <x v="1"/>
    </i>
    <i>
      <x v="47"/>
      <x v="357"/>
      <x/>
      <x v="1"/>
    </i>
    <i>
      <x v="48"/>
      <x v="358"/>
      <x/>
      <x v="1"/>
    </i>
    <i>
      <x v="49"/>
      <x v="359"/>
      <x/>
      <x v="1"/>
    </i>
    <i>
      <x v="50"/>
      <x v="98"/>
      <x/>
      <x v="2"/>
    </i>
    <i>
      <x v="51"/>
      <x v="344"/>
      <x/>
      <x v="1"/>
    </i>
    <i>
      <x v="52"/>
      <x v="345"/>
      <x/>
      <x v="1"/>
    </i>
    <i>
      <x v="53"/>
      <x v="346"/>
      <x/>
      <x v="1"/>
    </i>
    <i>
      <x v="54"/>
      <x v="347"/>
      <x/>
      <x v="1"/>
    </i>
    <i>
      <x v="55"/>
      <x v="348"/>
      <x/>
      <x v="1"/>
    </i>
    <i>
      <x v="56"/>
      <x v="349"/>
      <x/>
      <x v="1"/>
    </i>
    <i>
      <x v="57"/>
      <x v="350"/>
      <x/>
      <x v="1"/>
    </i>
    <i>
      <x v="58"/>
      <x v="351"/>
      <x/>
      <x v="1"/>
    </i>
    <i>
      <x v="59"/>
      <x v="352"/>
      <x/>
      <x v="1"/>
    </i>
    <i>
      <x v="60"/>
      <x v="353"/>
      <x/>
      <x v="1"/>
    </i>
    <i>
      <x v="61"/>
      <x v="360"/>
      <x/>
      <x v="2"/>
    </i>
    <i>
      <x v="62"/>
      <x v="355"/>
      <x/>
      <x v="1"/>
    </i>
    <i>
      <x v="63"/>
      <x v="356"/>
      <x/>
      <x v="1"/>
    </i>
    <i>
      <x v="64"/>
      <x v="357"/>
      <x/>
      <x v="1"/>
    </i>
    <i>
      <x v="65"/>
      <x v="358"/>
      <x/>
      <x v="1"/>
    </i>
    <i>
      <x v="66"/>
      <x v="359"/>
      <x/>
      <x v="1"/>
    </i>
    <i>
      <x v="67"/>
      <x v="180"/>
      <x/>
      <x v="2"/>
    </i>
    <i>
      <x v="68"/>
      <x v="344"/>
      <x/>
      <x v="1"/>
    </i>
    <i>
      <x v="69"/>
      <x v="345"/>
      <x/>
      <x v="1"/>
    </i>
    <i>
      <x v="70"/>
      <x v="346"/>
      <x/>
      <x v="1"/>
    </i>
    <i>
      <x v="71"/>
      <x v="361"/>
      <x/>
      <x v="1"/>
    </i>
    <i>
      <x v="72"/>
      <x v="75"/>
      <x/>
      <x v="1"/>
    </i>
    <i>
      <x v="73"/>
      <x v="78"/>
      <x/>
      <x v="1"/>
    </i>
    <i>
      <x v="74"/>
      <x v="81"/>
      <x/>
      <x v="1"/>
    </i>
    <i>
      <x v="75"/>
      <x v="362"/>
      <x/>
      <x v="1"/>
    </i>
    <i>
      <x v="76"/>
      <x v="349"/>
      <x/>
      <x v="1"/>
    </i>
    <i>
      <x v="77"/>
      <x v="350"/>
      <x/>
      <x v="1"/>
    </i>
    <i>
      <x v="78"/>
      <x v="351"/>
      <x/>
      <x v="1"/>
    </i>
    <i>
      <x v="79"/>
      <x v="363"/>
      <x/>
      <x v="1"/>
    </i>
    <i>
      <x v="80"/>
      <x v="74"/>
      <x/>
      <x v="1"/>
    </i>
    <i>
      <x v="81"/>
      <x v="77"/>
      <x/>
      <x v="1"/>
    </i>
    <i>
      <x v="82"/>
      <x v="80"/>
      <x/>
      <x v="1"/>
    </i>
    <i>
      <x v="83"/>
      <x v="364"/>
      <x/>
      <x v="1"/>
    </i>
    <i>
      <x v="84"/>
      <x v="365"/>
      <x/>
      <x v="2"/>
    </i>
    <i>
      <x v="85"/>
      <x v="355"/>
      <x/>
      <x v="1"/>
    </i>
    <i>
      <x v="86"/>
      <x v="356"/>
      <x/>
      <x v="1"/>
    </i>
    <i>
      <x v="87"/>
      <x v="357"/>
      <x/>
      <x v="1"/>
    </i>
    <i>
      <x v="88"/>
      <x v="366"/>
      <x/>
      <x v="1"/>
    </i>
    <i>
      <x v="89"/>
      <x v="73"/>
      <x/>
      <x v="1"/>
    </i>
    <i>
      <x v="90"/>
      <x v="76"/>
      <x/>
      <x v="1"/>
    </i>
    <i>
      <x v="91"/>
      <x v="79"/>
      <x/>
      <x v="1"/>
    </i>
    <i>
      <x v="92"/>
      <x v="367"/>
      <x/>
      <x v="1"/>
    </i>
    <i>
      <x v="93"/>
      <x v="84"/>
      <x/>
      <x v="2"/>
    </i>
    <i>
      <x v="94"/>
      <x v="112"/>
      <x/>
      <x v="1"/>
    </i>
    <i>
      <x v="95"/>
      <x v="368"/>
      <x/>
      <x v="1"/>
    </i>
    <i>
      <x v="96"/>
      <x v="316"/>
      <x/>
      <x v="1"/>
    </i>
    <i>
      <x v="97"/>
      <x v="369"/>
      <x/>
      <x v="1"/>
    </i>
    <i>
      <x v="98"/>
      <x v="219"/>
      <x/>
      <x v="1"/>
    </i>
    <i>
      <x v="99"/>
      <x v="370"/>
      <x/>
      <x v="2"/>
    </i>
    <i>
      <x v="100"/>
      <x v="371"/>
      <x/>
      <x v="1"/>
    </i>
    <i>
      <x v="101"/>
      <x v="372"/>
      <x/>
      <x v="1"/>
    </i>
    <i>
      <x v="102"/>
      <x v="373"/>
      <x/>
      <x/>
    </i>
    <i>
      <x v="103"/>
      <x v="374"/>
      <x/>
      <x v="2"/>
    </i>
    <i>
      <x v="104"/>
      <x v="355"/>
      <x/>
      <x v="1"/>
    </i>
    <i>
      <x v="105"/>
      <x v="356"/>
      <x/>
      <x v="1"/>
    </i>
    <i>
      <x v="106"/>
      <x v="357"/>
      <x/>
      <x v="1"/>
    </i>
    <i>
      <x v="107"/>
      <x v="358"/>
      <x/>
      <x v="1"/>
    </i>
    <i>
      <x v="108"/>
      <x v="359"/>
      <x/>
      <x v="1"/>
    </i>
    <i>
      <x v="109"/>
      <x v="375"/>
      <x/>
      <x v="2"/>
    </i>
    <i>
      <x v="110"/>
      <x v="355"/>
      <x/>
      <x v="1"/>
    </i>
    <i>
      <x v="111"/>
      <x v="356"/>
      <x/>
      <x v="1"/>
    </i>
    <i>
      <x v="112"/>
      <x v="357"/>
      <x/>
      <x v="1"/>
    </i>
    <i>
      <x v="113"/>
      <x v="358"/>
      <x/>
      <x v="1"/>
    </i>
    <i>
      <x v="114"/>
      <x v="359"/>
      <x/>
      <x v="1"/>
    </i>
    <i>
      <x v="115"/>
      <x v="376"/>
      <x/>
      <x v="2"/>
    </i>
    <i>
      <x v="116"/>
      <x v="355"/>
      <x/>
      <x v="1"/>
    </i>
    <i>
      <x v="117"/>
      <x v="356"/>
      <x/>
      <x v="1"/>
    </i>
    <i>
      <x v="118"/>
      <x v="357"/>
      <x/>
      <x v="1"/>
    </i>
    <i>
      <x v="119"/>
      <x v="358"/>
      <x/>
      <x v="1"/>
    </i>
    <i>
      <x v="120"/>
      <x v="359"/>
      <x/>
      <x v="1"/>
    </i>
    <i>
      <x v="121"/>
      <x v="377"/>
      <x/>
      <x v="2"/>
    </i>
    <i>
      <x v="122"/>
      <x v="355"/>
      <x/>
      <x v="1"/>
    </i>
    <i>
      <x v="123"/>
      <x v="356"/>
      <x/>
      <x v="1"/>
    </i>
    <i>
      <x v="124"/>
      <x v="357"/>
      <x/>
      <x v="1"/>
    </i>
    <i>
      <x v="125"/>
      <x v="358"/>
      <x/>
      <x v="1"/>
    </i>
    <i>
      <x v="126"/>
      <x v="359"/>
      <x/>
      <x v="1"/>
    </i>
    <i>
      <x v="127"/>
      <x v="378"/>
      <x/>
      <x v="2"/>
    </i>
    <i>
      <x v="128"/>
      <x v="355"/>
      <x/>
      <x v="1"/>
    </i>
    <i>
      <x v="129"/>
      <x v="356"/>
      <x/>
      <x v="1"/>
    </i>
    <i>
      <x v="130"/>
      <x v="357"/>
      <x/>
      <x v="1"/>
    </i>
    <i>
      <x v="131"/>
      <x v="358"/>
      <x/>
      <x v="1"/>
    </i>
    <i>
      <x v="132"/>
      <x v="359"/>
      <x/>
      <x v="1"/>
    </i>
    <i>
      <x v="133"/>
      <x v="379"/>
      <x/>
      <x v="2"/>
    </i>
    <i>
      <x v="134"/>
      <x v="355"/>
      <x/>
      <x v="1"/>
    </i>
    <i>
      <x v="135"/>
      <x v="356"/>
      <x/>
      <x v="1"/>
    </i>
    <i>
      <x v="136"/>
      <x v="357"/>
      <x/>
      <x v="1"/>
    </i>
    <i>
      <x v="137"/>
      <x v="358"/>
      <x/>
      <x v="1"/>
    </i>
    <i>
      <x v="138"/>
      <x v="359"/>
      <x/>
      <x v="1"/>
    </i>
    <i>
      <x v="139"/>
      <x v="380"/>
      <x/>
      <x v="2"/>
    </i>
    <i>
      <x v="140"/>
      <x v="355"/>
      <x/>
      <x v="1"/>
    </i>
    <i>
      <x v="141"/>
      <x v="356"/>
      <x/>
      <x v="1"/>
    </i>
    <i>
      <x v="142"/>
      <x v="357"/>
      <x/>
      <x v="1"/>
    </i>
    <i>
      <x v="143"/>
      <x v="358"/>
      <x/>
      <x v="1"/>
    </i>
    <i>
      <x v="144"/>
      <x v="359"/>
      <x/>
      <x v="1"/>
    </i>
    <i>
      <x v="145"/>
      <x v="381"/>
      <x/>
      <x v="2"/>
    </i>
    <i>
      <x v="146"/>
      <x v="355"/>
      <x/>
      <x v="1"/>
    </i>
    <i>
      <x v="147"/>
      <x v="356"/>
      <x/>
      <x v="1"/>
    </i>
    <i>
      <x v="148"/>
      <x v="357"/>
      <x/>
      <x v="1"/>
    </i>
    <i>
      <x v="149"/>
      <x v="358"/>
      <x/>
      <x v="1"/>
    </i>
    <i>
      <x v="150"/>
      <x v="359"/>
      <x/>
      <x v="1"/>
    </i>
    <i>
      <x v="151"/>
      <x v="382"/>
      <x/>
      <x v="2"/>
    </i>
    <i>
      <x v="152"/>
      <x v="355"/>
      <x/>
      <x v="1"/>
    </i>
    <i>
      <x v="153"/>
      <x v="356"/>
      <x/>
      <x v="1"/>
    </i>
    <i>
      <x v="154"/>
      <x v="357"/>
      <x/>
      <x v="1"/>
    </i>
    <i>
      <x v="155"/>
      <x v="358"/>
      <x/>
      <x v="1"/>
    </i>
    <i>
      <x v="156"/>
      <x v="359"/>
      <x/>
      <x v="1"/>
    </i>
    <i>
      <x v="157"/>
      <x v="383"/>
      <x/>
      <x v="2"/>
    </i>
    <i>
      <x v="158"/>
      <x v="355"/>
      <x/>
      <x v="1"/>
    </i>
    <i>
      <x v="159"/>
      <x v="356"/>
      <x/>
      <x v="1"/>
    </i>
    <i>
      <x v="160"/>
      <x v="357"/>
      <x/>
      <x v="1"/>
    </i>
    <i>
      <x v="161"/>
      <x v="358"/>
      <x/>
      <x v="1"/>
    </i>
    <i>
      <x v="162"/>
      <x v="359"/>
      <x/>
      <x v="1"/>
    </i>
    <i>
      <x v="163"/>
      <x v="384"/>
      <x/>
      <x v="2"/>
    </i>
    <i>
      <x v="164"/>
      <x v="355"/>
      <x/>
      <x v="1"/>
    </i>
    <i>
      <x v="165"/>
      <x v="356"/>
      <x/>
      <x v="1"/>
    </i>
    <i>
      <x v="166"/>
      <x v="357"/>
      <x/>
      <x v="1"/>
    </i>
    <i>
      <x v="167"/>
      <x v="358"/>
      <x/>
      <x v="1"/>
    </i>
    <i>
      <x v="168"/>
      <x v="359"/>
      <x/>
      <x v="1"/>
    </i>
    <i>
      <x v="169"/>
      <x v="385"/>
      <x/>
      <x v="2"/>
    </i>
    <i>
      <x v="170"/>
      <x v="355"/>
      <x/>
      <x v="1"/>
    </i>
    <i>
      <x v="171"/>
      <x v="356"/>
      <x/>
      <x v="1"/>
    </i>
    <i>
      <x v="172"/>
      <x v="357"/>
      <x/>
      <x v="1"/>
    </i>
    <i>
      <x v="173"/>
      <x v="358"/>
      <x/>
      <x v="1"/>
    </i>
    <i>
      <x v="174"/>
      <x v="359"/>
      <x/>
      <x v="1"/>
    </i>
    <i>
      <x v="175"/>
      <x v="386"/>
      <x/>
      <x v="2"/>
    </i>
    <i>
      <x v="176"/>
      <x v="355"/>
      <x/>
      <x v="1"/>
    </i>
    <i>
      <x v="177"/>
      <x v="356"/>
      <x/>
      <x v="1"/>
    </i>
    <i>
      <x v="178"/>
      <x v="357"/>
      <x/>
      <x v="1"/>
    </i>
    <i>
      <x v="179"/>
      <x v="358"/>
      <x/>
      <x v="1"/>
    </i>
    <i>
      <x v="180"/>
      <x v="359"/>
      <x/>
      <x v="1"/>
    </i>
    <i>
      <x v="181"/>
      <x v="387"/>
      <x/>
      <x v="2"/>
    </i>
    <i>
      <x v="182"/>
      <x v="355"/>
      <x/>
      <x v="1"/>
    </i>
    <i>
      <x v="183"/>
      <x v="356"/>
      <x/>
      <x v="1"/>
    </i>
    <i>
      <x v="184"/>
      <x v="357"/>
      <x/>
      <x v="1"/>
    </i>
    <i>
      <x v="185"/>
      <x v="358"/>
      <x/>
      <x v="1"/>
    </i>
    <i>
      <x v="186"/>
      <x v="359"/>
      <x/>
      <x v="1"/>
    </i>
    <i>
      <x v="187"/>
      <x v="388"/>
      <x/>
      <x v="2"/>
    </i>
    <i>
      <x v="188"/>
      <x v="355"/>
      <x/>
      <x v="1"/>
    </i>
    <i>
      <x v="189"/>
      <x v="356"/>
      <x/>
      <x v="1"/>
    </i>
    <i>
      <x v="190"/>
      <x v="357"/>
      <x/>
      <x v="1"/>
    </i>
    <i>
      <x v="191"/>
      <x v="358"/>
      <x/>
      <x v="1"/>
    </i>
    <i>
      <x v="192"/>
      <x v="359"/>
      <x/>
      <x v="1"/>
    </i>
    <i>
      <x v="193"/>
      <x v="389"/>
      <x/>
      <x v="2"/>
    </i>
    <i>
      <x v="194"/>
      <x v="355"/>
      <x/>
      <x v="1"/>
    </i>
    <i>
      <x v="195"/>
      <x v="356"/>
      <x/>
      <x v="1"/>
    </i>
    <i>
      <x v="196"/>
      <x v="357"/>
      <x/>
      <x v="1"/>
    </i>
    <i>
      <x v="197"/>
      <x v="358"/>
      <x/>
      <x v="1"/>
    </i>
    <i>
      <x v="198"/>
      <x v="359"/>
      <x/>
      <x v="1"/>
    </i>
    <i>
      <x v="199"/>
      <x v="390"/>
      <x/>
      <x v="2"/>
    </i>
    <i>
      <x v="200"/>
      <x v="355"/>
      <x/>
      <x v="1"/>
    </i>
    <i>
      <x v="201"/>
      <x v="356"/>
      <x/>
      <x v="1"/>
    </i>
    <i>
      <x v="202"/>
      <x v="357"/>
      <x/>
      <x v="1"/>
    </i>
    <i>
      <x v="203"/>
      <x v="358"/>
      <x/>
      <x v="1"/>
    </i>
    <i>
      <x v="204"/>
      <x v="359"/>
      <x/>
      <x v="1"/>
    </i>
    <i>
      <x v="205"/>
      <x v="391"/>
      <x/>
      <x v="2"/>
    </i>
    <i>
      <x v="206"/>
      <x v="355"/>
      <x/>
      <x v="1"/>
    </i>
    <i>
      <x v="207"/>
      <x v="356"/>
      <x/>
      <x v="1"/>
    </i>
    <i>
      <x v="208"/>
      <x v="357"/>
      <x/>
      <x v="1"/>
    </i>
    <i>
      <x v="209"/>
      <x v="358"/>
      <x/>
      <x v="1"/>
    </i>
    <i>
      <x v="210"/>
      <x v="359"/>
      <x/>
      <x v="1"/>
    </i>
    <i>
      <x v="211"/>
      <x v="392"/>
      <x/>
      <x v="2"/>
    </i>
    <i>
      <x v="212"/>
      <x v="355"/>
      <x/>
      <x v="1"/>
    </i>
    <i>
      <x v="213"/>
      <x v="356"/>
      <x/>
      <x v="1"/>
    </i>
    <i>
      <x v="214"/>
      <x v="357"/>
      <x/>
      <x v="1"/>
    </i>
    <i>
      <x v="215"/>
      <x v="358"/>
      <x/>
      <x v="1"/>
    </i>
    <i>
      <x v="216"/>
      <x v="359"/>
      <x/>
      <x v="1"/>
    </i>
    <i>
      <x v="217"/>
      <x v="393"/>
      <x/>
      <x v="2"/>
    </i>
    <i>
      <x v="218"/>
      <x v="355"/>
      <x/>
      <x v="1"/>
    </i>
    <i>
      <x v="219"/>
      <x v="356"/>
      <x/>
      <x v="1"/>
    </i>
    <i>
      <x v="220"/>
      <x v="357"/>
      <x/>
      <x v="1"/>
    </i>
    <i>
      <x v="221"/>
      <x v="358"/>
      <x/>
      <x v="1"/>
    </i>
    <i>
      <x v="222"/>
      <x v="359"/>
      <x/>
      <x v="1"/>
    </i>
    <i>
      <x v="223"/>
      <x v="394"/>
      <x/>
      <x v="2"/>
    </i>
    <i>
      <x v="224"/>
      <x v="355"/>
      <x/>
      <x v="1"/>
    </i>
    <i>
      <x v="225"/>
      <x v="356"/>
      <x/>
      <x v="1"/>
    </i>
    <i>
      <x v="226"/>
      <x v="357"/>
      <x/>
      <x v="1"/>
    </i>
    <i>
      <x v="227"/>
      <x v="358"/>
      <x/>
      <x v="1"/>
    </i>
    <i>
      <x v="228"/>
      <x v="359"/>
      <x/>
      <x v="1"/>
    </i>
    <i>
      <x v="229"/>
      <x v="395"/>
      <x/>
      <x v="2"/>
    </i>
    <i>
      <x v="230"/>
      <x v="355"/>
      <x/>
      <x v="1"/>
    </i>
    <i>
      <x v="231"/>
      <x v="356"/>
      <x/>
      <x v="1"/>
    </i>
    <i>
      <x v="232"/>
      <x v="357"/>
      <x/>
      <x v="1"/>
    </i>
    <i>
      <x v="233"/>
      <x v="358"/>
      <x/>
      <x v="1"/>
    </i>
    <i>
      <x v="234"/>
      <x v="359"/>
      <x/>
      <x v="1"/>
    </i>
    <i>
      <x v="235"/>
      <x v="396"/>
      <x/>
      <x v="2"/>
    </i>
    <i>
      <x v="236"/>
      <x v="355"/>
      <x/>
      <x v="1"/>
    </i>
    <i>
      <x v="237"/>
      <x v="356"/>
      <x/>
      <x v="1"/>
    </i>
    <i>
      <x v="238"/>
      <x v="357"/>
      <x/>
      <x v="1"/>
    </i>
    <i>
      <x v="239"/>
      <x v="358"/>
      <x/>
      <x v="1"/>
    </i>
    <i>
      <x v="240"/>
      <x v="359"/>
      <x/>
      <x v="1"/>
    </i>
    <i>
      <x v="241"/>
      <x v="397"/>
      <x/>
      <x v="2"/>
    </i>
    <i>
      <x v="242"/>
      <x v="355"/>
      <x/>
      <x v="1"/>
    </i>
    <i>
      <x v="243"/>
      <x v="356"/>
      <x/>
      <x v="1"/>
    </i>
    <i>
      <x v="244"/>
      <x v="357"/>
      <x/>
      <x v="1"/>
    </i>
    <i>
      <x v="245"/>
      <x v="358"/>
      <x/>
      <x v="1"/>
    </i>
    <i>
      <x v="246"/>
      <x v="359"/>
      <x/>
      <x v="1"/>
    </i>
    <i>
      <x v="247"/>
      <x v="398"/>
      <x/>
      <x v="2"/>
    </i>
    <i>
      <x v="248"/>
      <x v="355"/>
      <x/>
      <x v="1"/>
    </i>
    <i>
      <x v="249"/>
      <x v="356"/>
      <x/>
      <x v="1"/>
    </i>
    <i>
      <x v="250"/>
      <x v="357"/>
      <x/>
      <x v="1"/>
    </i>
    <i>
      <x v="251"/>
      <x v="358"/>
      <x/>
      <x v="1"/>
    </i>
    <i>
      <x v="252"/>
      <x v="359"/>
      <x/>
      <x v="1"/>
    </i>
    <i>
      <x v="253"/>
      <x v="399"/>
      <x/>
      <x v="2"/>
    </i>
    <i>
      <x v="254"/>
      <x v="355"/>
      <x/>
      <x v="1"/>
    </i>
    <i>
      <x v="255"/>
      <x v="356"/>
      <x/>
      <x v="1"/>
    </i>
    <i>
      <x v="256"/>
      <x v="357"/>
      <x/>
      <x v="1"/>
    </i>
    <i>
      <x v="257"/>
      <x v="358"/>
      <x/>
      <x v="1"/>
    </i>
    <i>
      <x v="258"/>
      <x v="359"/>
      <x/>
      <x v="1"/>
    </i>
    <i>
      <x v="259"/>
      <x v="400"/>
      <x/>
      <x v="2"/>
    </i>
    <i>
      <x v="260"/>
      <x v="355"/>
      <x/>
      <x v="1"/>
    </i>
    <i>
      <x v="261"/>
      <x v="356"/>
      <x/>
      <x v="1"/>
    </i>
    <i>
      <x v="262"/>
      <x v="357"/>
      <x/>
      <x v="1"/>
    </i>
    <i>
      <x v="263"/>
      <x v="358"/>
      <x/>
      <x v="1"/>
    </i>
    <i>
      <x v="264"/>
      <x v="359"/>
      <x/>
      <x v="1"/>
    </i>
    <i>
      <x v="265"/>
      <x v="401"/>
      <x/>
      <x v="2"/>
    </i>
    <i>
      <x v="266"/>
      <x v="355"/>
      <x/>
      <x v="1"/>
    </i>
    <i>
      <x v="267"/>
      <x v="356"/>
      <x/>
      <x v="1"/>
    </i>
    <i>
      <x v="268"/>
      <x v="357"/>
      <x/>
      <x v="1"/>
    </i>
    <i>
      <x v="269"/>
      <x v="358"/>
      <x/>
      <x v="1"/>
    </i>
    <i>
      <x v="270"/>
      <x v="359"/>
      <x/>
      <x v="1"/>
    </i>
    <i>
      <x v="271"/>
      <x v="402"/>
      <x/>
      <x v="2"/>
    </i>
    <i>
      <x v="272"/>
      <x v="355"/>
      <x/>
      <x v="1"/>
    </i>
    <i>
      <x v="273"/>
      <x v="356"/>
      <x/>
      <x v="1"/>
    </i>
    <i>
      <x v="274"/>
      <x v="357"/>
      <x/>
      <x v="1"/>
    </i>
    <i>
      <x v="275"/>
      <x v="358"/>
      <x/>
      <x v="1"/>
    </i>
    <i>
      <x v="276"/>
      <x v="359"/>
      <x/>
      <x v="1"/>
    </i>
    <i>
      <x v="277"/>
      <x v="403"/>
      <x/>
      <x v="2"/>
    </i>
    <i>
      <x v="278"/>
      <x v="355"/>
      <x/>
      <x v="1"/>
    </i>
    <i>
      <x v="279"/>
      <x v="356"/>
      <x/>
      <x v="1"/>
    </i>
    <i>
      <x v="280"/>
      <x v="357"/>
      <x/>
      <x v="1"/>
    </i>
    <i>
      <x v="281"/>
      <x v="358"/>
      <x/>
      <x v="1"/>
    </i>
    <i>
      <x v="282"/>
      <x v="359"/>
      <x/>
      <x v="1"/>
    </i>
    <i>
      <x v="283"/>
      <x v="404"/>
      <x/>
      <x v="2"/>
    </i>
    <i>
      <x v="284"/>
      <x v="355"/>
      <x/>
      <x v="1"/>
    </i>
    <i>
      <x v="285"/>
      <x v="356"/>
      <x/>
      <x v="1"/>
    </i>
    <i>
      <x v="286"/>
      <x v="357"/>
      <x/>
      <x v="1"/>
    </i>
    <i>
      <x v="287"/>
      <x v="358"/>
      <x/>
      <x v="1"/>
    </i>
    <i>
      <x v="288"/>
      <x v="359"/>
      <x/>
      <x v="1"/>
    </i>
    <i>
      <x v="289"/>
      <x v="405"/>
      <x/>
      <x v="2"/>
    </i>
    <i>
      <x v="290"/>
      <x v="355"/>
      <x/>
      <x v="1"/>
    </i>
    <i>
      <x v="291"/>
      <x v="356"/>
      <x/>
      <x v="1"/>
    </i>
    <i>
      <x v="292"/>
      <x v="357"/>
      <x/>
      <x v="1"/>
    </i>
    <i>
      <x v="293"/>
      <x v="358"/>
      <x/>
      <x v="1"/>
    </i>
    <i>
      <x v="294"/>
      <x v="359"/>
      <x/>
      <x v="1"/>
    </i>
    <i>
      <x v="295"/>
      <x v="406"/>
      <x/>
      <x v="2"/>
    </i>
    <i>
      <x v="296"/>
      <x v="355"/>
      <x/>
      <x v="1"/>
    </i>
    <i>
      <x v="297"/>
      <x v="356"/>
      <x/>
      <x v="1"/>
    </i>
    <i>
      <x v="298"/>
      <x v="357"/>
      <x/>
      <x v="1"/>
    </i>
    <i>
      <x v="299"/>
      <x v="358"/>
      <x/>
      <x v="1"/>
    </i>
    <i>
      <x v="300"/>
      <x v="359"/>
      <x/>
      <x v="1"/>
    </i>
    <i>
      <x v="301"/>
      <x v="407"/>
      <x/>
      <x v="2"/>
    </i>
    <i>
      <x v="302"/>
      <x v="355"/>
      <x/>
      <x v="1"/>
    </i>
    <i>
      <x v="303"/>
      <x v="356"/>
      <x/>
      <x v="1"/>
    </i>
    <i>
      <x v="304"/>
      <x v="357"/>
      <x/>
      <x v="1"/>
    </i>
    <i>
      <x v="305"/>
      <x v="358"/>
      <x/>
      <x v="1"/>
    </i>
    <i>
      <x v="306"/>
      <x v="359"/>
      <x/>
      <x v="1"/>
    </i>
    <i>
      <x v="307"/>
      <x v="408"/>
      <x/>
      <x v="2"/>
    </i>
    <i>
      <x v="308"/>
      <x v="355"/>
      <x/>
      <x v="1"/>
    </i>
    <i>
      <x v="309"/>
      <x v="356"/>
      <x/>
      <x v="1"/>
    </i>
    <i>
      <x v="310"/>
      <x v="357"/>
      <x/>
      <x v="1"/>
    </i>
    <i>
      <x v="311"/>
      <x v="358"/>
      <x/>
      <x v="1"/>
    </i>
    <i>
      <x v="312"/>
      <x v="359"/>
      <x/>
      <x v="1"/>
    </i>
    <i>
      <x v="313"/>
      <x v="409"/>
      <x/>
      <x v="2"/>
    </i>
    <i>
      <x v="314"/>
      <x v="355"/>
      <x/>
      <x v="1"/>
    </i>
    <i>
      <x v="315"/>
      <x v="356"/>
      <x/>
      <x v="1"/>
    </i>
    <i>
      <x v="316"/>
      <x v="357"/>
      <x/>
      <x v="1"/>
    </i>
    <i>
      <x v="317"/>
      <x v="358"/>
      <x/>
      <x v="1"/>
    </i>
    <i>
      <x v="318"/>
      <x v="359"/>
      <x/>
      <x v="1"/>
    </i>
    <i>
      <x v="319"/>
      <x v="410"/>
      <x/>
      <x v="2"/>
    </i>
    <i>
      <x v="320"/>
      <x v="355"/>
      <x/>
      <x v="1"/>
    </i>
    <i>
      <x v="321"/>
      <x v="356"/>
      <x/>
      <x v="1"/>
    </i>
    <i>
      <x v="322"/>
      <x v="357"/>
      <x/>
      <x v="1"/>
    </i>
    <i>
      <x v="323"/>
      <x v="358"/>
      <x/>
      <x v="1"/>
    </i>
    <i>
      <x v="324"/>
      <x v="359"/>
      <x/>
      <x v="1"/>
    </i>
    <i>
      <x v="325"/>
      <x v="411"/>
      <x/>
      <x v="2"/>
    </i>
    <i>
      <x v="326"/>
      <x v="355"/>
      <x/>
      <x v="1"/>
    </i>
    <i>
      <x v="327"/>
      <x v="356"/>
      <x/>
      <x v="1"/>
    </i>
    <i>
      <x v="328"/>
      <x v="357"/>
      <x/>
      <x v="1"/>
    </i>
    <i>
      <x v="329"/>
      <x v="358"/>
      <x/>
      <x v="1"/>
    </i>
    <i>
      <x v="330"/>
      <x v="359"/>
      <x/>
      <x v="1"/>
    </i>
    <i>
      <x v="331"/>
      <x v="412"/>
      <x/>
      <x v="2"/>
    </i>
    <i>
      <x v="332"/>
      <x v="355"/>
      <x/>
      <x v="1"/>
    </i>
    <i>
      <x v="333"/>
      <x v="356"/>
      <x/>
      <x v="1"/>
    </i>
    <i>
      <x v="334"/>
      <x v="357"/>
      <x/>
      <x v="1"/>
    </i>
    <i>
      <x v="335"/>
      <x v="358"/>
      <x/>
      <x v="1"/>
    </i>
    <i>
      <x v="336"/>
      <x v="359"/>
      <x/>
      <x v="1"/>
    </i>
    <i>
      <x v="337"/>
      <x v="413"/>
      <x/>
      <x v="2"/>
    </i>
    <i>
      <x v="338"/>
      <x v="355"/>
      <x/>
      <x v="1"/>
    </i>
    <i>
      <x v="339"/>
      <x v="356"/>
      <x/>
      <x v="1"/>
    </i>
    <i>
      <x v="340"/>
      <x v="357"/>
      <x/>
      <x v="1"/>
    </i>
    <i>
      <x v="341"/>
      <x v="358"/>
      <x/>
      <x v="1"/>
    </i>
    <i>
      <x v="342"/>
      <x v="359"/>
      <x/>
      <x v="1"/>
    </i>
    <i>
      <x v="343"/>
      <x v="414"/>
      <x/>
      <x v="2"/>
    </i>
    <i>
      <x v="344"/>
      <x v="355"/>
      <x/>
      <x v="1"/>
    </i>
    <i>
      <x v="345"/>
      <x v="356"/>
      <x/>
      <x v="1"/>
    </i>
    <i>
      <x v="346"/>
      <x v="357"/>
      <x/>
      <x v="1"/>
    </i>
    <i>
      <x v="347"/>
      <x v="358"/>
      <x/>
      <x v="1"/>
    </i>
    <i>
      <x v="348"/>
      <x v="359"/>
      <x/>
      <x v="1"/>
    </i>
    <i>
      <x v="349"/>
      <x v="415"/>
      <x/>
      <x v="2"/>
    </i>
    <i>
      <x v="350"/>
      <x v="355"/>
      <x/>
      <x v="1"/>
    </i>
    <i>
      <x v="351"/>
      <x v="356"/>
      <x/>
      <x v="1"/>
    </i>
    <i>
      <x v="352"/>
      <x v="357"/>
      <x/>
      <x v="1"/>
    </i>
    <i>
      <x v="353"/>
      <x v="358"/>
      <x/>
      <x v="1"/>
    </i>
    <i>
      <x v="354"/>
      <x v="359"/>
      <x/>
      <x v="1"/>
    </i>
    <i>
      <x v="355"/>
      <x v="416"/>
      <x/>
      <x v="2"/>
    </i>
    <i>
      <x v="356"/>
      <x v="355"/>
      <x/>
      <x v="1"/>
    </i>
    <i>
      <x v="357"/>
      <x v="356"/>
      <x/>
      <x v="1"/>
    </i>
    <i>
      <x v="358"/>
      <x v="357"/>
      <x/>
      <x v="1"/>
    </i>
    <i>
      <x v="359"/>
      <x v="358"/>
      <x/>
      <x v="1"/>
    </i>
    <i>
      <x v="360"/>
      <x v="359"/>
      <x/>
      <x v="1"/>
    </i>
    <i>
      <x v="361"/>
      <x v="417"/>
      <x/>
      <x v="2"/>
    </i>
    <i>
      <x v="362"/>
      <x v="355"/>
      <x/>
      <x v="1"/>
    </i>
    <i>
      <x v="363"/>
      <x v="356"/>
      <x/>
      <x v="1"/>
    </i>
    <i>
      <x v="364"/>
      <x v="357"/>
      <x/>
      <x v="1"/>
    </i>
    <i>
      <x v="365"/>
      <x v="418"/>
      <x/>
      <x v="1"/>
    </i>
    <i>
      <x v="366"/>
      <x v="419"/>
      <x/>
      <x v="1"/>
    </i>
    <i>
      <x v="367"/>
      <x v="420"/>
      <x/>
      <x v="2"/>
    </i>
    <i>
      <x v="368"/>
      <x v="355"/>
      <x/>
      <x v="1"/>
    </i>
    <i>
      <x v="369"/>
      <x v="356"/>
      <x/>
      <x v="1"/>
    </i>
    <i>
      <x v="370"/>
      <x v="421"/>
      <x/>
      <x v="1"/>
    </i>
    <i>
      <x v="371"/>
      <x v="422"/>
      <x/>
      <x v="1"/>
    </i>
    <i>
      <x v="372"/>
      <x v="423"/>
      <x/>
      <x v="1"/>
    </i>
    <i>
      <x v="373"/>
      <x v="424"/>
      <x/>
      <x v="1"/>
    </i>
    <i>
      <x v="374"/>
      <x v="425"/>
      <x/>
      <x v="2"/>
    </i>
    <i>
      <x v="375"/>
      <x v="355"/>
      <x/>
      <x v="1"/>
    </i>
    <i>
      <x v="376"/>
      <x v="356"/>
      <x/>
      <x v="1"/>
    </i>
    <i>
      <x v="377"/>
      <x v="357"/>
      <x/>
      <x v="1"/>
    </i>
    <i>
      <x v="378"/>
      <x v="358"/>
      <x/>
      <x v="1"/>
    </i>
    <i>
      <x v="379"/>
      <x v="359"/>
      <x/>
      <x v="1"/>
    </i>
    <i>
      <x v="380"/>
      <x v="426"/>
      <x/>
      <x v="2"/>
    </i>
    <i>
      <x v="381"/>
      <x v="355"/>
      <x/>
      <x v="1"/>
    </i>
    <i>
      <x v="382"/>
      <x v="356"/>
      <x/>
      <x v="1"/>
    </i>
    <i>
      <x v="383"/>
      <x v="357"/>
      <x/>
      <x v="1"/>
    </i>
    <i>
      <x v="384"/>
      <x v="358"/>
      <x/>
      <x v="1"/>
    </i>
    <i>
      <x v="385"/>
      <x v="359"/>
      <x/>
      <x v="1"/>
    </i>
    <i>
      <x v="386"/>
      <x v="427"/>
      <x/>
      <x v="2"/>
    </i>
    <i>
      <x v="387"/>
      <x v="355"/>
      <x/>
      <x v="1"/>
    </i>
    <i>
      <x v="388"/>
      <x v="356"/>
      <x/>
      <x v="1"/>
    </i>
    <i>
      <x v="389"/>
      <x v="357"/>
      <x/>
      <x v="1"/>
    </i>
    <i>
      <x v="390"/>
      <x v="358"/>
      <x/>
      <x v="1"/>
    </i>
    <i>
      <x v="391"/>
      <x v="359"/>
      <x/>
      <x v="1"/>
    </i>
    <i>
      <x v="392"/>
      <x v="428"/>
      <x/>
      <x v="2"/>
    </i>
    <i>
      <x v="393"/>
      <x v="355"/>
      <x/>
      <x v="1"/>
    </i>
    <i>
      <x v="394"/>
      <x v="356"/>
      <x/>
      <x v="1"/>
    </i>
    <i>
      <x v="395"/>
      <x v="421"/>
      <x/>
      <x v="1"/>
    </i>
    <i>
      <x v="396"/>
      <x v="422"/>
      <x/>
      <x v="1"/>
    </i>
    <i>
      <x v="397"/>
      <x v="423"/>
      <x/>
      <x v="1"/>
    </i>
    <i>
      <x v="398"/>
      <x v="424"/>
      <x/>
      <x v="1"/>
    </i>
    <i>
      <x v="399"/>
      <x v="429"/>
      <x/>
      <x v="2"/>
    </i>
    <i>
      <x v="400"/>
      <x v="355"/>
      <x/>
      <x v="1"/>
    </i>
    <i>
      <x v="401"/>
      <x v="356"/>
      <x/>
      <x v="1"/>
    </i>
    <i>
      <x v="402"/>
      <x v="357"/>
      <x/>
      <x v="1"/>
    </i>
    <i>
      <x v="403"/>
      <x v="358"/>
      <x/>
      <x v="1"/>
    </i>
    <i>
      <x v="404"/>
      <x v="359"/>
      <x/>
      <x v="1"/>
    </i>
    <i>
      <x v="405"/>
      <x v="430"/>
      <x/>
      <x v="2"/>
    </i>
    <i>
      <x v="406"/>
      <x v="355"/>
      <x/>
      <x v="1"/>
    </i>
    <i>
      <x v="407"/>
      <x v="356"/>
      <x/>
      <x v="1"/>
    </i>
    <i>
      <x v="408"/>
      <x v="357"/>
      <x/>
      <x v="1"/>
    </i>
    <i>
      <x v="409"/>
      <x v="418"/>
      <x/>
      <x v="1"/>
    </i>
    <i>
      <x v="410"/>
      <x v="419"/>
      <x/>
      <x v="1"/>
    </i>
    <i>
      <x v="411"/>
      <x v="431"/>
      <x/>
      <x v="2"/>
    </i>
    <i>
      <x v="412"/>
      <x v="355"/>
      <x/>
      <x v="1"/>
    </i>
    <i>
      <x v="413"/>
      <x v="356"/>
      <x/>
      <x v="1"/>
    </i>
    <i>
      <x v="414"/>
      <x v="421"/>
      <x/>
      <x v="1"/>
    </i>
    <i>
      <x v="415"/>
      <x v="422"/>
      <x/>
      <x v="1"/>
    </i>
    <i>
      <x v="416"/>
      <x v="423"/>
      <x/>
      <x v="1"/>
    </i>
    <i>
      <x v="417"/>
      <x v="424"/>
      <x/>
      <x v="1"/>
    </i>
    <i>
      <x v="418"/>
      <x v="432"/>
      <x/>
      <x v="2"/>
    </i>
    <i>
      <x v="419"/>
      <x v="355"/>
      <x/>
      <x v="1"/>
    </i>
    <i>
      <x v="420"/>
      <x v="356"/>
      <x/>
      <x v="1"/>
    </i>
    <i>
      <x v="421"/>
      <x v="357"/>
      <x/>
      <x v="1"/>
    </i>
    <i>
      <x v="422"/>
      <x v="358"/>
      <x/>
      <x v="1"/>
    </i>
    <i>
      <x v="423"/>
      <x v="359"/>
      <x/>
      <x v="1"/>
    </i>
    <i>
      <x v="424"/>
      <x v="433"/>
      <x/>
      <x v="2"/>
    </i>
    <i>
      <x v="425"/>
      <x v="355"/>
      <x/>
      <x v="1"/>
    </i>
    <i>
      <x v="426"/>
      <x v="356"/>
      <x/>
      <x v="1"/>
    </i>
    <i>
      <x v="427"/>
      <x v="357"/>
      <x/>
      <x v="1"/>
    </i>
    <i>
      <x v="428"/>
      <x v="358"/>
      <x/>
      <x v="1"/>
    </i>
    <i>
      <x v="429"/>
      <x v="359"/>
      <x/>
      <x v="1"/>
    </i>
    <i>
      <x v="430"/>
      <x v="434"/>
      <x/>
      <x v="2"/>
    </i>
    <i>
      <x v="431"/>
      <x v="355"/>
      <x/>
      <x v="1"/>
    </i>
    <i>
      <x v="432"/>
      <x v="356"/>
      <x/>
      <x v="1"/>
    </i>
    <i>
      <x v="433"/>
      <x v="357"/>
      <x/>
      <x v="1"/>
    </i>
    <i>
      <x v="434"/>
      <x v="358"/>
      <x/>
      <x v="1"/>
    </i>
    <i>
      <x v="435"/>
      <x v="359"/>
      <x/>
      <x v="1"/>
    </i>
    <i>
      <x v="436"/>
      <x v="435"/>
      <x/>
      <x v="2"/>
    </i>
    <i>
      <x v="437"/>
      <x v="355"/>
      <x/>
      <x v="1"/>
    </i>
    <i>
      <x v="438"/>
      <x v="356"/>
      <x/>
      <x v="1"/>
    </i>
    <i>
      <x v="439"/>
      <x v="421"/>
      <x/>
      <x v="1"/>
    </i>
    <i>
      <x v="440"/>
      <x v="422"/>
      <x/>
      <x v="1"/>
    </i>
    <i>
      <x v="441"/>
      <x v="423"/>
      <x/>
      <x v="1"/>
    </i>
    <i>
      <x v="442"/>
      <x v="424"/>
      <x/>
      <x v="1"/>
    </i>
    <i>
      <x v="443"/>
      <x v="436"/>
      <x/>
      <x v="2"/>
    </i>
    <i>
      <x v="444"/>
      <x v="355"/>
      <x/>
      <x v="1"/>
    </i>
    <i>
      <x v="445"/>
      <x v="356"/>
      <x/>
      <x v="1"/>
    </i>
    <i>
      <x v="446"/>
      <x v="357"/>
      <x/>
      <x v="1"/>
    </i>
    <i>
      <x v="447"/>
      <x v="358"/>
      <x/>
      <x v="1"/>
    </i>
    <i>
      <x v="448"/>
      <x v="359"/>
      <x/>
      <x v="1"/>
    </i>
    <i>
      <x v="449"/>
      <x v="437"/>
      <x/>
      <x v="2"/>
    </i>
    <i>
      <x v="450"/>
      <x v="355"/>
      <x/>
      <x v="1"/>
    </i>
    <i>
      <x v="451"/>
      <x v="356"/>
      <x/>
      <x v="1"/>
    </i>
    <i>
      <x v="452"/>
      <x v="357"/>
      <x/>
      <x v="1"/>
    </i>
    <i>
      <x v="453"/>
      <x v="418"/>
      <x/>
      <x v="1"/>
    </i>
    <i>
      <x v="454"/>
      <x v="419"/>
      <x/>
      <x v="1"/>
    </i>
    <i>
      <x v="455"/>
      <x v="438"/>
      <x/>
      <x v="2"/>
    </i>
    <i>
      <x v="456"/>
      <x v="355"/>
      <x/>
      <x v="1"/>
    </i>
    <i>
      <x v="457"/>
      <x v="356"/>
      <x/>
      <x v="1"/>
    </i>
    <i>
      <x v="458"/>
      <x v="421"/>
      <x/>
      <x v="1"/>
    </i>
    <i>
      <x v="459"/>
      <x v="422"/>
      <x/>
      <x v="1"/>
    </i>
    <i>
      <x v="460"/>
      <x v="423"/>
      <x/>
      <x v="1"/>
    </i>
    <i>
      <x v="461"/>
      <x v="424"/>
      <x/>
      <x v="1"/>
    </i>
    <i>
      <x v="462"/>
      <x v="439"/>
      <x/>
      <x v="2"/>
    </i>
    <i>
      <x v="463"/>
      <x v="355"/>
      <x/>
      <x v="1"/>
    </i>
    <i>
      <x v="464"/>
      <x v="356"/>
      <x/>
      <x v="1"/>
    </i>
    <i>
      <x v="465"/>
      <x v="357"/>
      <x/>
      <x v="1"/>
    </i>
    <i>
      <x v="466"/>
      <x v="358"/>
      <x/>
      <x v="1"/>
    </i>
    <i>
      <x v="467"/>
      <x v="359"/>
      <x/>
      <x v="1"/>
    </i>
    <i>
      <x v="468"/>
      <x v="440"/>
      <x/>
      <x v="2"/>
    </i>
    <i>
      <x v="469"/>
      <x v="355"/>
      <x/>
      <x v="1"/>
    </i>
    <i>
      <x v="470"/>
      <x v="356"/>
      <x/>
      <x v="1"/>
    </i>
    <i>
      <x v="471"/>
      <x v="357"/>
      <x/>
      <x v="1"/>
    </i>
    <i>
      <x v="472"/>
      <x v="358"/>
      <x/>
      <x v="1"/>
    </i>
    <i>
      <x v="473"/>
      <x v="359"/>
      <x/>
      <x v="1"/>
    </i>
    <i>
      <x v="474"/>
      <x v="441"/>
      <x/>
      <x v="2"/>
    </i>
    <i>
      <x v="475"/>
      <x v="355"/>
      <x/>
      <x v="1"/>
    </i>
    <i>
      <x v="476"/>
      <x v="356"/>
      <x/>
      <x v="1"/>
    </i>
    <i>
      <x v="477"/>
      <x v="357"/>
      <x/>
      <x v="1"/>
    </i>
    <i>
      <x v="478"/>
      <x v="358"/>
      <x/>
      <x v="1"/>
    </i>
    <i>
      <x v="479"/>
      <x v="359"/>
      <x/>
      <x v="1"/>
    </i>
    <i>
      <x v="480"/>
      <x v="442"/>
      <x/>
      <x v="2"/>
    </i>
    <i>
      <x v="481"/>
      <x v="355"/>
      <x/>
      <x v="1"/>
    </i>
    <i>
      <x v="482"/>
      <x v="356"/>
      <x/>
      <x v="1"/>
    </i>
    <i>
      <x v="483"/>
      <x v="421"/>
      <x/>
      <x v="1"/>
    </i>
    <i>
      <x v="484"/>
      <x v="422"/>
      <x/>
      <x v="1"/>
    </i>
    <i>
      <x v="485"/>
      <x v="423"/>
      <x/>
      <x v="1"/>
    </i>
    <i>
      <x v="486"/>
      <x v="424"/>
      <x/>
      <x v="1"/>
    </i>
    <i>
      <x v="487"/>
      <x v="443"/>
      <x/>
      <x v="2"/>
    </i>
    <i>
      <x v="488"/>
      <x v="355"/>
      <x/>
      <x v="1"/>
    </i>
    <i>
      <x v="489"/>
      <x v="356"/>
      <x/>
      <x v="1"/>
    </i>
    <i>
      <x v="490"/>
      <x v="357"/>
      <x/>
      <x v="1"/>
    </i>
    <i>
      <x v="491"/>
      <x v="358"/>
      <x/>
      <x v="1"/>
    </i>
    <i>
      <x v="492"/>
      <x v="359"/>
      <x/>
      <x v="1"/>
    </i>
    <i>
      <x v="493"/>
      <x v="444"/>
      <x/>
      <x v="2"/>
    </i>
    <i>
      <x v="494"/>
      <x v="355"/>
      <x/>
      <x v="1"/>
    </i>
    <i>
      <x v="495"/>
      <x v="356"/>
      <x/>
      <x v="1"/>
    </i>
    <i>
      <x v="496"/>
      <x v="357"/>
      <x/>
      <x v="1"/>
    </i>
    <i>
      <x v="497"/>
      <x v="358"/>
      <x/>
      <x v="1"/>
    </i>
    <i>
      <x v="498"/>
      <x v="359"/>
      <x/>
      <x v="1"/>
    </i>
    <i>
      <x v="499"/>
      <x v="445"/>
      <x/>
      <x v="2"/>
    </i>
    <i>
      <x v="500"/>
      <x v="355"/>
      <x/>
      <x v="1"/>
    </i>
    <i>
      <x v="501"/>
      <x v="356"/>
      <x/>
      <x v="1"/>
    </i>
    <i>
      <x v="502"/>
      <x v="357"/>
      <x/>
      <x v="1"/>
    </i>
    <i>
      <x v="503"/>
      <x v="358"/>
      <x/>
      <x v="1"/>
    </i>
    <i>
      <x v="504"/>
      <x v="359"/>
      <x/>
      <x v="1"/>
    </i>
    <i>
      <x v="505"/>
      <x v="446"/>
      <x/>
      <x v="2"/>
    </i>
    <i>
      <x v="506"/>
      <x v="355"/>
      <x/>
      <x v="1"/>
    </i>
    <i>
      <x v="507"/>
      <x v="356"/>
      <x/>
      <x v="1"/>
    </i>
    <i>
      <x v="508"/>
      <x v="357"/>
      <x/>
      <x v="1"/>
    </i>
    <i>
      <x v="509"/>
      <x v="358"/>
      <x/>
      <x v="1"/>
    </i>
    <i>
      <x v="510"/>
      <x v="359"/>
      <x/>
      <x v="1"/>
    </i>
    <i>
      <x v="511"/>
      <x v="447"/>
      <x/>
      <x v="2"/>
    </i>
    <i>
      <x v="512"/>
      <x v="355"/>
      <x/>
      <x v="1"/>
    </i>
    <i>
      <x v="513"/>
      <x v="356"/>
      <x/>
      <x v="1"/>
    </i>
    <i>
      <x v="514"/>
      <x v="357"/>
      <x/>
      <x v="1"/>
    </i>
    <i>
      <x v="515"/>
      <x v="358"/>
      <x/>
      <x v="1"/>
    </i>
    <i>
      <x v="516"/>
      <x v="359"/>
      <x/>
      <x v="1"/>
    </i>
    <i>
      <x v="517"/>
      <x v="448"/>
      <x/>
      <x v="2"/>
    </i>
    <i>
      <x v="518"/>
      <x v="355"/>
      <x/>
      <x v="1"/>
    </i>
    <i>
      <x v="519"/>
      <x v="356"/>
      <x/>
      <x v="1"/>
    </i>
    <i>
      <x v="520"/>
      <x v="357"/>
      <x/>
      <x v="1"/>
    </i>
    <i>
      <x v="521"/>
      <x v="358"/>
      <x/>
      <x v="1"/>
    </i>
    <i>
      <x v="522"/>
      <x v="359"/>
      <x/>
      <x v="1"/>
    </i>
    <i>
      <x v="523"/>
      <x v="449"/>
      <x/>
      <x v="2"/>
    </i>
    <i>
      <x v="524"/>
      <x v="355"/>
      <x/>
      <x v="1"/>
    </i>
    <i>
      <x v="525"/>
      <x v="356"/>
      <x/>
      <x v="1"/>
    </i>
    <i>
      <x v="526"/>
      <x v="357"/>
      <x/>
      <x v="1"/>
    </i>
    <i>
      <x v="527"/>
      <x v="358"/>
      <x/>
      <x v="1"/>
    </i>
    <i>
      <x v="528"/>
      <x v="359"/>
      <x/>
      <x v="1"/>
    </i>
    <i>
      <x v="529"/>
      <x v="450"/>
      <x/>
      <x v="2"/>
    </i>
    <i>
      <x v="530"/>
      <x v="355"/>
      <x/>
      <x v="1"/>
    </i>
    <i>
      <x v="531"/>
      <x v="356"/>
      <x/>
      <x v="1"/>
    </i>
    <i>
      <x v="532"/>
      <x v="357"/>
      <x/>
      <x v="1"/>
    </i>
    <i>
      <x v="533"/>
      <x v="358"/>
      <x/>
      <x v="1"/>
    </i>
    <i>
      <x v="534"/>
      <x v="359"/>
      <x/>
      <x v="1"/>
    </i>
    <i>
      <x v="535"/>
      <x v="451"/>
      <x/>
      <x v="2"/>
    </i>
    <i>
      <x v="536"/>
      <x v="355"/>
      <x/>
      <x v="1"/>
    </i>
    <i>
      <x v="537"/>
      <x v="356"/>
      <x/>
      <x v="1"/>
    </i>
    <i>
      <x v="538"/>
      <x v="357"/>
      <x/>
      <x v="1"/>
    </i>
    <i>
      <x v="539"/>
      <x v="358"/>
      <x/>
      <x v="1"/>
    </i>
    <i>
      <x v="540"/>
      <x v="359"/>
      <x/>
      <x v="1"/>
    </i>
    <i>
      <x v="541"/>
      <x v="452"/>
      <x/>
      <x v="2"/>
    </i>
    <i>
      <x v="542"/>
      <x v="453"/>
      <x/>
      <x v="1"/>
    </i>
    <i>
      <x v="543"/>
      <x v="454"/>
      <x/>
      <x v="1"/>
    </i>
    <i>
      <x v="544"/>
      <x v="455"/>
      <x/>
      <x v="1"/>
    </i>
    <i>
      <x v="545"/>
      <x v="456"/>
      <x/>
      <x v="1"/>
    </i>
    <i>
      <x v="546"/>
      <x v="457"/>
      <x/>
      <x v="1"/>
    </i>
    <i>
      <x v="547"/>
      <x v="458"/>
      <x/>
      <x v="1"/>
    </i>
    <i>
      <x v="548"/>
      <x v="459"/>
      <x/>
      <x v="1"/>
    </i>
    <i>
      <x v="549"/>
      <x v="460"/>
      <x/>
      <x v="1"/>
    </i>
    <i>
      <x v="550"/>
      <x v="461"/>
      <x/>
      <x v="1"/>
    </i>
    <i>
      <x v="551"/>
      <x v="462"/>
      <x/>
      <x v="1"/>
    </i>
    <i>
      <x v="552"/>
      <x v="463"/>
      <x/>
      <x v="1"/>
    </i>
    <i>
      <x v="553"/>
      <x v="464"/>
      <x/>
      <x v="1"/>
    </i>
    <i>
      <x v="554"/>
      <x v="4"/>
      <x/>
      <x v="1"/>
    </i>
    <i>
      <x v="555"/>
      <x v="465"/>
      <x/>
      <x v="1"/>
    </i>
    <i>
      <x v="556"/>
      <x v="466"/>
      <x/>
      <x/>
    </i>
    <i>
      <x v="557"/>
      <x v="89"/>
      <x/>
      <x v="2"/>
    </i>
    <i>
      <x v="558"/>
      <x v="89"/>
      <x/>
      <x v="1"/>
    </i>
    <i>
      <x v="559"/>
      <x v="467"/>
      <x/>
      <x v="2"/>
    </i>
    <i>
      <x v="560"/>
      <x v="467"/>
      <x/>
      <x v="1"/>
    </i>
    <i>
      <x v="561"/>
      <x v="68"/>
      <x/>
      <x/>
    </i>
    <i>
      <x v="562"/>
      <x v="160"/>
      <x/>
      <x v="2"/>
    </i>
    <i>
      <x v="563"/>
      <x v="168"/>
      <x/>
      <x v="1"/>
    </i>
    <i>
      <x v="564"/>
      <x v="201"/>
      <x/>
      <x v="1"/>
    </i>
    <i>
      <x v="565"/>
      <x v="161"/>
      <x/>
      <x v="2"/>
    </i>
    <i>
      <x v="566"/>
      <x v="6"/>
      <x/>
      <x v="1"/>
    </i>
    <i>
      <x v="567"/>
      <x v="97"/>
      <x/>
      <x v="1"/>
    </i>
    <i>
      <x v="568"/>
      <x v="179"/>
      <x/>
      <x v="1"/>
    </i>
    <i>
      <x v="569"/>
      <x v="84"/>
      <x/>
      <x v="1"/>
    </i>
    <i>
      <x v="570"/>
      <x v="468"/>
      <x/>
      <x v="2"/>
    </i>
    <i>
      <x v="571"/>
      <x v="46"/>
      <x/>
      <x v="1"/>
    </i>
    <i>
      <x v="572"/>
      <x v="469"/>
      <x/>
      <x v="1"/>
    </i>
    <i>
      <x v="573"/>
      <x v="470"/>
      <x/>
      <x v="1"/>
    </i>
    <i>
      <x v="574"/>
      <x v="471"/>
      <x/>
      <x v="1"/>
    </i>
    <i>
      <x v="575"/>
      <x v="472"/>
      <x/>
      <x v="1"/>
    </i>
    <i>
      <x v="576"/>
      <x v="473"/>
      <x/>
      <x v="1"/>
    </i>
    <i>
      <x v="577"/>
      <x v="474"/>
      <x/>
      <x v="1"/>
    </i>
    <i>
      <x v="578"/>
      <x v="475"/>
      <x/>
      <x v="1"/>
    </i>
    <i>
      <x v="579"/>
      <x v="476"/>
      <x/>
      <x v="1"/>
    </i>
    <i>
      <x v="580"/>
      <x v="477"/>
      <x/>
      <x v="1"/>
    </i>
    <i>
      <x v="581"/>
      <x v="229"/>
      <x/>
      <x v="2"/>
    </i>
    <i>
      <x v="582"/>
      <x v="55"/>
      <x/>
      <x v="2"/>
    </i>
    <i>
      <x v="583"/>
      <x v="373"/>
      <x/>
      <x v="1"/>
    </i>
    <i>
      <x v="584"/>
      <x v="466"/>
      <x/>
      <x v="1"/>
    </i>
    <i>
      <x v="585"/>
      <x v="198"/>
      <x/>
      <x v="1"/>
    </i>
    <i>
      <x v="586"/>
      <x v="209"/>
      <x/>
      <x v="1"/>
    </i>
    <i>
      <x v="587"/>
      <x v="259"/>
      <x/>
      <x v="2"/>
    </i>
    <i>
      <x v="588"/>
      <x v="478"/>
      <x/>
      <x v="2"/>
    </i>
    <i>
      <x v="589"/>
      <x v="176"/>
      <x/>
      <x v="2"/>
    </i>
    <i>
      <x v="590"/>
      <x v="235"/>
      <x/>
      <x v="2"/>
    </i>
    <i>
      <x v="591"/>
      <x v="158"/>
      <x/>
      <x v="1"/>
    </i>
    <i>
      <x v="592"/>
      <x v="52"/>
      <x/>
      <x v="1"/>
    </i>
    <i>
      <x v="593"/>
      <x v="135"/>
      <x/>
      <x v="1"/>
    </i>
    <i>
      <x v="594"/>
      <x v="269"/>
      <x/>
      <x v="1"/>
    </i>
    <i>
      <x v="595"/>
      <x v="145"/>
      <x/>
      <x v="1"/>
    </i>
    <i>
      <x v="596"/>
      <x v="134"/>
      <x/>
      <x v="1"/>
    </i>
    <i>
      <x v="597"/>
      <x v="219"/>
      <x/>
      <x v="1"/>
    </i>
    <i>
      <x v="598"/>
      <x v="163"/>
      <x/>
      <x v="2"/>
    </i>
    <i>
      <x v="599"/>
      <x v="479"/>
      <x/>
      <x v="1"/>
    </i>
    <i>
      <x v="600"/>
      <x v="480"/>
      <x/>
      <x v="1"/>
    </i>
    <i>
      <x v="601"/>
      <x v="481"/>
      <x/>
      <x v="1"/>
    </i>
    <i>
      <x v="602"/>
      <x v="482"/>
      <x/>
      <x v="1"/>
    </i>
    <i>
      <x v="603"/>
      <x v="483"/>
      <x/>
      <x v="1"/>
    </i>
    <i>
      <x v="604"/>
      <x v="484"/>
      <x/>
      <x v="1"/>
    </i>
    <i>
      <x v="605"/>
      <x v="485"/>
      <x/>
      <x v="1"/>
    </i>
    <i>
      <x v="606"/>
      <x v="486"/>
      <x/>
      <x v="1"/>
    </i>
    <i>
      <x v="607"/>
      <x v="487"/>
      <x/>
      <x v="2"/>
    </i>
    <i>
      <x v="608"/>
      <x v="69"/>
      <x/>
      <x v="2"/>
    </i>
    <i>
      <x v="609"/>
      <x v="15"/>
      <x/>
      <x v="1"/>
    </i>
    <i>
      <x v="610"/>
      <x v="488"/>
      <x/>
      <x v="1"/>
    </i>
    <i>
      <x v="611"/>
      <x v="48"/>
      <x/>
      <x v="1"/>
    </i>
    <i>
      <x v="612"/>
      <x v="22"/>
      <x/>
      <x v="1"/>
    </i>
    <i>
      <x v="613"/>
      <x v="116"/>
      <x/>
      <x v="1"/>
    </i>
    <i>
      <x v="614"/>
      <x v="245"/>
      <x/>
      <x v="1"/>
    </i>
    <i>
      <x v="615"/>
      <x v="177"/>
      <x/>
      <x v="1"/>
    </i>
    <i>
      <x v="616"/>
      <x v="489"/>
      <x/>
      <x v="1"/>
    </i>
    <i>
      <x v="617"/>
      <x v="209"/>
      <x/>
      <x v="1"/>
    </i>
    <i>
      <x v="618"/>
      <x v="490"/>
      <x/>
      <x v="2"/>
    </i>
    <i>
      <x v="619"/>
      <x v="491"/>
      <x/>
      <x v="1"/>
    </i>
    <i>
      <x v="620"/>
      <x v="492"/>
      <x/>
      <x v="1"/>
    </i>
    <i>
      <x v="621"/>
      <x v="493"/>
      <x/>
      <x/>
    </i>
    <i>
      <x v="622"/>
      <x v="323"/>
      <x/>
      <x v="2"/>
    </i>
    <i>
      <x v="623"/>
      <x v="276"/>
      <x/>
      <x v="1"/>
    </i>
    <i>
      <x v="624"/>
      <x v="324"/>
      <x/>
      <x v="1"/>
    </i>
    <i>
      <x v="625"/>
      <x v="317"/>
      <x/>
      <x v="1"/>
    </i>
    <i>
      <x v="626"/>
      <x v="322"/>
      <x/>
      <x v="1"/>
    </i>
    <i>
      <x v="627"/>
      <x v="32"/>
      <x/>
      <x v="2"/>
    </i>
    <i>
      <x v="628"/>
      <x v="276"/>
      <x/>
      <x v="1"/>
    </i>
    <i>
      <x v="629"/>
      <x v="101"/>
      <x/>
      <x v="1"/>
    </i>
    <i>
      <x v="630"/>
      <x v="182"/>
      <x/>
      <x v="1"/>
    </i>
    <i>
      <x v="631"/>
      <x v="278"/>
      <x/>
      <x v="1"/>
    </i>
    <i>
      <x v="632"/>
      <x v="91"/>
      <x/>
      <x v="1"/>
    </i>
    <i>
      <x v="633"/>
      <x v="219"/>
      <x/>
      <x v="1"/>
    </i>
    <i>
      <x v="634"/>
      <x v="321"/>
      <x/>
      <x v="2"/>
    </i>
    <i>
      <x v="635"/>
      <x v="318"/>
      <x/>
      <x v="1"/>
    </i>
    <i>
      <x v="636"/>
      <x v="319"/>
      <x/>
      <x v="1"/>
    </i>
    <i>
      <x v="637"/>
      <x v="320"/>
      <x/>
      <x v="2"/>
    </i>
    <i>
      <x v="638"/>
      <x v="156"/>
      <x/>
      <x v="1"/>
    </i>
    <i>
      <x v="639"/>
      <x v="183"/>
      <x/>
      <x v="1"/>
    </i>
    <i>
      <x v="640"/>
      <x v="113"/>
      <x/>
      <x v="1"/>
    </i>
    <i>
      <x v="641"/>
      <x v="278"/>
      <x/>
      <x v="1"/>
    </i>
    <i>
      <x v="642"/>
      <x v="114"/>
      <x/>
      <x v="1"/>
    </i>
    <i>
      <x v="643"/>
      <x v="219"/>
      <x/>
      <x v="1"/>
    </i>
    <i>
      <x v="644"/>
      <x v="33"/>
      <x/>
      <x v="2"/>
    </i>
    <i>
      <x v="645"/>
      <x v="156"/>
      <x/>
      <x v="1"/>
    </i>
    <i>
      <x v="646"/>
      <x v="183"/>
      <x/>
      <x v="1"/>
    </i>
    <i>
      <x v="647"/>
      <x v="113"/>
      <x/>
      <x v="1"/>
    </i>
    <i>
      <x v="648"/>
      <x v="278"/>
      <x/>
      <x v="1"/>
    </i>
    <i>
      <x v="649"/>
      <x v="114"/>
      <x/>
      <x v="1"/>
    </i>
    <i>
      <x v="650"/>
      <x v="219"/>
      <x/>
      <x v="1"/>
    </i>
    <i>
      <x v="651"/>
      <x v="494"/>
      <x/>
      <x v="1"/>
    </i>
    <i>
      <x v="652"/>
      <x v="495"/>
      <x/>
      <x v="2"/>
    </i>
    <i>
      <x v="653"/>
      <x v="276"/>
      <x/>
      <x v="1"/>
    </i>
    <i>
      <x v="654"/>
      <x v="100"/>
      <x/>
      <x v="1"/>
    </i>
    <i>
      <x v="655"/>
      <x v="231"/>
      <x/>
      <x v="1"/>
    </i>
    <i>
      <x v="656"/>
      <x v="256"/>
      <x/>
      <x v="1"/>
    </i>
    <i>
      <x v="657"/>
      <x v="219"/>
      <x/>
      <x v="1"/>
    </i>
    <i>
      <x v="658"/>
      <x v="496"/>
      <x/>
      <x v="1"/>
    </i>
    <i>
      <x v="659"/>
      <x v="497"/>
      <x/>
      <x v="2"/>
    </i>
    <i>
      <x v="660"/>
      <x v="326"/>
      <x/>
      <x v="1"/>
    </i>
    <i>
      <x v="661"/>
      <x v="498"/>
      <x/>
      <x v="1"/>
    </i>
    <i>
      <x v="662"/>
      <x v="499"/>
      <x/>
      <x v="1"/>
    </i>
    <i>
      <x v="663"/>
      <x v="325"/>
      <x/>
      <x v="1"/>
    </i>
    <i>
      <x v="664"/>
      <x v="247"/>
      <x/>
      <x/>
    </i>
    <i>
      <x v="665"/>
      <x v="276"/>
      <x/>
      <x v="2"/>
    </i>
    <i>
      <x v="666"/>
      <x v="100"/>
      <x/>
      <x v="2"/>
    </i>
    <i>
      <x v="667"/>
      <x v="59"/>
      <x/>
      <x v="2"/>
    </i>
    <i>
      <x v="668"/>
      <x v="231"/>
      <x/>
      <x v="2"/>
    </i>
    <i>
      <x v="669"/>
      <x v="183"/>
      <x/>
      <x v="2"/>
    </i>
    <i>
      <x v="670"/>
      <x v="113"/>
      <x/>
      <x v="2"/>
    </i>
    <i>
      <x v="671"/>
      <x v="278"/>
      <x/>
      <x v="2"/>
    </i>
    <i>
      <x v="672"/>
      <x v="114"/>
      <x/>
      <x v="2"/>
    </i>
    <i>
      <x v="673"/>
      <x v="219"/>
      <x/>
      <x v="2"/>
    </i>
    <i>
      <x v="674"/>
      <x v="500"/>
      <x/>
      <x v="2"/>
    </i>
    <i>
      <x v="675"/>
      <x/>
      <x/>
      <x v="1"/>
    </i>
    <i>
      <x v="676"/>
      <x v="2"/>
      <x/>
      <x v="1"/>
    </i>
    <i>
      <x v="677"/>
      <x v="1"/>
      <x/>
      <x v="1"/>
    </i>
    <i>
      <x v="678"/>
      <x v="501"/>
      <x/>
      <x v="1"/>
    </i>
    <i>
      <x v="679"/>
      <x v="5"/>
      <x/>
      <x v="1"/>
    </i>
    <i>
      <x v="680"/>
      <x v="502"/>
      <x/>
      <x v="1"/>
    </i>
    <i>
      <x v="681"/>
      <x v="3"/>
      <x/>
      <x v="1"/>
    </i>
    <i>
      <x v="682"/>
      <x v="220"/>
      <x/>
      <x/>
    </i>
    <i>
      <x v="683"/>
      <x v="174"/>
      <x/>
      <x v="2"/>
    </i>
    <i>
      <x v="684"/>
      <x v="109"/>
      <x/>
      <x v="1"/>
    </i>
    <i>
      <x v="685"/>
      <x v="108"/>
      <x/>
      <x v="1"/>
    </i>
    <i>
      <x v="686"/>
      <x v="503"/>
      <x/>
      <x v="1"/>
    </i>
    <i>
      <x v="687"/>
      <x v="504"/>
      <x/>
      <x v="1"/>
    </i>
    <i>
      <x v="688"/>
      <x v="91"/>
      <x/>
      <x v="2"/>
    </i>
    <i>
      <x v="689"/>
      <x v="169"/>
      <x/>
      <x v="1"/>
    </i>
    <i>
      <x v="690"/>
      <x v="505"/>
      <x/>
      <x v="1"/>
    </i>
    <i>
      <x v="691"/>
      <x v="506"/>
      <x/>
      <x v="1"/>
    </i>
    <i>
      <x v="692"/>
      <x v="507"/>
      <x/>
      <x v="1"/>
    </i>
    <i>
      <x v="693"/>
      <x v="508"/>
      <x/>
      <x v="1"/>
    </i>
    <i>
      <x v="694"/>
      <x v="509"/>
      <x/>
      <x v="1"/>
    </i>
    <i>
      <x v="695"/>
      <x v="510"/>
      <x/>
      <x v="1"/>
    </i>
    <i>
      <x v="696"/>
      <x v="511"/>
      <x/>
      <x v="1"/>
    </i>
    <i>
      <x v="697"/>
      <x v="512"/>
      <x/>
      <x v="1"/>
    </i>
    <i>
      <x v="698"/>
      <x v="513"/>
      <x/>
      <x v="1"/>
    </i>
    <i>
      <x v="699"/>
      <x v="466"/>
      <x/>
      <x v="1"/>
    </i>
    <i>
      <x v="700"/>
      <x v="68"/>
      <x/>
      <x v="1"/>
    </i>
    <i>
      <x v="701"/>
      <x v="323"/>
      <x/>
      <x v="1"/>
    </i>
    <i>
      <x v="702"/>
      <x v="32"/>
      <x/>
      <x v="1"/>
    </i>
    <i>
      <x v="703"/>
      <x v="320"/>
      <x/>
      <x v="1"/>
    </i>
    <i>
      <x v="704"/>
      <x v="495"/>
      <x/>
      <x v="1"/>
    </i>
    <i>
      <x v="705"/>
      <x v="247"/>
      <x/>
      <x v="1"/>
    </i>
    <i>
      <x v="706"/>
      <x v="220"/>
      <x/>
      <x v="1"/>
    </i>
    <i>
      <x v="707"/>
      <x v="174"/>
      <x/>
      <x v="1"/>
    </i>
    <i>
      <x v="708"/>
      <x v="125"/>
      <x/>
      <x v="1"/>
    </i>
    <i>
      <x v="709"/>
      <x v="123"/>
      <x/>
      <x v="1"/>
    </i>
    <i>
      <x v="710"/>
      <x v="327"/>
      <x/>
      <x v="2"/>
    </i>
    <i>
      <x v="711"/>
      <x v="328"/>
      <x/>
      <x v="1"/>
    </i>
    <i>
      <x v="712"/>
      <x v="329"/>
      <x/>
      <x v="1"/>
    </i>
    <i>
      <x v="713"/>
      <x v="136"/>
      <x/>
      <x v="2"/>
    </i>
    <i>
      <x v="714"/>
      <x v="158"/>
      <x/>
      <x v="1"/>
    </i>
    <i>
      <x v="715"/>
      <x v="14"/>
      <x/>
      <x v="1"/>
    </i>
    <i>
      <x v="716"/>
      <x v="219"/>
      <x/>
      <x v="1"/>
    </i>
    <i>
      <x v="717"/>
      <x v="514"/>
      <x/>
      <x v="1"/>
    </i>
    <i>
      <x v="718"/>
      <x v="133"/>
      <x/>
      <x v="2"/>
    </i>
    <i>
      <x v="719"/>
      <x v="515"/>
      <x/>
      <x v="1"/>
    </i>
    <i>
      <x v="720"/>
      <x v="516"/>
      <x/>
      <x v="1"/>
    </i>
    <i>
      <x v="721"/>
      <x v="117"/>
      <x/>
      <x v="1"/>
    </i>
    <i>
      <x v="722"/>
      <x v="517"/>
      <x/>
      <x v="1"/>
    </i>
    <i>
      <x v="723"/>
      <x v="518"/>
      <x/>
      <x v="1"/>
    </i>
    <i>
      <x v="724"/>
      <x v="519"/>
      <x/>
      <x v="1"/>
    </i>
    <i>
      <x v="725"/>
      <x v="219"/>
      <x/>
      <x v="1"/>
    </i>
    <i>
      <x v="726"/>
      <x v="520"/>
      <x/>
      <x v="1"/>
    </i>
    <i>
      <x v="727"/>
      <x v="521"/>
      <x/>
      <x v="2"/>
    </i>
    <i>
      <x v="728"/>
      <x v="330"/>
      <x/>
      <x v="1"/>
    </i>
    <i>
      <x v="729"/>
      <x v="522"/>
      <x/>
      <x v="1"/>
    </i>
    <i>
      <x v="730"/>
      <x v="277"/>
      <x/>
      <x v="2"/>
    </i>
    <i>
      <x v="731"/>
      <x v="523"/>
      <x/>
      <x v="2"/>
    </i>
    <i>
      <x v="732"/>
      <x v="83"/>
      <x/>
      <x v="1"/>
    </i>
    <i>
      <x v="733"/>
      <x v="86"/>
      <x/>
      <x v="1"/>
    </i>
    <i>
      <x v="734"/>
      <x v="219"/>
      <x/>
      <x v="2"/>
    </i>
    <i>
      <x v="735"/>
      <x v="144"/>
      <x/>
      <x v="1"/>
    </i>
    <i>
      <x v="736"/>
      <x v="225"/>
      <x/>
      <x v="1"/>
    </i>
    <i>
      <x v="737"/>
      <x v="524"/>
      <x/>
      <x v="1"/>
    </i>
    <i>
      <x v="738"/>
      <x v="119"/>
      <x/>
      <x v="1"/>
    </i>
    <i>
      <x v="739"/>
      <x v="289"/>
      <x/>
      <x v="1"/>
    </i>
    <i>
      <x v="740"/>
      <x v="525"/>
      <x/>
      <x v="2"/>
    </i>
    <i>
      <x v="741"/>
      <x v="526"/>
      <x/>
      <x v="1"/>
    </i>
    <i>
      <x v="742"/>
      <x v="527"/>
      <x/>
      <x v="1"/>
    </i>
    <i>
      <x v="743"/>
      <x v="528"/>
      <x/>
      <x v="1"/>
    </i>
    <i>
      <x v="744"/>
      <x v="236"/>
      <x v="1"/>
      <x v="3"/>
    </i>
    <i>
      <x v="745"/>
      <x v="529"/>
      <x v="1"/>
      <x/>
    </i>
    <i>
      <x v="746"/>
      <x v="530"/>
      <x v="1"/>
      <x v="2"/>
    </i>
    <i>
      <x v="747"/>
      <x v="531"/>
      <x v="1"/>
      <x v="1"/>
    </i>
    <i>
      <x v="748"/>
      <x v="532"/>
      <x v="1"/>
      <x v="1"/>
    </i>
    <i>
      <x v="749"/>
      <x v="124"/>
      <x v="1"/>
      <x v="1"/>
    </i>
    <i>
      <x v="750"/>
      <x v="533"/>
      <x v="1"/>
      <x v="1"/>
    </i>
    <i>
      <x v="751"/>
      <x v="534"/>
      <x v="1"/>
      <x v="1"/>
    </i>
    <i>
      <x v="752"/>
      <x v="200"/>
      <x v="1"/>
      <x v="2"/>
    </i>
    <i>
      <x v="753"/>
      <x v="202"/>
      <x v="1"/>
      <x v="1"/>
    </i>
    <i>
      <x v="754"/>
      <x v="203"/>
      <x v="1"/>
      <x v="1"/>
    </i>
    <i>
      <x v="755"/>
      <x v="535"/>
      <x v="1"/>
      <x v="1"/>
    </i>
    <i>
      <x v="756"/>
      <x v="536"/>
      <x v="1"/>
      <x v="2"/>
    </i>
    <i>
      <x v="757"/>
      <x v="355"/>
      <x v="1"/>
      <x v="1"/>
    </i>
    <i>
      <x v="758"/>
      <x v="356"/>
      <x v="1"/>
      <x v="1"/>
    </i>
    <i>
      <x v="759"/>
      <x v="357"/>
      <x v="1"/>
      <x v="1"/>
    </i>
    <i>
      <x v="760"/>
      <x v="358"/>
      <x v="1"/>
      <x v="1"/>
    </i>
    <i>
      <x v="761"/>
      <x v="537"/>
      <x v="1"/>
      <x v="1"/>
    </i>
    <i>
      <x v="762"/>
      <x v="533"/>
      <x v="1"/>
      <x v="1"/>
    </i>
    <i>
      <x v="763"/>
      <x v="538"/>
      <x v="1"/>
      <x v="2"/>
    </i>
    <i>
      <x v="764"/>
      <x v="539"/>
      <x v="1"/>
      <x v="2"/>
    </i>
    <i>
      <x v="765"/>
      <x v="204"/>
      <x v="1"/>
      <x/>
    </i>
    <i>
      <x v="766"/>
      <x v="128"/>
      <x v="1"/>
      <x v="2"/>
    </i>
    <i>
      <x v="767"/>
      <x v="26"/>
      <x v="1"/>
      <x v="1"/>
    </i>
    <i>
      <x v="768"/>
      <x v="216"/>
      <x v="1"/>
      <x v="1"/>
    </i>
    <i>
      <x v="769"/>
      <x v="157"/>
      <x v="1"/>
      <x v="1"/>
    </i>
    <i>
      <x v="770"/>
      <x v="201"/>
      <x v="1"/>
      <x v="2"/>
    </i>
    <i>
      <x v="771"/>
      <x v="340"/>
      <x v="1"/>
      <x v="1"/>
    </i>
    <i>
      <x v="772"/>
      <x v="26"/>
      <x v="1"/>
      <x v="1"/>
    </i>
    <i>
      <x v="773"/>
      <x v="216"/>
      <x v="1"/>
      <x v="1"/>
    </i>
    <i>
      <x v="774"/>
      <x v="157"/>
      <x v="1"/>
      <x v="1"/>
    </i>
    <i>
      <x v="775"/>
      <x v="208"/>
      <x v="1"/>
      <x v="2"/>
    </i>
    <i>
      <x v="776"/>
      <x v="192"/>
      <x v="1"/>
      <x/>
    </i>
    <i>
      <x v="777"/>
      <x v="139"/>
      <x v="1"/>
      <x v="2"/>
    </i>
    <i>
      <x v="778"/>
      <x v="138"/>
      <x v="1"/>
      <x v="1"/>
    </i>
    <i>
      <x v="779"/>
      <x v="50"/>
      <x v="1"/>
      <x v="1"/>
    </i>
    <i>
      <x v="780"/>
      <x v="540"/>
      <x v="1"/>
      <x v="2"/>
    </i>
    <i>
      <x v="781"/>
      <x v="37"/>
      <x v="1"/>
      <x v="1"/>
    </i>
    <i>
      <x v="782"/>
      <x v="187"/>
      <x v="1"/>
      <x v="1"/>
    </i>
    <i>
      <x v="783"/>
      <x v="541"/>
      <x v="1"/>
      <x v="1"/>
    </i>
    <i>
      <x v="784"/>
      <x v="542"/>
      <x v="1"/>
      <x/>
    </i>
    <i>
      <x v="785"/>
      <x v="89"/>
      <x v="1"/>
      <x v="2"/>
    </i>
    <i>
      <x v="786"/>
      <x v="467"/>
      <x v="1"/>
      <x v="2"/>
    </i>
    <i>
      <x v="787"/>
      <x v="70"/>
      <x v="1"/>
      <x/>
    </i>
    <i>
      <x v="788"/>
      <x v="162"/>
      <x v="1"/>
      <x v="2"/>
    </i>
    <i>
      <x v="789"/>
      <x v="530"/>
      <x v="1"/>
      <x v="1"/>
    </i>
    <i>
      <x v="790"/>
      <x v="200"/>
      <x v="1"/>
      <x v="1"/>
    </i>
    <i>
      <x v="791"/>
      <x v="536"/>
      <x v="1"/>
      <x v="1"/>
    </i>
    <i>
      <x v="792"/>
      <x v="543"/>
      <x v="1"/>
      <x v="1"/>
    </i>
    <i>
      <x v="793"/>
      <x v="128"/>
      <x v="1"/>
      <x v="1"/>
    </i>
    <i>
      <x v="794"/>
      <x v="201"/>
      <x v="1"/>
      <x v="1"/>
    </i>
    <i>
      <x v="795"/>
      <x v="191"/>
      <x v="1"/>
      <x v="1"/>
    </i>
    <i>
      <x v="796"/>
      <x v="37"/>
      <x v="1"/>
      <x v="1"/>
    </i>
    <i>
      <x v="797"/>
      <x v="187"/>
      <x v="1"/>
      <x v="1"/>
    </i>
    <i>
      <x v="798"/>
      <x v="541"/>
      <x v="1"/>
      <x v="1"/>
    </i>
    <i>
      <x v="799"/>
      <x v="219"/>
      <x v="1"/>
      <x v="1"/>
    </i>
    <i>
      <x v="800"/>
      <x v="56"/>
      <x v="1"/>
      <x v="2"/>
    </i>
    <i>
      <x v="801"/>
      <x v="194"/>
      <x v="1"/>
      <x v="2"/>
    </i>
    <i>
      <x v="802"/>
      <x v="257"/>
      <x v="1"/>
      <x v="1"/>
    </i>
    <i>
      <x v="803"/>
      <x v="30"/>
      <x v="1"/>
      <x v="1"/>
    </i>
    <i>
      <x v="804"/>
      <x v="19"/>
      <x v="1"/>
      <x v="1"/>
    </i>
    <i>
      <x v="805"/>
      <x v="121"/>
      <x v="1"/>
      <x v="1"/>
    </i>
    <i>
      <x v="806"/>
      <x v="544"/>
      <x v="1"/>
      <x v="1"/>
    </i>
    <i>
      <x v="807"/>
      <x v="545"/>
      <x v="1"/>
      <x v="1"/>
    </i>
    <i>
      <x v="808"/>
      <x v="209"/>
      <x v="1"/>
      <x v="1"/>
    </i>
    <i>
      <x v="809"/>
      <x v="265"/>
      <x v="1"/>
      <x v="2"/>
    </i>
    <i>
      <x v="810"/>
      <x v="266"/>
      <x v="1"/>
      <x v="1"/>
    </i>
    <i>
      <x v="811"/>
      <x v="218"/>
      <x v="1"/>
      <x v="1"/>
    </i>
    <i>
      <x v="812"/>
      <x v="63"/>
      <x v="1"/>
      <x v="2"/>
    </i>
    <i>
      <x v="813"/>
      <x v="142"/>
      <x v="1"/>
      <x v="1"/>
    </i>
    <i>
      <x v="814"/>
      <x v="184"/>
      <x v="1"/>
      <x v="1"/>
    </i>
    <i>
      <x v="815"/>
      <x v="210"/>
      <x v="1"/>
      <x v="1"/>
    </i>
    <i>
      <x v="816"/>
      <x v="248"/>
      <x v="1"/>
      <x v="2"/>
    </i>
    <i>
      <x v="817"/>
      <x v="195"/>
      <x v="1"/>
      <x v="2"/>
    </i>
    <i>
      <x v="818"/>
      <x v="546"/>
      <x v="1"/>
      <x v="2"/>
    </i>
    <i>
      <x v="819"/>
      <x v="547"/>
      <x v="1"/>
      <x v="1"/>
    </i>
    <i>
      <x v="820"/>
      <x v="61"/>
      <x v="1"/>
      <x v="1"/>
    </i>
    <i>
      <x v="821"/>
      <x v="71"/>
      <x v="1"/>
      <x v="2"/>
    </i>
    <i>
      <x v="822"/>
      <x v="251"/>
      <x v="1"/>
      <x v="2"/>
    </i>
    <i>
      <x v="823"/>
      <x v="72"/>
      <x v="1"/>
      <x v="2"/>
    </i>
    <i>
      <x v="824"/>
      <x v="118"/>
      <x v="1"/>
      <x v="1"/>
    </i>
    <i>
      <x v="825"/>
      <x v="47"/>
      <x v="1"/>
      <x v="1"/>
    </i>
    <i>
      <x v="826"/>
      <x v="215"/>
      <x v="1"/>
      <x v="1"/>
    </i>
    <i>
      <x v="827"/>
      <x v="191"/>
      <x v="1"/>
      <x/>
    </i>
    <i>
      <x v="828"/>
      <x v="273"/>
      <x v="1"/>
      <x v="2"/>
    </i>
    <i>
      <x v="829"/>
      <x v="548"/>
      <x v="1"/>
      <x v="2"/>
    </i>
    <i>
      <x v="830"/>
      <x v="355"/>
      <x v="1"/>
      <x v="1"/>
    </i>
    <i>
      <x v="831"/>
      <x v="356"/>
      <x v="1"/>
      <x v="1"/>
    </i>
    <i>
      <x v="832"/>
      <x v="357"/>
      <x v="1"/>
      <x v="1"/>
    </i>
    <i>
      <x v="833"/>
      <x v="358"/>
      <x v="1"/>
      <x v="1"/>
    </i>
    <i>
      <x v="834"/>
      <x v="359"/>
      <x v="1"/>
      <x v="1"/>
    </i>
    <i>
      <x v="835"/>
      <x v="189"/>
      <x v="1"/>
      <x v="2"/>
    </i>
    <i>
      <x v="836"/>
      <x v="355"/>
      <x v="1"/>
      <x v="1"/>
    </i>
    <i>
      <x v="837"/>
      <x v="356"/>
      <x v="1"/>
      <x v="1"/>
    </i>
    <i>
      <x v="838"/>
      <x v="357"/>
      <x v="1"/>
      <x v="1"/>
    </i>
    <i>
      <x v="839"/>
      <x v="358"/>
      <x v="1"/>
      <x v="1"/>
    </i>
    <i>
      <x v="840"/>
      <x v="359"/>
      <x v="1"/>
      <x v="1"/>
    </i>
    <i>
      <x v="841"/>
      <x v="549"/>
      <x v="1"/>
      <x v="2"/>
    </i>
    <i>
      <x v="842"/>
      <x v="355"/>
      <x v="1"/>
      <x v="1"/>
    </i>
    <i>
      <x v="843"/>
      <x v="356"/>
      <x v="1"/>
      <x v="1"/>
    </i>
    <i>
      <x v="844"/>
      <x v="357"/>
      <x v="1"/>
      <x v="1"/>
    </i>
    <i>
      <x v="845"/>
      <x v="358"/>
      <x v="1"/>
      <x v="1"/>
    </i>
    <i>
      <x v="846"/>
      <x v="359"/>
      <x v="1"/>
      <x v="1"/>
    </i>
    <i>
      <x v="847"/>
      <x v="190"/>
      <x v="1"/>
      <x v="2"/>
    </i>
    <i>
      <x v="848"/>
      <x v="355"/>
      <x v="1"/>
      <x v="1"/>
    </i>
    <i>
      <x v="849"/>
      <x v="356"/>
      <x v="1"/>
      <x v="1"/>
    </i>
    <i>
      <x v="850"/>
      <x v="357"/>
      <x v="1"/>
      <x v="1"/>
    </i>
    <i>
      <x v="851"/>
      <x v="358"/>
      <x v="1"/>
      <x v="1"/>
    </i>
    <i>
      <x v="852"/>
      <x v="359"/>
      <x v="1"/>
      <x v="1"/>
    </i>
    <i>
      <x v="853"/>
      <x v="550"/>
      <x v="1"/>
      <x v="2"/>
    </i>
    <i>
      <x v="854"/>
      <x v="355"/>
      <x v="1"/>
      <x v="1"/>
    </i>
    <i>
      <x v="855"/>
      <x v="356"/>
      <x v="1"/>
      <x v="1"/>
    </i>
    <i>
      <x v="856"/>
      <x v="357"/>
      <x v="1"/>
      <x v="1"/>
    </i>
    <i>
      <x v="857"/>
      <x v="358"/>
      <x v="1"/>
      <x v="1"/>
    </i>
    <i>
      <x v="858"/>
      <x v="359"/>
      <x v="1"/>
      <x v="1"/>
    </i>
    <i>
      <x v="859"/>
      <x v="188"/>
      <x v="1"/>
      <x v="2"/>
    </i>
    <i>
      <x v="860"/>
      <x v="551"/>
      <x v="1"/>
      <x v="1"/>
    </i>
    <i>
      <x v="861"/>
      <x v="241"/>
      <x v="1"/>
      <x v="1"/>
    </i>
    <i>
      <x v="862"/>
      <x v="331"/>
      <x v="1"/>
      <x v="1"/>
    </i>
    <i>
      <x v="863"/>
      <x v="217"/>
      <x v="1"/>
      <x v="2"/>
    </i>
    <i>
      <x v="864"/>
      <x v="355"/>
      <x v="1"/>
      <x v="1"/>
    </i>
    <i>
      <x v="865"/>
      <x v="356"/>
      <x v="1"/>
      <x v="1"/>
    </i>
    <i>
      <x v="866"/>
      <x v="357"/>
      <x v="1"/>
      <x v="1"/>
    </i>
    <i>
      <x v="867"/>
      <x v="358"/>
      <x v="1"/>
      <x v="1"/>
    </i>
    <i>
      <x v="868"/>
      <x v="359"/>
      <x v="1"/>
      <x v="1"/>
    </i>
    <i>
      <x v="869"/>
      <x v="552"/>
      <x v="1"/>
      <x/>
    </i>
    <i>
      <x v="870"/>
      <x v="37"/>
      <x v="1"/>
      <x v="2"/>
    </i>
    <i>
      <x v="871"/>
      <x v="553"/>
      <x v="1"/>
      <x v="1"/>
    </i>
    <i>
      <x v="872"/>
      <x v="187"/>
      <x v="1"/>
      <x v="2"/>
    </i>
    <i>
      <x v="873"/>
      <x v="104"/>
      <x v="1"/>
      <x v="1"/>
    </i>
    <i>
      <x v="874"/>
      <x v="541"/>
      <x v="1"/>
      <x v="2"/>
    </i>
    <i>
      <x v="875"/>
      <x v="541"/>
      <x v="1"/>
      <x v="1"/>
    </i>
    <i>
      <x v="876"/>
      <x v="554"/>
      <x v="1"/>
      <x v="2"/>
    </i>
    <i>
      <x v="877"/>
      <x v="232"/>
      <x v="1"/>
      <x/>
    </i>
    <i>
      <x v="878"/>
      <x v="153"/>
      <x v="1"/>
      <x v="2"/>
    </i>
    <i>
      <x v="879"/>
      <x v="261"/>
      <x v="1"/>
      <x v="1"/>
    </i>
    <i>
      <x v="880"/>
      <x v="12"/>
      <x v="1"/>
      <x v="1"/>
    </i>
    <i>
      <x v="881"/>
      <x v="219"/>
      <x v="1"/>
      <x v="1"/>
    </i>
    <i>
      <x v="882"/>
      <x v="555"/>
      <x v="1"/>
      <x v="2"/>
    </i>
    <i>
      <x v="883"/>
      <x v="332"/>
      <x v="1"/>
      <x v="2"/>
    </i>
    <i>
      <x v="884"/>
      <x v="277"/>
      <x v="1"/>
      <x v="2"/>
    </i>
    <i>
      <x v="885"/>
      <x v="556"/>
      <x v="1"/>
      <x v="2"/>
    </i>
    <i>
      <x v="886"/>
      <x v="219"/>
      <x v="1"/>
      <x v="2"/>
    </i>
    <i>
      <x v="887"/>
      <x v="272"/>
      <x v="1"/>
      <x v="1"/>
    </i>
    <i>
      <x v="888"/>
      <x v="290"/>
      <x v="1"/>
      <x v="1"/>
    </i>
    <i>
      <x v="889"/>
      <x v="239"/>
      <x v="2"/>
      <x v="3"/>
    </i>
    <i>
      <x v="890"/>
      <x v="41"/>
      <x v="2"/>
      <x/>
    </i>
    <i>
      <x v="891"/>
      <x v="20"/>
      <x v="2"/>
      <x v="2"/>
    </i>
    <i>
      <x v="892"/>
      <x v="333"/>
      <x v="2"/>
      <x/>
    </i>
    <i>
      <x v="893"/>
      <x v="333"/>
      <x v="2"/>
      <x v="2"/>
    </i>
    <i>
      <x v="894"/>
      <x v="263"/>
      <x v="2"/>
      <x/>
    </i>
    <i>
      <x v="895"/>
      <x v="122"/>
      <x v="2"/>
      <x v="2"/>
    </i>
    <i>
      <x v="896"/>
      <x v="262"/>
      <x v="2"/>
      <x v="1"/>
    </i>
    <i>
      <x v="897"/>
      <x v="99"/>
      <x v="2"/>
      <x v="1"/>
    </i>
    <i>
      <x v="898"/>
      <x v="334"/>
      <x v="2"/>
      <x v="1"/>
    </i>
    <i>
      <x v="899"/>
      <x v="137"/>
      <x v="2"/>
      <x v="2"/>
    </i>
    <i>
      <x v="900"/>
      <x v="115"/>
      <x v="2"/>
      <x v="2"/>
    </i>
    <i>
      <x v="901"/>
      <x v="557"/>
      <x v="2"/>
      <x v="2"/>
    </i>
    <i>
      <x v="902"/>
      <x v="244"/>
      <x v="2"/>
      <x v="2"/>
    </i>
    <i>
      <x v="903"/>
      <x v="221"/>
      <x v="2"/>
      <x/>
    </i>
    <i>
      <x v="904"/>
      <x v="221"/>
      <x v="2"/>
      <x v="2"/>
    </i>
    <i>
      <x v="905"/>
      <x v="558"/>
      <x v="2"/>
      <x/>
    </i>
    <i>
      <x v="906"/>
      <x v="559"/>
      <x v="2"/>
      <x v="2"/>
    </i>
    <i>
      <x v="907"/>
      <x v="560"/>
      <x v="2"/>
      <x v="2"/>
    </i>
    <i>
      <x v="908"/>
      <x v="561"/>
      <x v="2"/>
      <x v="2"/>
    </i>
    <i>
      <x v="909"/>
      <x v="264"/>
      <x v="2"/>
      <x/>
    </i>
    <i>
      <x v="910"/>
      <x v="285"/>
      <x v="2"/>
      <x v="2"/>
    </i>
    <i>
      <x v="911"/>
      <x v="562"/>
      <x v="2"/>
      <x v="2"/>
    </i>
    <i>
      <x v="912"/>
      <x v="282"/>
      <x v="2"/>
      <x v="2"/>
    </i>
    <i>
      <x v="913"/>
      <x v="563"/>
      <x v="2"/>
      <x v="2"/>
    </i>
    <i>
      <x v="914"/>
      <x v="130"/>
      <x v="3"/>
      <x v="3"/>
    </i>
    <i>
      <x v="915"/>
      <x v="159"/>
      <x v="3"/>
      <x/>
    </i>
    <i>
      <x v="916"/>
      <x v="529"/>
      <x v="3"/>
      <x v="2"/>
    </i>
    <i>
      <x v="917"/>
      <x v="531"/>
      <x v="3"/>
      <x v="1"/>
    </i>
    <i>
      <x v="918"/>
      <x v="124"/>
      <x v="3"/>
      <x v="1"/>
    </i>
    <i>
      <x v="919"/>
      <x v="200"/>
      <x v="3"/>
      <x v="1"/>
    </i>
    <i>
      <x v="920"/>
      <x v="536"/>
      <x v="3"/>
      <x v="1"/>
    </i>
    <i>
      <x v="921"/>
      <x v="538"/>
      <x v="3"/>
      <x v="1"/>
    </i>
    <i>
      <x v="922"/>
      <x v="534"/>
      <x v="3"/>
      <x v="1"/>
    </i>
    <i>
      <x v="923"/>
      <x v="219"/>
      <x v="3"/>
      <x v="1"/>
    </i>
    <i>
      <x v="924"/>
      <x v="204"/>
      <x v="3"/>
      <x v="2"/>
    </i>
    <i>
      <x v="925"/>
      <x v="126"/>
      <x v="3"/>
      <x v="1"/>
    </i>
    <i>
      <x v="926"/>
      <x v="201"/>
      <x v="3"/>
      <x v="1"/>
    </i>
    <i>
      <x v="927"/>
      <x v="191"/>
      <x v="3"/>
      <x v="2"/>
    </i>
    <i>
      <x v="928"/>
      <x v="273"/>
      <x v="3"/>
      <x v="1"/>
    </i>
    <i>
      <x v="929"/>
      <x v="564"/>
      <x v="3"/>
      <x v="1"/>
    </i>
    <i>
      <x v="930"/>
      <x v="189"/>
      <x v="3"/>
      <x v="1"/>
    </i>
    <i>
      <x v="931"/>
      <x v="549"/>
      <x v="3"/>
      <x v="1"/>
    </i>
    <i>
      <x v="932"/>
      <x v="190"/>
      <x v="3"/>
      <x v="1"/>
    </i>
    <i>
      <x v="933"/>
      <x v="550"/>
      <x v="3"/>
      <x v="1"/>
    </i>
    <i>
      <x v="934"/>
      <x v="217"/>
      <x v="3"/>
      <x v="1"/>
    </i>
    <i>
      <x v="935"/>
      <x v="565"/>
      <x v="3"/>
      <x v="2"/>
    </i>
    <i>
      <x v="936"/>
      <x v="37"/>
      <x v="3"/>
      <x v="1"/>
    </i>
    <i>
      <x v="937"/>
      <x v="187"/>
      <x v="3"/>
      <x v="1"/>
    </i>
    <i>
      <x v="938"/>
      <x v="541"/>
      <x v="3"/>
      <x v="1"/>
    </i>
    <i>
      <x v="939"/>
      <x v="228"/>
      <x v="3"/>
      <x v="2"/>
    </i>
    <i>
      <x v="940"/>
      <x v="219"/>
      <x v="3"/>
      <x v="1"/>
    </i>
    <i>
      <x v="941"/>
      <x v="53"/>
      <x v="3"/>
      <x/>
    </i>
    <i>
      <x v="942"/>
      <x v="191"/>
      <x v="3"/>
      <x v="2"/>
    </i>
    <i>
      <x v="943"/>
      <x v="198"/>
      <x v="3"/>
      <x v="2"/>
    </i>
    <i>
      <x v="944"/>
      <x v="50"/>
      <x v="3"/>
      <x v="2"/>
    </i>
    <i>
      <x v="945"/>
      <x v="242"/>
      <x v="3"/>
      <x v="2"/>
    </i>
    <i>
      <x v="946"/>
      <x v="270"/>
      <x v="3"/>
      <x v="2"/>
    </i>
    <i>
      <x v="947"/>
      <x v="289"/>
      <x v="3"/>
      <x v="2"/>
    </i>
    <i>
      <x v="948"/>
      <x v="566"/>
      <x v="3"/>
      <x/>
    </i>
    <i>
      <x v="949"/>
      <x v="567"/>
      <x v="3"/>
      <x v="2"/>
    </i>
    <i>
      <x v="950"/>
      <x v="110"/>
      <x v="3"/>
      <x v="2"/>
    </i>
    <i>
      <x v="951"/>
      <x v="111"/>
      <x v="3"/>
      <x v="1"/>
    </i>
    <i>
      <x v="952"/>
      <x v="568"/>
      <x v="3"/>
      <x v="1"/>
    </i>
    <i>
      <x v="953"/>
      <x v="209"/>
      <x v="3"/>
      <x v="1"/>
    </i>
    <i>
      <x v="954"/>
      <x v="569"/>
      <x v="3"/>
      <x v="2"/>
    </i>
    <i>
      <x v="955"/>
      <x v="570"/>
      <x v="3"/>
      <x v="2"/>
    </i>
    <i>
      <x v="956"/>
      <x v="246"/>
      <x v="3"/>
      <x v="2"/>
    </i>
    <i>
      <x v="957"/>
      <x v="249"/>
      <x v="3"/>
      <x/>
    </i>
    <i>
      <x v="958"/>
      <x v="169"/>
      <x v="3"/>
      <x v="2"/>
    </i>
    <i>
      <x v="959"/>
      <x v="373"/>
      <x v="3"/>
      <x v="2"/>
    </i>
    <i>
      <x v="960"/>
      <x v="571"/>
      <x v="3"/>
      <x v="1"/>
    </i>
    <i>
      <x v="961"/>
      <x v="572"/>
      <x v="3"/>
      <x v="1"/>
    </i>
    <i>
      <x v="962"/>
      <x v="573"/>
      <x v="3"/>
      <x v="1"/>
    </i>
    <i>
      <x v="963"/>
      <x v="574"/>
      <x v="3"/>
      <x v="1"/>
    </i>
    <i>
      <x v="964"/>
      <x v="575"/>
      <x v="3"/>
      <x v="1"/>
    </i>
    <i>
      <x v="965"/>
      <x v="576"/>
      <x v="3"/>
      <x v="1"/>
    </i>
    <i>
      <x v="966"/>
      <x v="577"/>
      <x v="3"/>
      <x v="1"/>
    </i>
    <i>
      <x v="967"/>
      <x v="578"/>
      <x v="3"/>
      <x v="1"/>
    </i>
    <i>
      <x v="968"/>
      <x v="68"/>
      <x v="3"/>
      <x v="2"/>
    </i>
    <i>
      <x v="969"/>
      <x v="36"/>
      <x v="3"/>
      <x v="2"/>
    </i>
    <i>
      <x v="970"/>
      <x v="220"/>
      <x v="3"/>
      <x v="2"/>
    </i>
    <i>
      <x v="971"/>
      <x v="198"/>
      <x v="3"/>
      <x v="2"/>
    </i>
    <i>
      <x v="972"/>
      <x v="205"/>
      <x v="3"/>
      <x v="2"/>
    </i>
    <i>
      <x v="973"/>
      <x v="579"/>
      <x v="3"/>
      <x/>
    </i>
    <i>
      <x v="974"/>
      <x v="132"/>
      <x v="3"/>
      <x v="2"/>
    </i>
    <i>
      <x v="975"/>
      <x v="258"/>
      <x v="3"/>
      <x v="1"/>
    </i>
    <i>
      <x v="976"/>
      <x v="30"/>
      <x v="3"/>
      <x v="1"/>
    </i>
    <i>
      <x v="977"/>
      <x v="580"/>
      <x v="3"/>
      <x v="1"/>
    </i>
    <i>
      <x v="978"/>
      <x v="19"/>
      <x v="3"/>
      <x v="1"/>
    </i>
    <i>
      <x v="979"/>
      <x v="143"/>
      <x v="3"/>
      <x v="1"/>
    </i>
    <i>
      <x v="980"/>
      <x v="240"/>
      <x v="3"/>
      <x v="1"/>
    </i>
    <i>
      <x v="981"/>
      <x v="121"/>
      <x v="3"/>
      <x v="1"/>
    </i>
    <i>
      <x v="982"/>
      <x v="219"/>
      <x v="3"/>
      <x v="1"/>
    </i>
    <i>
      <x v="983"/>
      <x v="140"/>
      <x v="3"/>
      <x v="2"/>
    </i>
    <i>
      <x v="984"/>
      <x v="96"/>
      <x v="3"/>
      <x v="1"/>
    </i>
    <i>
      <x v="985"/>
      <x v="141"/>
      <x v="3"/>
      <x v="1"/>
    </i>
    <i>
      <x v="986"/>
      <x v="271"/>
      <x v="3"/>
      <x v="2"/>
    </i>
    <i>
      <x v="987"/>
      <x v="581"/>
      <x v="3"/>
      <x v="1"/>
    </i>
    <i>
      <x v="988"/>
      <x v="582"/>
      <x v="3"/>
      <x v="1"/>
    </i>
    <i>
      <x v="989"/>
      <x v="252"/>
      <x v="3"/>
      <x v="1"/>
    </i>
    <i>
      <x v="990"/>
      <x v="583"/>
      <x v="3"/>
      <x v="1"/>
    </i>
    <i>
      <x v="991"/>
      <x v="269"/>
      <x v="3"/>
      <x v="1"/>
    </i>
    <i>
      <x v="992"/>
      <x v="22"/>
      <x v="3"/>
      <x v="1"/>
    </i>
    <i>
      <x v="993"/>
      <x v="233"/>
      <x v="3"/>
      <x v="1"/>
    </i>
    <i>
      <x v="994"/>
      <x v="149"/>
      <x v="3"/>
      <x v="2"/>
    </i>
    <i>
      <x v="995"/>
      <x v="146"/>
      <x v="3"/>
      <x v="1"/>
    </i>
    <i>
      <x v="996"/>
      <x v="147"/>
      <x v="3"/>
      <x v="1"/>
    </i>
    <i>
      <x v="997"/>
      <x v="16"/>
      <x v="3"/>
      <x v="1"/>
    </i>
    <i>
      <x v="998"/>
      <x v="17"/>
      <x v="3"/>
      <x v="1"/>
    </i>
    <i>
      <x v="999"/>
      <x v="18"/>
      <x v="3"/>
      <x v="1"/>
    </i>
    <i>
      <x v="1000"/>
      <x v="186"/>
      <x v="3"/>
      <x v="1"/>
    </i>
    <i>
      <x v="1001"/>
      <x v="148"/>
      <x v="3"/>
      <x v="1"/>
    </i>
    <i>
      <x v="1002"/>
      <x v="90"/>
      <x v="3"/>
      <x v="2"/>
    </i>
    <i>
      <x v="1003"/>
      <x v="33"/>
      <x v="3"/>
      <x v="1"/>
    </i>
    <i>
      <x v="1004"/>
      <x v="495"/>
      <x v="3"/>
      <x v="1"/>
    </i>
    <i>
      <x v="1005"/>
      <x v="100"/>
      <x v="3"/>
      <x v="1"/>
    </i>
    <i>
      <x v="1006"/>
      <x v="231"/>
      <x v="3"/>
      <x v="1"/>
    </i>
    <i>
      <x v="1007"/>
      <x v="183"/>
      <x v="3"/>
      <x v="1"/>
    </i>
    <i>
      <x v="1008"/>
      <x v="113"/>
      <x v="3"/>
      <x v="1"/>
    </i>
    <i>
      <x v="1009"/>
      <x v="278"/>
      <x v="3"/>
      <x v="1"/>
    </i>
    <i>
      <x v="1010"/>
      <x v="114"/>
      <x v="3"/>
      <x v="1"/>
    </i>
    <i>
      <x v="1011"/>
      <x v="219"/>
      <x v="3"/>
      <x v="1"/>
    </i>
    <i>
      <x v="1012"/>
      <x v="13"/>
      <x v="3"/>
      <x v="2"/>
    </i>
    <i>
      <x v="1013"/>
      <x v="131"/>
      <x v="3"/>
      <x v="1"/>
    </i>
    <i>
      <x v="1014"/>
      <x v="515"/>
      <x v="3"/>
      <x v="1"/>
    </i>
    <i>
      <x v="1015"/>
      <x v="516"/>
      <x v="3"/>
      <x v="1"/>
    </i>
    <i>
      <x v="1016"/>
      <x v="117"/>
      <x v="3"/>
      <x v="1"/>
    </i>
    <i>
      <x v="1017"/>
      <x v="517"/>
      <x v="3"/>
      <x v="1"/>
    </i>
    <i>
      <x v="1018"/>
      <x v="518"/>
      <x v="3"/>
      <x v="1"/>
    </i>
    <i>
      <x v="1019"/>
      <x v="519"/>
      <x v="3"/>
      <x v="1"/>
    </i>
    <i>
      <x v="1020"/>
      <x v="219"/>
      <x v="3"/>
      <x v="1"/>
    </i>
    <i>
      <x v="1021"/>
      <x v="223"/>
      <x v="3"/>
      <x v="2"/>
    </i>
    <i>
      <x v="1022"/>
      <x v="274"/>
      <x v="3"/>
      <x v="1"/>
    </i>
    <i>
      <x v="1023"/>
      <x v="99"/>
      <x v="3"/>
      <x v="1"/>
    </i>
    <i>
      <x v="1024"/>
      <x v="181"/>
      <x v="3"/>
      <x v="1"/>
    </i>
    <i>
      <x v="1025"/>
      <x v="219"/>
      <x v="3"/>
      <x v="1"/>
    </i>
    <i>
      <x v="1026"/>
      <x v="584"/>
      <x v="3"/>
      <x/>
    </i>
    <i>
      <x v="1027"/>
      <x v="585"/>
      <x v="3"/>
      <x v="2"/>
    </i>
    <i>
      <x v="1028"/>
      <x v="586"/>
      <x v="3"/>
      <x v="2"/>
    </i>
    <i>
      <x v="1029"/>
      <x v="209"/>
      <x v="3"/>
      <x v="2"/>
    </i>
    <i>
      <x v="1030"/>
      <x v="224"/>
      <x v="3"/>
      <x/>
    </i>
    <i>
      <x v="1031"/>
      <x v="587"/>
      <x v="3"/>
      <x v="2"/>
    </i>
    <i>
      <x v="1032"/>
      <x v="588"/>
      <x v="3"/>
      <x v="2"/>
    </i>
    <i>
      <x v="1033"/>
      <x v="165"/>
      <x v="3"/>
      <x v="2"/>
    </i>
    <i>
      <x v="1034"/>
      <x v="219"/>
      <x v="3"/>
      <x v="2"/>
    </i>
    <i>
      <x v="1035"/>
      <x v="589"/>
      <x v="3"/>
      <x/>
    </i>
    <i>
      <x v="1036"/>
      <x v="544"/>
      <x v="3"/>
      <x v="2"/>
    </i>
    <i>
      <x v="1037"/>
      <x v="142"/>
      <x v="3"/>
      <x v="2"/>
    </i>
    <i>
      <x v="1038"/>
      <x v="219"/>
      <x v="3"/>
      <x v="2"/>
    </i>
    <i>
      <x v="1039"/>
      <x v="151"/>
      <x v="4"/>
      <x v="3"/>
    </i>
    <i>
      <x v="1040"/>
      <x v="166"/>
      <x v="4"/>
      <x/>
    </i>
    <i>
      <x v="1041"/>
      <x v="590"/>
      <x v="4"/>
      <x v="2"/>
    </i>
    <i>
      <x v="1042"/>
      <x v="314"/>
      <x v="4"/>
      <x v="1"/>
    </i>
    <i>
      <x v="1043"/>
      <x v="591"/>
      <x v="4"/>
      <x v="1"/>
    </i>
    <i>
      <x v="1044"/>
      <x v="234"/>
      <x v="4"/>
      <x v="1"/>
    </i>
    <i>
      <x v="1045"/>
      <x v="204"/>
      <x v="4"/>
      <x v="2"/>
    </i>
    <i>
      <x v="1046"/>
      <x v="127"/>
      <x v="4"/>
      <x v="1"/>
    </i>
    <i>
      <x v="1047"/>
      <x v="200"/>
      <x v="4"/>
      <x v="1"/>
    </i>
    <i>
      <x v="1048"/>
      <x v="592"/>
      <x v="4"/>
      <x v="2"/>
    </i>
    <i>
      <x v="1049"/>
      <x v="171"/>
      <x v="4"/>
      <x v="1"/>
    </i>
    <i>
      <x v="1050"/>
      <x v="97"/>
      <x v="4"/>
      <x v="1"/>
    </i>
    <i>
      <x v="1051"/>
      <x v="179"/>
      <x v="4"/>
      <x v="1"/>
    </i>
    <i>
      <x v="1052"/>
      <x v="84"/>
      <x v="4"/>
      <x v="1"/>
    </i>
    <i>
      <x v="1053"/>
      <x v="593"/>
      <x v="4"/>
      <x v="2"/>
    </i>
    <i>
      <x v="1054"/>
      <x v="46"/>
      <x v="4"/>
      <x v="1"/>
    </i>
    <i>
      <x v="1055"/>
      <x v="469"/>
      <x v="4"/>
      <x v="1"/>
    </i>
    <i>
      <x v="1056"/>
      <x v="470"/>
      <x v="4"/>
      <x v="1"/>
    </i>
    <i>
      <x v="1057"/>
      <x v="471"/>
      <x v="4"/>
      <x v="1"/>
    </i>
    <i>
      <x v="1058"/>
      <x v="472"/>
      <x v="4"/>
      <x v="1"/>
    </i>
    <i>
      <x v="1059"/>
      <x v="473"/>
      <x v="4"/>
      <x v="1"/>
    </i>
    <i>
      <x v="1060"/>
      <x v="474"/>
      <x v="4"/>
      <x v="1"/>
    </i>
    <i>
      <x v="1061"/>
      <x v="475"/>
      <x v="4"/>
      <x v="1"/>
    </i>
    <i>
      <x v="1062"/>
      <x v="476"/>
      <x v="4"/>
      <x v="1"/>
    </i>
    <i>
      <x v="1063"/>
      <x v="477"/>
      <x v="4"/>
      <x v="1"/>
    </i>
    <i>
      <x v="1064"/>
      <x v="85"/>
      <x v="4"/>
      <x v="1"/>
    </i>
    <i>
      <x v="1065"/>
      <x v="93"/>
      <x v="4"/>
      <x v="1"/>
    </i>
    <i>
      <x v="1066"/>
      <x v="230"/>
      <x v="4"/>
      <x v="2"/>
    </i>
    <i>
      <x v="1067"/>
      <x v="243"/>
      <x v="4"/>
      <x v="1"/>
    </i>
    <i>
      <x v="1068"/>
      <x v="219"/>
      <x v="4"/>
      <x v="1"/>
    </i>
    <i>
      <x v="1069"/>
      <x v="54"/>
      <x v="4"/>
      <x/>
    </i>
    <i>
      <x v="1070"/>
      <x v="373"/>
      <x v="4"/>
      <x v="2"/>
    </i>
    <i>
      <x v="1071"/>
      <x v="466"/>
      <x v="4"/>
      <x v="2"/>
    </i>
    <i>
      <x v="1072"/>
      <x v="23"/>
      <x v="4"/>
      <x v="2"/>
    </i>
    <i>
      <x v="1073"/>
      <x v="120"/>
      <x v="4"/>
      <x v="2"/>
    </i>
    <i>
      <x v="1074"/>
      <x v="594"/>
      <x v="4"/>
      <x v="2"/>
    </i>
    <i>
      <x v="1075"/>
      <x v="209"/>
      <x v="4"/>
      <x v="2"/>
    </i>
    <i>
      <x v="1076"/>
      <x v="284"/>
      <x v="4"/>
      <x/>
    </i>
    <i>
      <x v="1077"/>
      <x v="567"/>
      <x v="4"/>
      <x v="2"/>
    </i>
    <i>
      <x v="1078"/>
      <x v="110"/>
      <x v="4"/>
      <x v="2"/>
    </i>
    <i>
      <x v="1079"/>
      <x v="111"/>
      <x v="4"/>
      <x v="1"/>
    </i>
    <i>
      <x v="1080"/>
      <x v="568"/>
      <x v="4"/>
      <x v="1"/>
    </i>
    <i>
      <x v="1081"/>
      <x v="209"/>
      <x v="4"/>
      <x v="1"/>
    </i>
    <i>
      <x v="1082"/>
      <x v="260"/>
      <x v="4"/>
      <x v="2"/>
    </i>
    <i>
      <x v="1083"/>
      <x v="21"/>
      <x v="4"/>
      <x v="2"/>
    </i>
    <i>
      <x v="1084"/>
      <x v="219"/>
      <x v="4"/>
      <x v="2"/>
    </i>
    <i>
      <x v="1085"/>
      <x v="152"/>
      <x v="4"/>
      <x/>
    </i>
    <i>
      <x v="1086"/>
      <x v="178"/>
      <x v="4"/>
      <x v="2"/>
    </i>
    <i>
      <x v="1087"/>
      <x v="233"/>
      <x v="4"/>
      <x v="2"/>
    </i>
    <i>
      <x v="1088"/>
      <x v="595"/>
      <x v="4"/>
      <x v="1"/>
    </i>
    <i>
      <x v="1089"/>
      <x v="275"/>
      <x v="4"/>
      <x v="1"/>
    </i>
    <i>
      <x v="1090"/>
      <x v="227"/>
      <x v="4"/>
      <x/>
    </i>
    <i>
      <x v="1091"/>
      <x v="283"/>
      <x v="4"/>
      <x v="2"/>
    </i>
    <i>
      <x v="1092"/>
      <x v="281"/>
      <x v="4"/>
      <x v="2"/>
    </i>
    <i>
      <x v="1093"/>
      <x v="219"/>
      <x v="4"/>
      <x v="2"/>
    </i>
    <i>
      <x v="1094"/>
      <x v="226"/>
      <x v="4"/>
      <x/>
    </i>
    <i>
      <x v="1095"/>
      <x v="280"/>
      <x v="4"/>
      <x v="2"/>
    </i>
    <i>
      <x v="1096"/>
      <x v="279"/>
      <x v="4"/>
      <x v="2"/>
    </i>
    <i>
      <x v="1097"/>
      <x v="22"/>
      <x v="4"/>
      <x v="2"/>
    </i>
    <i>
      <x v="1098"/>
      <x v="253"/>
      <x v="4"/>
      <x v="2"/>
    </i>
    <i>
      <x v="1099"/>
      <x v="82"/>
      <x v="4"/>
      <x v="1"/>
    </i>
    <i>
      <x v="1100"/>
      <x v="596"/>
      <x v="4"/>
      <x v="1"/>
    </i>
    <i>
      <x v="1101"/>
      <x v="597"/>
      <x v="4"/>
      <x v="1"/>
    </i>
    <i>
      <x v="1102"/>
      <x v="164"/>
      <x v="4"/>
      <x v="1"/>
    </i>
    <i>
      <x v="1103"/>
      <x v="219"/>
      <x v="4"/>
      <x v="2"/>
    </i>
    <i>
      <x v="1104"/>
      <x v="598"/>
      <x v="4"/>
      <x/>
    </i>
    <i>
      <x v="1105"/>
      <x v="64"/>
      <x v="5"/>
      <x v="3"/>
    </i>
    <i>
      <x v="1106"/>
      <x v="95"/>
      <x v="5"/>
      <x/>
    </i>
    <i>
      <x v="1107"/>
      <x v="211"/>
      <x v="5"/>
      <x v="2"/>
    </i>
    <i>
      <x v="1108"/>
      <x v="9"/>
      <x v="5"/>
      <x/>
    </i>
    <i>
      <x v="1109"/>
      <x v="23"/>
      <x v="5"/>
      <x v="2"/>
    </i>
    <i>
      <x v="1110"/>
      <x v="24"/>
      <x v="5"/>
      <x v="1"/>
    </i>
    <i>
      <x v="1111"/>
      <x v="599"/>
      <x v="5"/>
      <x v="1"/>
    </i>
    <i>
      <x v="1112"/>
      <x v="600"/>
      <x v="5"/>
      <x v="2"/>
    </i>
    <i>
      <x v="1113"/>
      <x v="601"/>
      <x v="5"/>
      <x v="1"/>
    </i>
    <i>
      <x v="1114"/>
      <x v="602"/>
      <x v="5"/>
      <x v="1"/>
    </i>
    <i>
      <x v="1115"/>
      <x v="603"/>
      <x v="5"/>
      <x v="1"/>
    </i>
    <i>
      <x v="1116"/>
      <x v="209"/>
      <x v="5"/>
      <x v="1"/>
    </i>
    <i>
      <x v="1117"/>
      <x v="594"/>
      <x v="5"/>
      <x v="2"/>
    </i>
    <i>
      <x v="1118"/>
      <x v="604"/>
      <x v="5"/>
      <x v="1"/>
    </i>
    <i>
      <x v="1119"/>
      <x v="605"/>
      <x v="5"/>
      <x v="1"/>
    </i>
    <i>
      <x v="1120"/>
      <x v="58"/>
      <x v="5"/>
      <x v="1"/>
    </i>
    <i>
      <x v="1121"/>
      <x v="606"/>
      <x v="5"/>
      <x v="2"/>
    </i>
    <i>
      <x v="1122"/>
      <x v="46"/>
      <x v="5"/>
      <x v="1"/>
    </i>
    <i>
      <x v="1123"/>
      <x v="469"/>
      <x v="5"/>
      <x v="1"/>
    </i>
    <i>
      <x v="1124"/>
      <x v="470"/>
      <x v="5"/>
      <x v="1"/>
    </i>
    <i>
      <x v="1125"/>
      <x v="471"/>
      <x v="5"/>
      <x v="1"/>
    </i>
    <i>
      <x v="1126"/>
      <x v="472"/>
      <x v="5"/>
      <x v="1"/>
    </i>
    <i>
      <x v="1127"/>
      <x v="473"/>
      <x v="5"/>
      <x v="1"/>
    </i>
    <i>
      <x v="1128"/>
      <x v="474"/>
      <x v="5"/>
      <x v="1"/>
    </i>
    <i>
      <x v="1129"/>
      <x v="475"/>
      <x v="5"/>
      <x v="1"/>
    </i>
    <i>
      <x v="1130"/>
      <x v="57"/>
      <x v="5"/>
      <x v="2"/>
    </i>
    <i>
      <x v="1131"/>
      <x v="268"/>
      <x v="5"/>
      <x v="1"/>
    </i>
    <i>
      <x v="1132"/>
      <x v="267"/>
      <x v="5"/>
      <x v="1"/>
    </i>
    <i>
      <x v="1133"/>
      <x v="222"/>
      <x v="5"/>
      <x v="1"/>
    </i>
    <i>
      <x v="1134"/>
      <x v="65"/>
      <x v="6"/>
      <x v="3"/>
    </i>
    <i>
      <x v="1135"/>
      <x v="67"/>
      <x v="6"/>
      <x/>
    </i>
    <i>
      <x v="1136"/>
      <x v="286"/>
      <x v="6"/>
      <x v="2"/>
    </i>
    <i>
      <x v="1137"/>
      <x v="105"/>
      <x v="6"/>
      <x v="1"/>
    </i>
    <i>
      <x v="1138"/>
      <x v="107"/>
      <x v="6"/>
      <x v="1"/>
    </i>
    <i>
      <x v="1139"/>
      <x v="337"/>
      <x v="6"/>
      <x v="1"/>
    </i>
    <i>
      <x v="1140"/>
      <x v="336"/>
      <x v="6"/>
      <x v="1"/>
    </i>
    <i>
      <x v="1141"/>
      <x v="106"/>
      <x v="6"/>
      <x v="1"/>
    </i>
    <i>
      <x v="1142"/>
      <x v="219"/>
      <x v="6"/>
      <x v="1"/>
    </i>
    <i>
      <x v="1143"/>
      <x v="607"/>
      <x v="6"/>
      <x v="2"/>
    </i>
    <i>
      <x v="1144"/>
      <x v="170"/>
      <x v="6"/>
      <x v="1"/>
    </i>
    <i>
      <x v="1145"/>
      <x v="173"/>
      <x v="6"/>
      <x v="1"/>
    </i>
    <i>
      <x v="1146"/>
      <x v="175"/>
      <x v="6"/>
      <x v="1"/>
    </i>
    <i>
      <x v="1147"/>
      <x v="172"/>
      <x v="6"/>
      <x v="1"/>
    </i>
    <i>
      <x v="1148"/>
      <x v="46"/>
      <x v="6"/>
      <x v="1"/>
    </i>
    <i>
      <x v="1149"/>
      <x v="469"/>
      <x v="6"/>
      <x v="1"/>
    </i>
    <i>
      <x v="1150"/>
      <x v="470"/>
      <x v="6"/>
      <x v="1"/>
    </i>
    <i>
      <x v="1151"/>
      <x v="471"/>
      <x v="6"/>
      <x v="1"/>
    </i>
    <i>
      <x v="1152"/>
      <x v="472"/>
      <x v="6"/>
      <x v="1"/>
    </i>
    <i>
      <x v="1153"/>
      <x v="473"/>
      <x v="6"/>
      <x v="1"/>
    </i>
    <i>
      <x v="1154"/>
      <x v="474"/>
      <x v="6"/>
      <x v="1"/>
    </i>
    <i>
      <x v="1155"/>
      <x v="475"/>
      <x v="6"/>
      <x v="1"/>
    </i>
    <i>
      <x v="1156"/>
      <x v="476"/>
      <x v="6"/>
      <x v="1"/>
    </i>
    <i>
      <x v="1157"/>
      <x v="477"/>
      <x v="6"/>
      <x v="1"/>
    </i>
    <i>
      <x v="1158"/>
      <x v="35"/>
      <x v="6"/>
      <x v="1"/>
    </i>
    <i>
      <x v="1159"/>
      <x v="34"/>
      <x v="6"/>
      <x v="1"/>
    </i>
    <i>
      <x v="1160"/>
      <x v="220"/>
      <x v="6"/>
      <x v="1"/>
    </i>
    <i>
      <x v="1161"/>
      <x v="11"/>
      <x v="6"/>
      <x v="2"/>
    </i>
    <i>
      <x v="1162"/>
      <x v="169"/>
      <x v="6"/>
      <x v="1"/>
    </i>
    <i>
      <x v="1163"/>
      <x v="373"/>
      <x v="6"/>
      <x v="1"/>
    </i>
    <i>
      <x v="1164"/>
      <x v="466"/>
      <x v="6"/>
      <x v="1"/>
    </i>
    <i>
      <x v="1165"/>
      <x v="68"/>
      <x v="6"/>
      <x v="1"/>
    </i>
    <i>
      <x v="1166"/>
      <x v="493"/>
      <x v="6"/>
      <x v="1"/>
    </i>
    <i>
      <x v="1167"/>
      <x v="220"/>
      <x v="6"/>
      <x v="1"/>
    </i>
    <i>
      <x v="1168"/>
      <x v="608"/>
      <x v="6"/>
      <x v="2"/>
    </i>
    <i>
      <x v="1169"/>
      <x v="339"/>
      <x v="6"/>
      <x v="1"/>
    </i>
    <i>
      <x v="1170"/>
      <x v="88"/>
      <x v="6"/>
      <x v="1"/>
    </i>
    <i>
      <x v="1171"/>
      <x v="197"/>
      <x v="6"/>
      <x v="2"/>
    </i>
    <i>
      <x v="1172"/>
      <x v="169"/>
      <x v="6"/>
      <x v="1"/>
    </i>
    <i>
      <x v="1173"/>
      <x v="373"/>
      <x v="6"/>
      <x v="1"/>
    </i>
    <i>
      <x v="1174"/>
      <x v="466"/>
      <x v="6"/>
      <x v="1"/>
    </i>
    <i>
      <x v="1175"/>
      <x v="68"/>
      <x v="6"/>
      <x v="1"/>
    </i>
    <i>
      <x v="1176"/>
      <x v="493"/>
      <x v="6"/>
      <x v="1"/>
    </i>
    <i>
      <x v="1177"/>
      <x v="220"/>
      <x v="6"/>
      <x v="1"/>
    </i>
    <i>
      <x v="1178"/>
      <x v="198"/>
      <x v="6"/>
      <x v="1"/>
    </i>
    <i>
      <x v="1179"/>
      <x v="609"/>
      <x v="6"/>
      <x v="2"/>
    </i>
    <i>
      <x v="1180"/>
      <x v="51"/>
      <x v="6"/>
      <x v="1"/>
    </i>
    <i>
      <x v="1181"/>
      <x v="60"/>
      <x v="6"/>
      <x v="1"/>
    </i>
    <i>
      <x v="1182"/>
      <x v="154"/>
      <x v="6"/>
      <x v="1"/>
    </i>
    <i>
      <x v="1183"/>
      <x v="577"/>
      <x v="6"/>
      <x v="1"/>
    </i>
    <i>
      <x v="1184"/>
      <x v="45"/>
      <x v="6"/>
      <x v="1"/>
    </i>
    <i>
      <x v="1185"/>
      <x v="473"/>
      <x v="6"/>
      <x v="1"/>
    </i>
    <i>
      <x v="1186"/>
      <x v="474"/>
      <x v="6"/>
      <x v="1"/>
    </i>
    <i>
      <x v="1187"/>
      <x v="475"/>
      <x v="6"/>
      <x v="1"/>
    </i>
    <i>
      <x v="1188"/>
      <x v="255"/>
      <x v="6"/>
      <x v="1"/>
    </i>
    <i>
      <x v="1189"/>
      <x v="254"/>
      <x v="6"/>
      <x v="1"/>
    </i>
    <i>
      <x v="1190"/>
      <x v="169"/>
      <x v="6"/>
      <x v="1"/>
    </i>
    <i>
      <x v="1191"/>
      <x v="68"/>
      <x v="6"/>
      <x v="1"/>
    </i>
    <i>
      <x v="1192"/>
      <x v="220"/>
      <x v="6"/>
      <x v="1"/>
    </i>
    <i>
      <x v="1193"/>
      <x v="662"/>
      <x v="6"/>
      <x v="2"/>
    </i>
    <i>
      <x v="1194"/>
      <x v="663"/>
      <x v="6"/>
      <x v="1"/>
    </i>
    <i>
      <x v="1195"/>
      <x v="664"/>
      <x v="6"/>
      <x v="1"/>
    </i>
    <i>
      <x v="1196"/>
      <x v="167"/>
      <x v="6"/>
      <x v="2"/>
    </i>
    <i>
      <x v="1197"/>
      <x v="46"/>
      <x v="6"/>
      <x v="1"/>
    </i>
    <i>
      <x v="1198"/>
      <x v="469"/>
      <x v="6"/>
      <x v="1"/>
    </i>
    <i>
      <x v="1199"/>
      <x v="470"/>
      <x v="6"/>
      <x v="1"/>
    </i>
    <i>
      <x v="1200"/>
      <x v="471"/>
      <x v="6"/>
      <x v="1"/>
    </i>
    <i>
      <x v="1201"/>
      <x v="472"/>
      <x v="6"/>
      <x v="1"/>
    </i>
    <i>
      <x v="1202"/>
      <x v="473"/>
      <x v="6"/>
      <x v="1"/>
    </i>
    <i>
      <x v="1203"/>
      <x v="474"/>
      <x v="6"/>
      <x v="1"/>
    </i>
    <i>
      <x v="1204"/>
      <x v="475"/>
      <x v="6"/>
      <x v="1"/>
    </i>
    <i>
      <x v="1205"/>
      <x v="476"/>
      <x v="6"/>
      <x v="1"/>
    </i>
    <i>
      <x v="1206"/>
      <x v="477"/>
      <x v="6"/>
      <x v="1"/>
    </i>
    <i>
      <x v="1207"/>
      <x v="219"/>
      <x v="6"/>
      <x v="1"/>
    </i>
    <i>
      <x v="1208"/>
      <x v="62"/>
      <x v="6"/>
      <x v="2"/>
    </i>
    <i>
      <x v="1209"/>
      <x v="40"/>
      <x v="6"/>
      <x v="1"/>
    </i>
    <i>
      <x v="1210"/>
      <x v="196"/>
      <x v="6"/>
      <x v="1"/>
    </i>
    <i>
      <x v="1211"/>
      <x v="92"/>
      <x v="6"/>
      <x v="1"/>
    </i>
    <i>
      <x v="1212"/>
      <x v="335"/>
      <x v="6"/>
      <x v="2"/>
    </i>
    <i>
      <x v="1213"/>
      <x v="610"/>
      <x v="6"/>
      <x v="1"/>
    </i>
    <i>
      <x v="1214"/>
      <x v="611"/>
      <x v="6"/>
      <x v="1"/>
    </i>
    <i>
      <x v="1215"/>
      <x v="299"/>
      <x v="6"/>
      <x v="1"/>
    </i>
    <i>
      <x v="1216"/>
      <x v="612"/>
      <x v="6"/>
      <x v="1"/>
    </i>
    <i>
      <x v="1217"/>
      <x v="291"/>
      <x v="6"/>
      <x v="2"/>
    </i>
    <i>
      <x v="1218"/>
      <x v="292"/>
      <x v="6"/>
      <x v="1"/>
    </i>
    <i>
      <x v="1219"/>
      <x v="293"/>
      <x v="6"/>
      <x v="1"/>
    </i>
    <i>
      <x v="1220"/>
      <x v="294"/>
      <x v="6"/>
      <x v="2"/>
    </i>
    <i>
      <x v="1221"/>
      <x v="610"/>
      <x v="6"/>
      <x v="1"/>
    </i>
    <i>
      <x v="1222"/>
      <x v="611"/>
      <x v="6"/>
      <x v="1"/>
    </i>
    <i>
      <x v="1223"/>
      <x v="470"/>
      <x v="6"/>
      <x v="1"/>
    </i>
    <i>
      <x v="1224"/>
      <x v="612"/>
      <x v="6"/>
      <x v="1"/>
    </i>
    <i>
      <x v="1225"/>
      <x v="295"/>
      <x v="6"/>
      <x v="2"/>
    </i>
    <i>
      <x v="1226"/>
      <x v="46"/>
      <x v="6"/>
      <x v="1"/>
    </i>
    <i>
      <x v="1227"/>
      <x v="45"/>
      <x v="6"/>
      <x v="1"/>
    </i>
    <i>
      <x v="1228"/>
      <x v="296"/>
      <x v="6"/>
      <x v="1"/>
    </i>
    <i>
      <x v="1229"/>
      <x v="297"/>
      <x v="6"/>
      <x v="1"/>
    </i>
    <i>
      <x v="1230"/>
      <x v="298"/>
      <x v="6"/>
      <x v="1"/>
    </i>
    <i>
      <x v="1231"/>
      <x v="299"/>
      <x v="6"/>
      <x v="1"/>
    </i>
    <i>
      <x v="1232"/>
      <x v="300"/>
      <x v="6"/>
      <x v="1"/>
    </i>
    <i>
      <x v="1233"/>
      <x v="301"/>
      <x v="6"/>
      <x v="1"/>
    </i>
    <i>
      <x v="1234"/>
      <x v="214"/>
      <x v="6"/>
      <x v="2"/>
    </i>
    <i>
      <x v="1235"/>
      <x v="49"/>
      <x v="6"/>
      <x v="1"/>
    </i>
    <i>
      <x v="1236"/>
      <x v="185"/>
      <x v="6"/>
      <x v="1"/>
    </i>
    <i>
      <x v="1237"/>
      <x v="613"/>
      <x v="6"/>
      <x v="1"/>
    </i>
    <i>
      <x v="1238"/>
      <x v="614"/>
      <x v="6"/>
      <x v="1"/>
    </i>
    <i>
      <x v="1239"/>
      <x v="615"/>
      <x v="6"/>
      <x v="1"/>
    </i>
    <i>
      <x v="1240"/>
      <x v="616"/>
      <x v="6"/>
      <x v="1"/>
    </i>
    <i>
      <x v="1241"/>
      <x v="617"/>
      <x v="6"/>
      <x v="1"/>
    </i>
    <i>
      <x v="1242"/>
      <x v="665"/>
      <x v="6"/>
      <x v="1"/>
    </i>
    <i>
      <x v="1243"/>
      <x v="212"/>
      <x v="6"/>
      <x v="1"/>
    </i>
    <i>
      <x v="1244"/>
      <x v="66"/>
      <x v="6"/>
      <x/>
    </i>
    <i>
      <x v="1245"/>
      <x v="287"/>
      <x v="6"/>
      <x v="2"/>
    </i>
    <i>
      <x v="1246"/>
      <x v="105"/>
      <x v="6"/>
      <x v="1"/>
    </i>
    <i>
      <x v="1247"/>
      <x v="618"/>
      <x v="6"/>
      <x v="1"/>
    </i>
    <i>
      <x v="1248"/>
      <x v="619"/>
      <x v="6"/>
      <x v="1"/>
    </i>
    <i>
      <x v="1249"/>
      <x v="620"/>
      <x v="6"/>
      <x v="1"/>
    </i>
    <i>
      <x v="1250"/>
      <x v="621"/>
      <x v="6"/>
      <x v="1"/>
    </i>
    <i>
      <x v="1251"/>
      <x v="107"/>
      <x v="6"/>
      <x v="1"/>
    </i>
    <i>
      <x v="1252"/>
      <x v="622"/>
      <x v="6"/>
      <x v="1"/>
    </i>
    <i>
      <x v="1253"/>
      <x v="106"/>
      <x v="6"/>
      <x v="1"/>
    </i>
    <i>
      <x v="1254"/>
      <x v="302"/>
      <x v="6"/>
      <x v="1"/>
    </i>
    <i>
      <x v="1255"/>
      <x v="303"/>
      <x v="6"/>
      <x v="1"/>
    </i>
    <i>
      <x v="1256"/>
      <x v="304"/>
      <x v="6"/>
      <x v="1"/>
    </i>
    <i>
      <x v="1257"/>
      <x v="305"/>
      <x v="6"/>
      <x v="1"/>
    </i>
    <i>
      <x v="1258"/>
      <x v="306"/>
      <x v="6"/>
      <x v="1"/>
    </i>
    <i>
      <x v="1259"/>
      <x v="307"/>
      <x v="6"/>
      <x v="1"/>
    </i>
    <i>
      <x v="1260"/>
      <x v="308"/>
      <x v="6"/>
      <x v="1"/>
    </i>
    <i>
      <x v="1261"/>
      <x v="309"/>
      <x v="6"/>
      <x v="1"/>
    </i>
    <i>
      <x v="1262"/>
      <x v="207"/>
      <x v="6"/>
      <x v="2"/>
    </i>
    <i>
      <x v="1263"/>
      <x v="529"/>
      <x v="6"/>
      <x v="1"/>
    </i>
    <i>
      <x v="1264"/>
      <x v="193"/>
      <x v="6"/>
      <x v="1"/>
    </i>
    <i>
      <x v="1265"/>
      <x v="192"/>
      <x v="6"/>
      <x v="1"/>
    </i>
    <i>
      <x v="1266"/>
      <x v="542"/>
      <x v="6"/>
      <x v="1"/>
    </i>
    <i>
      <x v="1267"/>
      <x v="70"/>
      <x v="6"/>
      <x v="1"/>
    </i>
    <i>
      <x v="1268"/>
      <x v="191"/>
      <x v="6"/>
      <x v="1"/>
    </i>
    <i>
      <x v="1269"/>
      <x v="552"/>
      <x v="6"/>
      <x v="1"/>
    </i>
    <i>
      <x v="1270"/>
      <x v="232"/>
      <x v="6"/>
      <x v="1"/>
    </i>
    <i>
      <x v="1271"/>
      <x v="61"/>
      <x v="6"/>
      <x v="1"/>
    </i>
    <i>
      <x v="1272"/>
      <x v="206"/>
      <x v="6"/>
      <x v="2"/>
    </i>
    <i>
      <x v="1273"/>
      <x v="529"/>
      <x v="6"/>
      <x v="1"/>
    </i>
    <i>
      <x v="1274"/>
      <x v="193"/>
      <x v="6"/>
      <x v="1"/>
    </i>
    <i>
      <x v="1275"/>
      <x v="192"/>
      <x v="6"/>
      <x v="1"/>
    </i>
    <i>
      <x v="1276"/>
      <x v="542"/>
      <x v="6"/>
      <x v="1"/>
    </i>
    <i>
      <x v="1277"/>
      <x v="70"/>
      <x v="6"/>
      <x v="1"/>
    </i>
    <i>
      <x v="1278"/>
      <x v="191"/>
      <x v="6"/>
      <x v="1"/>
    </i>
    <i>
      <x v="1279"/>
      <x v="552"/>
      <x v="6"/>
      <x v="1"/>
    </i>
    <i>
      <x v="1280"/>
      <x v="232"/>
      <x v="6"/>
      <x v="1"/>
    </i>
    <i>
      <x v="1281"/>
      <x v="61"/>
      <x v="6"/>
      <x v="1"/>
    </i>
    <i>
      <x v="1282"/>
      <x v="623"/>
      <x v="6"/>
      <x v="2"/>
    </i>
    <i>
      <x v="1283"/>
      <x v="529"/>
      <x v="6"/>
      <x v="1"/>
    </i>
    <i>
      <x v="1284"/>
      <x v="192"/>
      <x v="6"/>
      <x v="1"/>
    </i>
    <i>
      <x v="1285"/>
      <x v="666"/>
      <x v="6"/>
      <x v="2"/>
    </i>
    <i>
      <x v="1286"/>
      <x v="667"/>
      <x v="6"/>
      <x v="1"/>
    </i>
    <i>
      <x v="1287"/>
      <x v="668"/>
      <x v="6"/>
      <x v="1"/>
    </i>
    <i>
      <x v="1288"/>
      <x v="87"/>
      <x v="6"/>
      <x v="2"/>
    </i>
    <i>
      <x v="1289"/>
      <x v="169"/>
      <x v="6"/>
      <x v="1"/>
    </i>
    <i>
      <x v="1290"/>
      <x v="373"/>
      <x v="6"/>
      <x v="1"/>
    </i>
    <i>
      <x v="1291"/>
      <x v="466"/>
      <x v="6"/>
      <x v="1"/>
    </i>
    <i>
      <x v="1292"/>
      <x v="68"/>
      <x v="6"/>
      <x v="1"/>
    </i>
    <i>
      <x v="1293"/>
      <x v="31"/>
      <x v="6"/>
      <x v="1"/>
    </i>
    <i>
      <x v="1294"/>
      <x v="220"/>
      <x v="6"/>
      <x v="1"/>
    </i>
    <i>
      <x v="1295"/>
      <x v="198"/>
      <x v="6"/>
      <x v="1"/>
    </i>
    <i>
      <x v="1296"/>
      <x v="624"/>
      <x v="6"/>
      <x v="2"/>
    </i>
    <i>
      <x v="1297"/>
      <x v="531"/>
      <x v="6"/>
      <x v="1"/>
    </i>
    <i>
      <x v="1298"/>
      <x v="532"/>
      <x v="6"/>
      <x v="1"/>
    </i>
    <i>
      <x v="1299"/>
      <x v="200"/>
      <x v="6"/>
      <x v="1"/>
    </i>
    <i>
      <x v="1300"/>
      <x v="536"/>
      <x v="6"/>
      <x v="1"/>
    </i>
    <i>
      <x v="1301"/>
      <x v="533"/>
      <x v="6"/>
      <x v="1"/>
    </i>
    <i>
      <x v="1302"/>
      <x v="288"/>
      <x v="6"/>
      <x v="2"/>
    </i>
    <i>
      <x v="1303"/>
      <x v="625"/>
      <x v="6"/>
      <x v="1"/>
    </i>
    <i>
      <x v="1304"/>
      <x v="622"/>
      <x v="6"/>
      <x v="1"/>
    </i>
    <i>
      <x v="1305"/>
      <x v="155"/>
      <x v="6"/>
      <x v="1"/>
    </i>
    <i>
      <x v="1306"/>
      <x v="172"/>
      <x v="6"/>
      <x v="1"/>
    </i>
    <i>
      <x v="1307"/>
      <x v="610"/>
      <x v="6"/>
      <x v="1"/>
    </i>
    <i>
      <x v="1308"/>
      <x v="476"/>
      <x v="6"/>
      <x v="1"/>
    </i>
    <i>
      <x v="1309"/>
      <x v="477"/>
      <x v="6"/>
      <x v="1"/>
    </i>
    <i>
      <x v="1310"/>
      <x v="35"/>
      <x v="6"/>
      <x v="1"/>
    </i>
    <i>
      <x v="1311"/>
      <x v="34"/>
      <x v="6"/>
      <x v="1"/>
    </i>
    <i>
      <x v="1312"/>
      <x v="220"/>
      <x v="6"/>
      <x v="1"/>
    </i>
    <i>
      <x v="1313"/>
      <x v="219"/>
      <x v="6"/>
      <x v="1"/>
    </i>
    <i>
      <x v="1314"/>
      <x v="42"/>
      <x v="6"/>
      <x v="2"/>
    </i>
    <i>
      <x v="1315"/>
      <x v="237"/>
      <x v="6"/>
      <x v="2"/>
    </i>
    <i>
      <x v="1316"/>
      <x v="530"/>
      <x v="6"/>
      <x v="1"/>
    </i>
    <i>
      <x v="1317"/>
      <x v="200"/>
      <x v="6"/>
      <x v="1"/>
    </i>
    <i>
      <x v="1318"/>
      <x v="536"/>
      <x v="6"/>
      <x v="1"/>
    </i>
    <i>
      <x v="1319"/>
      <x v="204"/>
      <x v="6"/>
      <x v="1"/>
    </i>
    <i>
      <x v="1320"/>
      <x v="192"/>
      <x v="6"/>
      <x v="1"/>
    </i>
    <i>
      <x v="1321"/>
      <x v="70"/>
      <x v="6"/>
      <x v="1"/>
    </i>
    <i>
      <x v="1322"/>
      <x v="191"/>
      <x v="6"/>
      <x v="1"/>
    </i>
    <i>
      <x v="1323"/>
      <x v="232"/>
      <x v="6"/>
      <x v="1"/>
    </i>
    <i>
      <x v="1324"/>
      <x v="626"/>
      <x v="6"/>
      <x v="2"/>
    </i>
    <i>
      <x v="1325"/>
      <x v="238"/>
      <x v="6"/>
      <x v="1"/>
    </i>
    <i>
      <x v="1326"/>
      <x v="627"/>
      <x v="6"/>
      <x v="1"/>
    </i>
    <i>
      <x v="1327"/>
      <x v="94"/>
      <x v="6"/>
      <x v="1"/>
    </i>
    <i>
      <x v="1328"/>
      <x v="150"/>
      <x v="6"/>
      <x v="1"/>
    </i>
    <i>
      <x v="1329"/>
      <x v="628"/>
      <x v="6"/>
      <x v="1"/>
    </i>
    <i>
      <x v="1330"/>
      <x v="629"/>
      <x v="6"/>
      <x v="1"/>
    </i>
    <i>
      <x v="1331"/>
      <x v="8"/>
      <x v="6"/>
      <x v="1"/>
    </i>
    <i>
      <x v="1332"/>
      <x v="250"/>
      <x v="6"/>
      <x v="2"/>
    </i>
    <i>
      <x v="1333"/>
      <x v="630"/>
      <x v="6"/>
      <x v="1"/>
    </i>
    <i>
      <x v="1334"/>
      <x v="631"/>
      <x v="6"/>
      <x v="1"/>
    </i>
    <i>
      <x v="1335"/>
      <x v="632"/>
      <x v="6"/>
      <x v="1"/>
    </i>
    <i>
      <x v="1336"/>
      <x v="633"/>
      <x v="6"/>
      <x v="1"/>
    </i>
    <i>
      <x v="1337"/>
      <x v="634"/>
      <x v="6"/>
      <x v="1"/>
    </i>
    <i>
      <x v="1338"/>
      <x v="635"/>
      <x v="6"/>
      <x v="1"/>
    </i>
    <i>
      <x v="1339"/>
      <x v="636"/>
      <x v="6"/>
      <x v="1"/>
    </i>
    <i>
      <x v="1340"/>
      <x v="637"/>
      <x v="6"/>
      <x v="1"/>
    </i>
    <i>
      <x v="1341"/>
      <x v="638"/>
      <x v="6"/>
      <x v="1"/>
    </i>
    <i>
      <x v="1342"/>
      <x v="639"/>
      <x v="6"/>
      <x v="1"/>
    </i>
    <i>
      <x v="1343"/>
      <x v="640"/>
      <x v="6"/>
      <x v="1"/>
    </i>
    <i>
      <x v="1344"/>
      <x v="641"/>
      <x v="6"/>
      <x v="1"/>
    </i>
    <i>
      <x v="1345"/>
      <x v="642"/>
      <x v="6"/>
      <x v="1"/>
    </i>
    <i>
      <x v="1346"/>
      <x v="643"/>
      <x v="6"/>
      <x v="1"/>
    </i>
    <i>
      <x v="1347"/>
      <x v="644"/>
      <x v="6"/>
      <x v="1"/>
    </i>
    <i>
      <x v="1348"/>
      <x v="645"/>
      <x v="6"/>
      <x v="1"/>
    </i>
    <i>
      <x v="1349"/>
      <x v="646"/>
      <x v="6"/>
      <x v="1"/>
    </i>
    <i>
      <x v="1350"/>
      <x v="647"/>
      <x v="6"/>
      <x v="1"/>
    </i>
    <i>
      <x v="1351"/>
      <x v="648"/>
      <x v="6"/>
      <x v="1"/>
    </i>
    <i>
      <x v="1352"/>
      <x v="649"/>
      <x v="6"/>
      <x v="1"/>
    </i>
    <i>
      <x v="1353"/>
      <x v="650"/>
      <x v="6"/>
      <x v="1"/>
    </i>
    <i>
      <x v="1354"/>
      <x v="651"/>
      <x v="6"/>
      <x v="1"/>
    </i>
    <i>
      <x v="1355"/>
      <x v="652"/>
      <x v="6"/>
      <x v="1"/>
    </i>
    <i>
      <x v="1356"/>
      <x v="653"/>
      <x v="6"/>
      <x v="1"/>
    </i>
    <i>
      <x v="1357"/>
      <x v="654"/>
      <x v="6"/>
      <x v="1"/>
    </i>
    <i>
      <x v="1358"/>
      <x v="655"/>
      <x v="6"/>
      <x v="1"/>
    </i>
    <i>
      <x v="1359"/>
      <x v="656"/>
      <x v="6"/>
      <x v="1"/>
    </i>
    <i>
      <x v="1360"/>
      <x v="310"/>
      <x v="6"/>
      <x v="1"/>
    </i>
    <i>
      <x v="1361"/>
      <x v="311"/>
      <x v="6"/>
      <x v="1"/>
    </i>
    <i>
      <x v="1362"/>
      <x v="312"/>
      <x v="6"/>
      <x v="1"/>
    </i>
    <i>
      <x v="1363"/>
      <x v="657"/>
      <x v="6"/>
      <x v="2"/>
    </i>
    <i>
      <x v="1364"/>
      <x v="43"/>
      <x v="6"/>
      <x v="1"/>
    </i>
    <i>
      <x v="1365"/>
      <x v="44"/>
      <x v="6"/>
      <x v="1"/>
    </i>
    <i>
      <x v="1366"/>
      <x v="470"/>
      <x v="6"/>
      <x v="1"/>
    </i>
    <i>
      <x v="1367"/>
      <x v="471"/>
      <x v="6"/>
      <x v="1"/>
    </i>
    <i>
      <x v="1368"/>
      <x v="45"/>
      <x v="6"/>
      <x v="1"/>
    </i>
    <i>
      <x v="1369"/>
      <x v="658"/>
      <x v="6"/>
      <x v="1"/>
    </i>
    <i>
      <x v="1370"/>
      <x v="474"/>
      <x v="6"/>
      <x v="1"/>
    </i>
    <i>
      <x v="1371"/>
      <x v="475"/>
      <x v="6"/>
      <x v="1"/>
    </i>
    <i>
      <x v="1372"/>
      <x v="659"/>
      <x v="6"/>
      <x v="2"/>
    </i>
    <i>
      <x v="1373"/>
      <x v="530"/>
      <x v="6"/>
      <x v="1"/>
    </i>
    <i>
      <x v="1374"/>
      <x v="536"/>
      <x v="6"/>
      <x v="1"/>
    </i>
    <i>
      <x v="1375"/>
      <x v="199"/>
      <x v="6"/>
      <x v="2"/>
    </i>
    <i>
      <x v="1376"/>
      <x v="547"/>
      <x v="6"/>
      <x v="1"/>
    </i>
    <i>
      <x v="1377"/>
      <x v="61"/>
      <x v="6"/>
      <x v="1"/>
    </i>
    <i>
      <x v="1378"/>
      <x v="213"/>
      <x v="6"/>
      <x v="2"/>
    </i>
    <i>
      <x v="1379"/>
      <x v="660"/>
      <x v="6"/>
      <x v="1"/>
    </i>
    <i>
      <x v="1380"/>
      <x v="661"/>
      <x v="6"/>
      <x v="1"/>
    </i>
    <i>
      <x v="1381"/>
      <x v="209"/>
      <x v="6"/>
      <x v="1"/>
    </i>
  </rowItems>
  <colFields count="2">
    <field x="4"/>
    <field x="2"/>
  </colFields>
  <colItems count="5">
    <i>
      <x/>
      <x/>
    </i>
    <i r="1">
      <x v="1"/>
    </i>
    <i r="1">
      <x v="2"/>
    </i>
    <i r="1">
      <x v="3"/>
    </i>
    <i r="1">
      <x v="4"/>
    </i>
  </colItems>
  <dataFields count="1">
    <dataField name="   " fld="7" baseField="17" baseItem="2" numFmtId="4"/>
  </dataFields>
  <formats count="1073">
    <format dxfId="1246">
      <pivotArea type="all" dataOnly="0" outline="0" fieldPosition="0"/>
    </format>
    <format dxfId="1245">
      <pivotArea outline="0" collapsedLevelsAreSubtotals="1" fieldPosition="0"/>
    </format>
    <format dxfId="1244">
      <pivotArea outline="0" collapsedLevelsAreSubtotals="1" fieldPosition="0"/>
    </format>
    <format dxfId="1243">
      <pivotArea type="all" dataOnly="0" outline="0" fieldPosition="0"/>
    </format>
    <format dxfId="1242">
      <pivotArea dataOnly="0" labelOnly="1" outline="0" fieldPosition="0">
        <references count="1">
          <reference field="9" count="0"/>
        </references>
      </pivotArea>
    </format>
    <format dxfId="1241">
      <pivotArea field="6" type="button" dataOnly="0" labelOnly="1" outline="0" axis="axisRow" fieldPosition="0"/>
    </format>
    <format dxfId="1240">
      <pivotArea field="5" type="button" dataOnly="0" labelOnly="1" outline="0" axis="axisRow" fieldPosition="1"/>
    </format>
    <format dxfId="1239">
      <pivotArea field="9" type="button" dataOnly="0" labelOnly="1" outline="0" axis="axisRow" fieldPosition="2"/>
    </format>
    <format dxfId="1238">
      <pivotArea field="10" type="button" dataOnly="0" labelOnly="1" outline="0" axis="axisRow" fieldPosition="3"/>
    </format>
    <format dxfId="1237">
      <pivotArea field="6" type="button" dataOnly="0" labelOnly="1" outline="0" axis="axisRow" fieldPosition="0"/>
    </format>
    <format dxfId="1236">
      <pivotArea field="5" type="button" dataOnly="0" labelOnly="1" outline="0" axis="axisRow" fieldPosition="1"/>
    </format>
    <format dxfId="1235">
      <pivotArea field="9" type="button" dataOnly="0" labelOnly="1" outline="0" axis="axisRow" fieldPosition="2"/>
    </format>
    <format dxfId="1234">
      <pivotArea field="10" type="button" dataOnly="0" labelOnly="1" outline="0" axis="axisRow" fieldPosition="3"/>
    </format>
    <format dxfId="1233">
      <pivotArea outline="0" fieldPosition="0">
        <references count="1">
          <reference field="4294967294" count="1">
            <x v="0"/>
          </reference>
        </references>
      </pivotArea>
    </format>
    <format dxfId="1232">
      <pivotArea dataOnly="0" labelOnly="1" outline="0" fieldPosition="0">
        <references count="1">
          <reference field="6" count="0"/>
        </references>
      </pivotArea>
    </format>
    <format dxfId="1231">
      <pivotArea field="6" type="button" dataOnly="0" labelOnly="1" outline="0" axis="axisRow" fieldPosition="0"/>
    </format>
    <format dxfId="1230">
      <pivotArea field="5" type="button" dataOnly="0" labelOnly="1" outline="0" axis="axisRow" fieldPosition="1"/>
    </format>
    <format dxfId="1229">
      <pivotArea field="9" type="button" dataOnly="0" labelOnly="1" outline="0" axis="axisRow" fieldPosition="2"/>
    </format>
    <format dxfId="1228">
      <pivotArea field="10" type="button" dataOnly="0" labelOnly="1" outline="0" axis="axisRow" fieldPosition="3"/>
    </format>
    <format dxfId="1227">
      <pivotArea type="all" dataOnly="0" outline="0" fieldPosition="0"/>
    </format>
    <format dxfId="1226">
      <pivotArea outline="0" collapsedLevelsAreSubtotals="1" fieldPosition="0"/>
    </format>
    <format dxfId="1225">
      <pivotArea dataOnly="0" labelOnly="1" outline="0" fieldPosition="0">
        <references count="1">
          <reference field="6"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1224">
      <pivotArea dataOnly="0" labelOnly="1" outline="0" fieldPosition="0">
        <references count="1">
          <reference field="6" count="50">
            <x v="50"/>
            <x v="51"/>
            <x v="52"/>
            <x v="53"/>
            <x v="54"/>
            <x v="55"/>
            <x v="56"/>
            <x v="57"/>
            <x v="58"/>
            <x v="59"/>
            <x v="60"/>
            <x v="61"/>
            <x v="62"/>
            <x v="63"/>
            <x v="64"/>
            <x v="65"/>
            <x v="66"/>
            <x v="67"/>
            <x v="68"/>
            <x v="69"/>
            <x v="70"/>
            <x v="71"/>
            <x v="72"/>
            <x v="73"/>
            <x v="74"/>
            <x v="75"/>
            <x v="76"/>
            <x v="77"/>
            <x v="78"/>
            <x v="79"/>
            <x v="80"/>
            <x v="81"/>
            <x v="82"/>
            <x v="83"/>
            <x v="84"/>
            <x v="85"/>
            <x v="86"/>
            <x v="87"/>
            <x v="88"/>
            <x v="89"/>
            <x v="90"/>
            <x v="91"/>
            <x v="92"/>
            <x v="93"/>
            <x v="94"/>
            <x v="95"/>
            <x v="96"/>
            <x v="97"/>
            <x v="98"/>
            <x v="99"/>
          </reference>
        </references>
      </pivotArea>
    </format>
    <format dxfId="1223">
      <pivotArea dataOnly="0" labelOnly="1" outline="0" fieldPosition="0">
        <references count="1">
          <reference field="6" count="50">
            <x v="100"/>
            <x v="101"/>
            <x v="102"/>
            <x v="103"/>
            <x v="104"/>
            <x v="105"/>
            <x v="106"/>
            <x v="107"/>
            <x v="108"/>
            <x v="109"/>
            <x v="110"/>
            <x v="111"/>
            <x v="112"/>
            <x v="113"/>
            <x v="114"/>
            <x v="115"/>
            <x v="116"/>
            <x v="117"/>
            <x v="118"/>
            <x v="119"/>
            <x v="120"/>
            <x v="121"/>
            <x v="122"/>
            <x v="123"/>
            <x v="124"/>
            <x v="125"/>
            <x v="126"/>
            <x v="127"/>
            <x v="128"/>
            <x v="129"/>
            <x v="130"/>
            <x v="131"/>
            <x v="132"/>
            <x v="133"/>
            <x v="134"/>
            <x v="135"/>
            <x v="136"/>
            <x v="137"/>
            <x v="138"/>
            <x v="139"/>
            <x v="140"/>
            <x v="141"/>
            <x v="142"/>
            <x v="143"/>
            <x v="144"/>
            <x v="145"/>
            <x v="146"/>
            <x v="147"/>
            <x v="148"/>
            <x v="149"/>
          </reference>
        </references>
      </pivotArea>
    </format>
    <format dxfId="1222">
      <pivotArea dataOnly="0" labelOnly="1" outline="0" fieldPosition="0">
        <references count="1">
          <reference field="6" count="50">
            <x v="150"/>
            <x v="151"/>
            <x v="152"/>
            <x v="153"/>
            <x v="154"/>
            <x v="155"/>
            <x v="156"/>
            <x v="157"/>
            <x v="158"/>
            <x v="159"/>
            <x v="160"/>
            <x v="161"/>
            <x v="162"/>
            <x v="163"/>
            <x v="164"/>
            <x v="165"/>
            <x v="166"/>
            <x v="167"/>
            <x v="168"/>
            <x v="169"/>
            <x v="170"/>
            <x v="171"/>
            <x v="172"/>
            <x v="173"/>
            <x v="174"/>
            <x v="175"/>
            <x v="176"/>
            <x v="177"/>
            <x v="178"/>
            <x v="179"/>
            <x v="180"/>
            <x v="181"/>
            <x v="182"/>
            <x v="183"/>
            <x v="184"/>
            <x v="185"/>
            <x v="186"/>
            <x v="187"/>
            <x v="188"/>
            <x v="189"/>
            <x v="190"/>
            <x v="191"/>
            <x v="192"/>
            <x v="193"/>
            <x v="194"/>
            <x v="195"/>
            <x v="196"/>
            <x v="197"/>
            <x v="198"/>
            <x v="199"/>
          </reference>
        </references>
      </pivotArea>
    </format>
    <format dxfId="1221">
      <pivotArea dataOnly="0" labelOnly="1" outline="0" fieldPosition="0">
        <references count="1">
          <reference field="6" count="50">
            <x v="200"/>
            <x v="201"/>
            <x v="202"/>
            <x v="203"/>
            <x v="204"/>
            <x v="205"/>
            <x v="206"/>
            <x v="207"/>
            <x v="208"/>
            <x v="209"/>
            <x v="210"/>
            <x v="211"/>
            <x v="212"/>
            <x v="213"/>
            <x v="214"/>
            <x v="215"/>
            <x v="216"/>
            <x v="217"/>
            <x v="218"/>
            <x v="219"/>
            <x v="220"/>
            <x v="221"/>
            <x v="222"/>
            <x v="223"/>
            <x v="224"/>
            <x v="225"/>
            <x v="226"/>
            <x v="227"/>
            <x v="228"/>
            <x v="229"/>
            <x v="230"/>
            <x v="231"/>
            <x v="232"/>
            <x v="233"/>
            <x v="234"/>
            <x v="235"/>
            <x v="236"/>
            <x v="237"/>
            <x v="238"/>
            <x v="239"/>
            <x v="240"/>
            <x v="241"/>
            <x v="242"/>
            <x v="243"/>
            <x v="244"/>
            <x v="245"/>
            <x v="246"/>
            <x v="247"/>
            <x v="248"/>
            <x v="249"/>
          </reference>
        </references>
      </pivotArea>
    </format>
    <format dxfId="1220">
      <pivotArea dataOnly="0" labelOnly="1" outline="0" fieldPosition="0">
        <references count="1">
          <reference field="6" count="50">
            <x v="250"/>
            <x v="251"/>
            <x v="252"/>
            <x v="253"/>
            <x v="254"/>
            <x v="255"/>
            <x v="256"/>
            <x v="257"/>
            <x v="258"/>
            <x v="259"/>
            <x v="260"/>
            <x v="261"/>
            <x v="262"/>
            <x v="263"/>
            <x v="264"/>
            <x v="265"/>
            <x v="266"/>
            <x v="267"/>
            <x v="268"/>
            <x v="269"/>
            <x v="270"/>
            <x v="271"/>
            <x v="272"/>
            <x v="273"/>
            <x v="274"/>
            <x v="275"/>
            <x v="276"/>
            <x v="277"/>
            <x v="278"/>
            <x v="279"/>
            <x v="280"/>
            <x v="281"/>
            <x v="282"/>
            <x v="283"/>
            <x v="284"/>
            <x v="285"/>
            <x v="286"/>
            <x v="287"/>
            <x v="288"/>
            <x v="289"/>
            <x v="290"/>
            <x v="291"/>
            <x v="292"/>
            <x v="293"/>
            <x v="294"/>
            <x v="295"/>
            <x v="296"/>
            <x v="297"/>
            <x v="298"/>
            <x v="299"/>
          </reference>
        </references>
      </pivotArea>
    </format>
    <format dxfId="1219">
      <pivotArea dataOnly="0" labelOnly="1" outline="0" fieldPosition="0">
        <references count="1">
          <reference field="6" count="50">
            <x v="300"/>
            <x v="301"/>
            <x v="302"/>
            <x v="303"/>
            <x v="304"/>
            <x v="305"/>
            <x v="306"/>
            <x v="307"/>
            <x v="308"/>
            <x v="309"/>
            <x v="310"/>
            <x v="311"/>
            <x v="312"/>
            <x v="313"/>
            <x v="314"/>
            <x v="315"/>
            <x v="316"/>
            <x v="317"/>
            <x v="318"/>
            <x v="319"/>
            <x v="320"/>
            <x v="321"/>
            <x v="322"/>
            <x v="323"/>
            <x v="324"/>
            <x v="325"/>
            <x v="326"/>
            <x v="327"/>
            <x v="328"/>
            <x v="329"/>
            <x v="330"/>
            <x v="331"/>
            <x v="332"/>
            <x v="333"/>
            <x v="334"/>
            <x v="335"/>
            <x v="336"/>
            <x v="337"/>
            <x v="338"/>
            <x v="339"/>
            <x v="340"/>
            <x v="341"/>
            <x v="342"/>
            <x v="343"/>
            <x v="344"/>
            <x v="345"/>
            <x v="346"/>
            <x v="347"/>
            <x v="348"/>
            <x v="349"/>
          </reference>
        </references>
      </pivotArea>
    </format>
    <format dxfId="1218">
      <pivotArea dataOnly="0" labelOnly="1" outline="0" fieldPosition="0">
        <references count="1">
          <reference field="6" count="50">
            <x v="350"/>
            <x v="351"/>
            <x v="352"/>
            <x v="353"/>
            <x v="354"/>
            <x v="355"/>
            <x v="356"/>
            <x v="357"/>
            <x v="358"/>
            <x v="359"/>
            <x v="360"/>
            <x v="361"/>
            <x v="362"/>
            <x v="363"/>
            <x v="364"/>
            <x v="365"/>
            <x v="366"/>
            <x v="367"/>
            <x v="368"/>
            <x v="369"/>
            <x v="370"/>
            <x v="371"/>
            <x v="372"/>
            <x v="373"/>
            <x v="374"/>
            <x v="375"/>
            <x v="376"/>
            <x v="377"/>
            <x v="378"/>
            <x v="379"/>
            <x v="380"/>
            <x v="381"/>
            <x v="382"/>
            <x v="383"/>
            <x v="384"/>
            <x v="385"/>
            <x v="386"/>
            <x v="387"/>
            <x v="388"/>
            <x v="389"/>
            <x v="390"/>
            <x v="391"/>
            <x v="392"/>
            <x v="393"/>
            <x v="394"/>
            <x v="395"/>
            <x v="396"/>
            <x v="397"/>
            <x v="398"/>
            <x v="399"/>
          </reference>
        </references>
      </pivotArea>
    </format>
    <format dxfId="1217">
      <pivotArea dataOnly="0" labelOnly="1" outline="0" fieldPosition="0">
        <references count="1">
          <reference field="6" count="50">
            <x v="400"/>
            <x v="401"/>
            <x v="402"/>
            <x v="403"/>
            <x v="404"/>
            <x v="405"/>
            <x v="406"/>
            <x v="407"/>
            <x v="408"/>
            <x v="409"/>
            <x v="410"/>
            <x v="411"/>
            <x v="412"/>
            <x v="413"/>
            <x v="414"/>
            <x v="415"/>
            <x v="416"/>
            <x v="417"/>
            <x v="418"/>
            <x v="419"/>
            <x v="420"/>
            <x v="421"/>
            <x v="422"/>
            <x v="423"/>
            <x v="424"/>
            <x v="425"/>
            <x v="426"/>
            <x v="427"/>
            <x v="428"/>
            <x v="429"/>
            <x v="430"/>
            <x v="431"/>
            <x v="432"/>
            <x v="433"/>
            <x v="434"/>
            <x v="435"/>
            <x v="436"/>
            <x v="437"/>
            <x v="438"/>
            <x v="439"/>
            <x v="440"/>
            <x v="441"/>
            <x v="442"/>
            <x v="443"/>
            <x v="444"/>
            <x v="445"/>
            <x v="446"/>
            <x v="447"/>
            <x v="448"/>
            <x v="449"/>
          </reference>
        </references>
      </pivotArea>
    </format>
    <format dxfId="1216">
      <pivotArea dataOnly="0" labelOnly="1" outline="0" fieldPosition="0">
        <references count="1">
          <reference field="6" count="50">
            <x v="450"/>
            <x v="451"/>
            <x v="452"/>
            <x v="453"/>
            <x v="454"/>
            <x v="455"/>
            <x v="456"/>
            <x v="457"/>
            <x v="458"/>
            <x v="459"/>
            <x v="460"/>
            <x v="461"/>
            <x v="462"/>
            <x v="463"/>
            <x v="464"/>
            <x v="465"/>
            <x v="466"/>
            <x v="467"/>
            <x v="468"/>
            <x v="469"/>
            <x v="470"/>
            <x v="471"/>
            <x v="472"/>
            <x v="473"/>
            <x v="474"/>
            <x v="475"/>
            <x v="476"/>
            <x v="477"/>
            <x v="478"/>
            <x v="479"/>
            <x v="480"/>
            <x v="481"/>
            <x v="482"/>
            <x v="483"/>
            <x v="484"/>
            <x v="485"/>
            <x v="486"/>
            <x v="487"/>
            <x v="488"/>
            <x v="489"/>
            <x v="490"/>
            <x v="491"/>
            <x v="492"/>
            <x v="493"/>
            <x v="494"/>
            <x v="495"/>
            <x v="496"/>
            <x v="497"/>
            <x v="498"/>
            <x v="499"/>
          </reference>
        </references>
      </pivotArea>
    </format>
    <format dxfId="1215">
      <pivotArea dataOnly="0" labelOnly="1" outline="0" fieldPosition="0">
        <references count="1">
          <reference field="6" count="50">
            <x v="500"/>
            <x v="501"/>
            <x v="502"/>
            <x v="503"/>
            <x v="504"/>
            <x v="505"/>
            <x v="506"/>
            <x v="507"/>
            <x v="508"/>
            <x v="509"/>
            <x v="510"/>
            <x v="511"/>
            <x v="512"/>
            <x v="513"/>
            <x v="514"/>
            <x v="515"/>
            <x v="516"/>
            <x v="517"/>
            <x v="518"/>
            <x v="519"/>
            <x v="520"/>
            <x v="521"/>
            <x v="522"/>
            <x v="523"/>
            <x v="524"/>
            <x v="525"/>
            <x v="526"/>
            <x v="527"/>
            <x v="528"/>
            <x v="529"/>
            <x v="530"/>
            <x v="531"/>
            <x v="532"/>
            <x v="533"/>
            <x v="534"/>
            <x v="535"/>
            <x v="536"/>
            <x v="537"/>
            <x v="538"/>
            <x v="539"/>
            <x v="540"/>
            <x v="541"/>
            <x v="542"/>
            <x v="543"/>
            <x v="544"/>
            <x v="545"/>
            <x v="546"/>
            <x v="547"/>
            <x v="548"/>
            <x v="549"/>
          </reference>
        </references>
      </pivotArea>
    </format>
    <format dxfId="1214">
      <pivotArea dataOnly="0" labelOnly="1" outline="0" fieldPosition="0">
        <references count="1">
          <reference field="6" count="50">
            <x v="550"/>
            <x v="551"/>
            <x v="552"/>
            <x v="553"/>
            <x v="554"/>
            <x v="555"/>
            <x v="556"/>
            <x v="557"/>
            <x v="558"/>
            <x v="559"/>
            <x v="560"/>
            <x v="561"/>
            <x v="562"/>
            <x v="563"/>
            <x v="564"/>
            <x v="565"/>
            <x v="566"/>
            <x v="567"/>
            <x v="568"/>
            <x v="569"/>
            <x v="570"/>
            <x v="571"/>
            <x v="572"/>
            <x v="573"/>
            <x v="574"/>
            <x v="575"/>
            <x v="576"/>
            <x v="577"/>
            <x v="578"/>
            <x v="579"/>
            <x v="580"/>
            <x v="581"/>
            <x v="582"/>
            <x v="583"/>
            <x v="584"/>
            <x v="585"/>
            <x v="586"/>
            <x v="587"/>
            <x v="588"/>
            <x v="589"/>
            <x v="590"/>
            <x v="591"/>
            <x v="592"/>
            <x v="593"/>
            <x v="594"/>
            <x v="595"/>
            <x v="596"/>
            <x v="597"/>
            <x v="598"/>
            <x v="599"/>
          </reference>
        </references>
      </pivotArea>
    </format>
    <format dxfId="1213">
      <pivotArea dataOnly="0" labelOnly="1" outline="0" fieldPosition="0">
        <references count="1">
          <reference field="6" count="50">
            <x v="600"/>
            <x v="601"/>
            <x v="602"/>
            <x v="603"/>
            <x v="604"/>
            <x v="605"/>
            <x v="606"/>
            <x v="607"/>
            <x v="608"/>
            <x v="609"/>
            <x v="610"/>
            <x v="611"/>
            <x v="612"/>
            <x v="613"/>
            <x v="614"/>
            <x v="615"/>
            <x v="616"/>
            <x v="617"/>
            <x v="618"/>
            <x v="619"/>
            <x v="620"/>
            <x v="621"/>
            <x v="622"/>
            <x v="623"/>
            <x v="624"/>
            <x v="625"/>
            <x v="626"/>
            <x v="627"/>
            <x v="628"/>
            <x v="629"/>
            <x v="630"/>
            <x v="631"/>
            <x v="632"/>
            <x v="633"/>
            <x v="634"/>
            <x v="635"/>
            <x v="636"/>
            <x v="637"/>
            <x v="638"/>
            <x v="639"/>
            <x v="640"/>
            <x v="641"/>
            <x v="642"/>
            <x v="643"/>
            <x v="644"/>
            <x v="645"/>
            <x v="646"/>
            <x v="647"/>
            <x v="648"/>
            <x v="649"/>
          </reference>
        </references>
      </pivotArea>
    </format>
    <format dxfId="1212">
      <pivotArea dataOnly="0" labelOnly="1" outline="0" fieldPosition="0">
        <references count="1">
          <reference field="6" count="50">
            <x v="650"/>
            <x v="651"/>
            <x v="652"/>
            <x v="653"/>
            <x v="654"/>
            <x v="655"/>
            <x v="656"/>
            <x v="657"/>
            <x v="658"/>
            <x v="659"/>
            <x v="660"/>
            <x v="661"/>
            <x v="662"/>
            <x v="663"/>
            <x v="664"/>
            <x v="665"/>
            <x v="666"/>
            <x v="667"/>
            <x v="668"/>
            <x v="669"/>
            <x v="670"/>
            <x v="671"/>
            <x v="672"/>
            <x v="673"/>
            <x v="674"/>
            <x v="675"/>
            <x v="676"/>
            <x v="677"/>
            <x v="678"/>
            <x v="679"/>
            <x v="680"/>
            <x v="681"/>
            <x v="682"/>
            <x v="683"/>
            <x v="684"/>
            <x v="685"/>
            <x v="686"/>
            <x v="687"/>
            <x v="688"/>
            <x v="689"/>
            <x v="690"/>
            <x v="691"/>
            <x v="692"/>
            <x v="693"/>
            <x v="694"/>
            <x v="695"/>
            <x v="696"/>
            <x v="697"/>
            <x v="698"/>
            <x v="699"/>
          </reference>
        </references>
      </pivotArea>
    </format>
    <format dxfId="1211">
      <pivotArea dataOnly="0" labelOnly="1" outline="0" fieldPosition="0">
        <references count="1">
          <reference field="6" count="50">
            <x v="700"/>
            <x v="701"/>
            <x v="702"/>
            <x v="703"/>
            <x v="704"/>
            <x v="705"/>
            <x v="706"/>
            <x v="707"/>
            <x v="708"/>
            <x v="709"/>
            <x v="710"/>
            <x v="711"/>
            <x v="712"/>
            <x v="713"/>
            <x v="714"/>
            <x v="715"/>
            <x v="716"/>
            <x v="717"/>
            <x v="718"/>
            <x v="719"/>
            <x v="720"/>
            <x v="721"/>
            <x v="722"/>
            <x v="723"/>
            <x v="724"/>
            <x v="725"/>
            <x v="726"/>
            <x v="727"/>
            <x v="728"/>
            <x v="729"/>
            <x v="730"/>
            <x v="731"/>
            <x v="732"/>
            <x v="733"/>
            <x v="734"/>
            <x v="735"/>
            <x v="736"/>
            <x v="737"/>
            <x v="738"/>
            <x v="739"/>
            <x v="740"/>
            <x v="741"/>
            <x v="742"/>
            <x v="743"/>
            <x v="744"/>
            <x v="745"/>
            <x v="746"/>
            <x v="747"/>
            <x v="748"/>
            <x v="749"/>
          </reference>
        </references>
      </pivotArea>
    </format>
    <format dxfId="1210">
      <pivotArea dataOnly="0" labelOnly="1" outline="0" fieldPosition="0">
        <references count="1">
          <reference field="6" count="50">
            <x v="750"/>
            <x v="751"/>
            <x v="752"/>
            <x v="753"/>
            <x v="754"/>
            <x v="755"/>
            <x v="756"/>
            <x v="757"/>
            <x v="758"/>
            <x v="759"/>
            <x v="760"/>
            <x v="761"/>
            <x v="762"/>
            <x v="763"/>
            <x v="764"/>
            <x v="765"/>
            <x v="766"/>
            <x v="767"/>
            <x v="768"/>
            <x v="769"/>
            <x v="770"/>
            <x v="771"/>
            <x v="772"/>
            <x v="773"/>
            <x v="774"/>
            <x v="775"/>
            <x v="776"/>
            <x v="777"/>
            <x v="778"/>
            <x v="779"/>
            <x v="780"/>
            <x v="781"/>
            <x v="782"/>
            <x v="783"/>
            <x v="784"/>
            <x v="785"/>
            <x v="786"/>
            <x v="787"/>
            <x v="788"/>
            <x v="789"/>
            <x v="790"/>
            <x v="791"/>
            <x v="792"/>
            <x v="793"/>
            <x v="794"/>
            <x v="795"/>
            <x v="796"/>
            <x v="797"/>
            <x v="798"/>
            <x v="799"/>
          </reference>
        </references>
      </pivotArea>
    </format>
    <format dxfId="1209">
      <pivotArea dataOnly="0" labelOnly="1" outline="0" fieldPosition="0">
        <references count="1">
          <reference field="6" count="50">
            <x v="800"/>
            <x v="801"/>
            <x v="802"/>
            <x v="803"/>
            <x v="804"/>
            <x v="805"/>
            <x v="806"/>
            <x v="807"/>
            <x v="808"/>
            <x v="809"/>
            <x v="810"/>
            <x v="811"/>
            <x v="812"/>
            <x v="813"/>
            <x v="814"/>
            <x v="815"/>
            <x v="816"/>
            <x v="817"/>
            <x v="818"/>
            <x v="819"/>
            <x v="820"/>
            <x v="821"/>
            <x v="822"/>
            <x v="823"/>
            <x v="824"/>
            <x v="825"/>
            <x v="826"/>
            <x v="827"/>
            <x v="828"/>
            <x v="829"/>
            <x v="830"/>
            <x v="831"/>
            <x v="832"/>
            <x v="833"/>
            <x v="834"/>
            <x v="835"/>
            <x v="836"/>
            <x v="837"/>
            <x v="838"/>
            <x v="839"/>
            <x v="840"/>
            <x v="841"/>
            <x v="842"/>
            <x v="843"/>
            <x v="844"/>
            <x v="845"/>
            <x v="846"/>
            <x v="847"/>
            <x v="848"/>
            <x v="849"/>
          </reference>
        </references>
      </pivotArea>
    </format>
    <format dxfId="1208">
      <pivotArea dataOnly="0" labelOnly="1" outline="0" fieldPosition="0">
        <references count="1">
          <reference field="6" count="50">
            <x v="850"/>
            <x v="851"/>
            <x v="852"/>
            <x v="853"/>
            <x v="854"/>
            <x v="855"/>
            <x v="856"/>
            <x v="857"/>
            <x v="858"/>
            <x v="859"/>
            <x v="860"/>
            <x v="861"/>
            <x v="862"/>
            <x v="863"/>
            <x v="864"/>
            <x v="865"/>
            <x v="866"/>
            <x v="867"/>
            <x v="868"/>
            <x v="869"/>
            <x v="870"/>
            <x v="871"/>
            <x v="872"/>
            <x v="873"/>
            <x v="874"/>
            <x v="875"/>
            <x v="876"/>
            <x v="877"/>
            <x v="878"/>
            <x v="879"/>
            <x v="880"/>
            <x v="881"/>
            <x v="882"/>
            <x v="883"/>
            <x v="884"/>
            <x v="885"/>
            <x v="886"/>
            <x v="887"/>
            <x v="888"/>
            <x v="889"/>
            <x v="890"/>
            <x v="891"/>
            <x v="892"/>
            <x v="893"/>
            <x v="894"/>
            <x v="895"/>
            <x v="896"/>
            <x v="897"/>
            <x v="898"/>
            <x v="899"/>
          </reference>
        </references>
      </pivotArea>
    </format>
    <format dxfId="1207">
      <pivotArea dataOnly="0" labelOnly="1" outline="0" fieldPosition="0">
        <references count="1">
          <reference field="6" count="50">
            <x v="900"/>
            <x v="901"/>
            <x v="902"/>
            <x v="903"/>
            <x v="904"/>
            <x v="905"/>
            <x v="906"/>
            <x v="907"/>
            <x v="908"/>
            <x v="909"/>
            <x v="910"/>
            <x v="911"/>
            <x v="912"/>
            <x v="913"/>
            <x v="914"/>
            <x v="915"/>
            <x v="916"/>
            <x v="917"/>
            <x v="918"/>
            <x v="919"/>
            <x v="920"/>
            <x v="921"/>
            <x v="922"/>
            <x v="923"/>
            <x v="924"/>
            <x v="925"/>
            <x v="926"/>
            <x v="927"/>
            <x v="928"/>
            <x v="929"/>
            <x v="930"/>
            <x v="931"/>
            <x v="932"/>
            <x v="933"/>
            <x v="934"/>
            <x v="935"/>
            <x v="936"/>
            <x v="937"/>
            <x v="938"/>
            <x v="939"/>
            <x v="940"/>
            <x v="941"/>
            <x v="942"/>
            <x v="943"/>
            <x v="944"/>
            <x v="945"/>
            <x v="946"/>
            <x v="947"/>
            <x v="948"/>
            <x v="949"/>
          </reference>
        </references>
      </pivotArea>
    </format>
    <format dxfId="1206">
      <pivotArea dataOnly="0" labelOnly="1" outline="0" fieldPosition="0">
        <references count="1">
          <reference field="6" count="50">
            <x v="950"/>
            <x v="951"/>
            <x v="952"/>
            <x v="953"/>
            <x v="954"/>
            <x v="955"/>
            <x v="956"/>
            <x v="957"/>
            <x v="958"/>
            <x v="959"/>
            <x v="960"/>
            <x v="961"/>
            <x v="962"/>
            <x v="963"/>
            <x v="964"/>
            <x v="965"/>
            <x v="966"/>
            <x v="967"/>
            <x v="968"/>
            <x v="969"/>
            <x v="970"/>
            <x v="971"/>
            <x v="972"/>
            <x v="973"/>
            <x v="974"/>
            <x v="975"/>
            <x v="976"/>
            <x v="977"/>
            <x v="978"/>
            <x v="979"/>
            <x v="980"/>
            <x v="981"/>
            <x v="982"/>
            <x v="983"/>
            <x v="984"/>
            <x v="985"/>
            <x v="986"/>
            <x v="987"/>
            <x v="988"/>
            <x v="989"/>
            <x v="990"/>
            <x v="991"/>
            <x v="992"/>
            <x v="993"/>
            <x v="994"/>
            <x v="995"/>
            <x v="996"/>
            <x v="997"/>
            <x v="998"/>
            <x v="999"/>
          </reference>
        </references>
      </pivotArea>
    </format>
    <format dxfId="1205">
      <pivotArea dataOnly="0" labelOnly="1" outline="0" fieldPosition="0">
        <references count="1">
          <reference field="6" count="50">
            <x v="1000"/>
            <x v="1001"/>
            <x v="1002"/>
            <x v="1003"/>
            <x v="1004"/>
            <x v="1005"/>
            <x v="1006"/>
            <x v="1007"/>
            <x v="1008"/>
            <x v="1009"/>
            <x v="1010"/>
            <x v="1011"/>
            <x v="1012"/>
            <x v="1013"/>
            <x v="1014"/>
            <x v="1015"/>
            <x v="1016"/>
            <x v="1017"/>
            <x v="1018"/>
            <x v="1019"/>
            <x v="1020"/>
            <x v="1021"/>
            <x v="1022"/>
            <x v="1023"/>
            <x v="1024"/>
            <x v="1025"/>
            <x v="1026"/>
            <x v="1027"/>
            <x v="1028"/>
            <x v="1029"/>
            <x v="1030"/>
            <x v="1031"/>
            <x v="1032"/>
            <x v="1033"/>
            <x v="1034"/>
            <x v="1035"/>
            <x v="1036"/>
            <x v="1037"/>
            <x v="1038"/>
            <x v="1039"/>
            <x v="1040"/>
            <x v="1041"/>
            <x v="1042"/>
            <x v="1043"/>
            <x v="1044"/>
            <x v="1045"/>
            <x v="1046"/>
            <x v="1047"/>
            <x v="1048"/>
            <x v="1049"/>
          </reference>
        </references>
      </pivotArea>
    </format>
    <format dxfId="1204">
      <pivotArea dataOnly="0" labelOnly="1" outline="0" fieldPosition="0">
        <references count="1">
          <reference field="6" count="50">
            <x v="1050"/>
            <x v="1051"/>
            <x v="1052"/>
            <x v="1053"/>
            <x v="1054"/>
            <x v="1055"/>
            <x v="1056"/>
            <x v="1057"/>
            <x v="1058"/>
            <x v="1059"/>
            <x v="1060"/>
            <x v="1061"/>
            <x v="1062"/>
            <x v="1063"/>
            <x v="1064"/>
            <x v="1065"/>
            <x v="1066"/>
            <x v="1067"/>
            <x v="1068"/>
            <x v="1069"/>
            <x v="1070"/>
            <x v="1071"/>
            <x v="1072"/>
            <x v="1073"/>
            <x v="1074"/>
            <x v="1076"/>
            <x v="1077"/>
            <x v="1078"/>
            <x v="1079"/>
            <x v="1080"/>
            <x v="1081"/>
            <x v="1082"/>
            <x v="1083"/>
            <x v="1084"/>
            <x v="1085"/>
            <x v="1086"/>
            <x v="1087"/>
            <x v="1088"/>
            <x v="1089"/>
            <x v="1090"/>
            <x v="1091"/>
            <x v="1092"/>
            <x v="1093"/>
            <x v="1094"/>
            <x v="1095"/>
            <x v="1096"/>
            <x v="1097"/>
            <x v="1098"/>
            <x v="1099"/>
            <x v="1100"/>
          </reference>
        </references>
      </pivotArea>
    </format>
    <format dxfId="1203">
      <pivotArea dataOnly="0" labelOnly="1" outline="0" fieldPosition="0">
        <references count="1">
          <reference field="6" count="50">
            <x v="1101"/>
            <x v="1102"/>
            <x v="1103"/>
            <x v="1104"/>
            <x v="1105"/>
            <x v="1106"/>
            <x v="1107"/>
            <x v="1108"/>
            <x v="1109"/>
            <x v="1110"/>
            <x v="1111"/>
            <x v="1112"/>
            <x v="1113"/>
            <x v="1114"/>
            <x v="1115"/>
            <x v="1116"/>
            <x v="1117"/>
            <x v="1118"/>
            <x v="1119"/>
            <x v="1120"/>
            <x v="1121"/>
            <x v="1122"/>
            <x v="1123"/>
            <x v="1124"/>
            <x v="1125"/>
            <x v="1126"/>
            <x v="1127"/>
            <x v="1128"/>
            <x v="1129"/>
            <x v="1130"/>
            <x v="1131"/>
            <x v="1132"/>
            <x v="1133"/>
            <x v="1134"/>
            <x v="1135"/>
            <x v="1136"/>
            <x v="1137"/>
            <x v="1138"/>
            <x v="1139"/>
            <x v="1140"/>
            <x v="1141"/>
            <x v="1142"/>
            <x v="1143"/>
            <x v="1144"/>
            <x v="1145"/>
            <x v="1146"/>
            <x v="1147"/>
            <x v="1148"/>
            <x v="1149"/>
            <x v="1150"/>
          </reference>
        </references>
      </pivotArea>
    </format>
    <format dxfId="1202">
      <pivotArea dataOnly="0" labelOnly="1" outline="0" fieldPosition="0">
        <references count="1">
          <reference field="6" count="50">
            <x v="1151"/>
            <x v="1152"/>
            <x v="1153"/>
            <x v="1154"/>
            <x v="1155"/>
            <x v="1156"/>
            <x v="1157"/>
            <x v="1158"/>
            <x v="1159"/>
            <x v="1160"/>
            <x v="1161"/>
            <x v="1162"/>
            <x v="1163"/>
            <x v="1164"/>
            <x v="1165"/>
            <x v="1166"/>
            <x v="1167"/>
            <x v="1168"/>
            <x v="1169"/>
            <x v="1170"/>
            <x v="1171"/>
            <x v="1172"/>
            <x v="1173"/>
            <x v="1174"/>
            <x v="1175"/>
            <x v="1176"/>
            <x v="1177"/>
            <x v="1178"/>
            <x v="1179"/>
            <x v="1180"/>
            <x v="1181"/>
            <x v="1182"/>
            <x v="1183"/>
            <x v="1184"/>
            <x v="1185"/>
            <x v="1186"/>
            <x v="1187"/>
            <x v="1188"/>
            <x v="1189"/>
            <x v="1190"/>
            <x v="1191"/>
            <x v="1192"/>
            <x v="1196"/>
            <x v="1197"/>
            <x v="1198"/>
            <x v="1199"/>
            <x v="1200"/>
            <x v="1201"/>
            <x v="1202"/>
            <x v="1203"/>
          </reference>
        </references>
      </pivotArea>
    </format>
    <format dxfId="1201">
      <pivotArea dataOnly="0" labelOnly="1" outline="0" fieldPosition="0">
        <references count="1">
          <reference field="6" count="50">
            <x v="1204"/>
            <x v="1205"/>
            <x v="1206"/>
            <x v="1207"/>
            <x v="1208"/>
            <x v="1209"/>
            <x v="1210"/>
            <x v="1211"/>
            <x v="1212"/>
            <x v="1213"/>
            <x v="1214"/>
            <x v="1215"/>
            <x v="1216"/>
            <x v="1217"/>
            <x v="1218"/>
            <x v="1219"/>
            <x v="1220"/>
            <x v="1221"/>
            <x v="1222"/>
            <x v="1223"/>
            <x v="1224"/>
            <x v="1225"/>
            <x v="1226"/>
            <x v="1227"/>
            <x v="1228"/>
            <x v="1229"/>
            <x v="1230"/>
            <x v="1231"/>
            <x v="1232"/>
            <x v="1233"/>
            <x v="1234"/>
            <x v="1235"/>
            <x v="1236"/>
            <x v="1237"/>
            <x v="1238"/>
            <x v="1239"/>
            <x v="1240"/>
            <x v="1241"/>
            <x v="1243"/>
            <x v="1244"/>
            <x v="1245"/>
            <x v="1246"/>
            <x v="1247"/>
            <x v="1248"/>
            <x v="1249"/>
            <x v="1250"/>
            <x v="1251"/>
            <x v="1252"/>
            <x v="1253"/>
            <x v="1254"/>
          </reference>
        </references>
      </pivotArea>
    </format>
    <format dxfId="1200">
      <pivotArea dataOnly="0" labelOnly="1" outline="0" fieldPosition="0">
        <references count="1">
          <reference field="6" count="50">
            <x v="1255"/>
            <x v="1256"/>
            <x v="1257"/>
            <x v="1258"/>
            <x v="1259"/>
            <x v="1260"/>
            <x v="1261"/>
            <x v="1262"/>
            <x v="1263"/>
            <x v="1264"/>
            <x v="1265"/>
            <x v="1266"/>
            <x v="1267"/>
            <x v="1268"/>
            <x v="1269"/>
            <x v="1270"/>
            <x v="1271"/>
            <x v="1272"/>
            <x v="1273"/>
            <x v="1274"/>
            <x v="1275"/>
            <x v="1276"/>
            <x v="1277"/>
            <x v="1278"/>
            <x v="1279"/>
            <x v="1280"/>
            <x v="1281"/>
            <x v="1282"/>
            <x v="1283"/>
            <x v="1284"/>
            <x v="1288"/>
            <x v="1289"/>
            <x v="1290"/>
            <x v="1291"/>
            <x v="1292"/>
            <x v="1293"/>
            <x v="1294"/>
            <x v="1295"/>
            <x v="1296"/>
            <x v="1297"/>
            <x v="1298"/>
            <x v="1299"/>
            <x v="1300"/>
            <x v="1301"/>
            <x v="1302"/>
            <x v="1303"/>
            <x v="1304"/>
            <x v="1305"/>
            <x v="1306"/>
            <x v="1307"/>
          </reference>
        </references>
      </pivotArea>
    </format>
    <format dxfId="1199">
      <pivotArea dataOnly="0" labelOnly="1" outline="0" fieldPosition="0">
        <references count="1">
          <reference field="6" count="50">
            <x v="1308"/>
            <x v="1309"/>
            <x v="1310"/>
            <x v="1311"/>
            <x v="1312"/>
            <x v="1313"/>
            <x v="1314"/>
            <x v="1315"/>
            <x v="1316"/>
            <x v="1317"/>
            <x v="1318"/>
            <x v="1319"/>
            <x v="1320"/>
            <x v="1321"/>
            <x v="1322"/>
            <x v="1323"/>
            <x v="1324"/>
            <x v="1325"/>
            <x v="1326"/>
            <x v="1327"/>
            <x v="1328"/>
            <x v="1329"/>
            <x v="1330"/>
            <x v="1331"/>
            <x v="1332"/>
            <x v="1333"/>
            <x v="1334"/>
            <x v="1335"/>
            <x v="1336"/>
            <x v="1337"/>
            <x v="1338"/>
            <x v="1339"/>
            <x v="1340"/>
            <x v="1341"/>
            <x v="1342"/>
            <x v="1343"/>
            <x v="1344"/>
            <x v="1345"/>
            <x v="1346"/>
            <x v="1347"/>
            <x v="1348"/>
            <x v="1349"/>
            <x v="1350"/>
            <x v="1351"/>
            <x v="1352"/>
            <x v="1353"/>
            <x v="1354"/>
            <x v="1355"/>
            <x v="1356"/>
            <x v="1357"/>
          </reference>
        </references>
      </pivotArea>
    </format>
    <format dxfId="1198">
      <pivotArea dataOnly="0" labelOnly="1" outline="0" fieldPosition="0">
        <references count="1">
          <reference field="6" count="24">
            <x v="1358"/>
            <x v="1359"/>
            <x v="1360"/>
            <x v="1361"/>
            <x v="1362"/>
            <x v="1363"/>
            <x v="1364"/>
            <x v="1365"/>
            <x v="1366"/>
            <x v="1367"/>
            <x v="1368"/>
            <x v="1369"/>
            <x v="1370"/>
            <x v="1371"/>
            <x v="1372"/>
            <x v="1373"/>
            <x v="1374"/>
            <x v="1375"/>
            <x v="1376"/>
            <x v="1377"/>
            <x v="1378"/>
            <x v="1379"/>
            <x v="1380"/>
            <x v="1381"/>
          </reference>
        </references>
      </pivotArea>
    </format>
    <format dxfId="1197">
      <pivotArea dataOnly="0" labelOnly="1" outline="0" fieldPosition="0">
        <references count="2">
          <reference field="5" count="1">
            <x v="10"/>
          </reference>
          <reference field="6" count="1" selected="0">
            <x v="0"/>
          </reference>
        </references>
      </pivotArea>
    </format>
    <format dxfId="1196">
      <pivotArea dataOnly="0" labelOnly="1" outline="0" fieldPosition="0">
        <references count="2">
          <reference field="5" count="1">
            <x v="125"/>
          </reference>
          <reference field="6" count="1" selected="0">
            <x v="1"/>
          </reference>
        </references>
      </pivotArea>
    </format>
    <format dxfId="1195">
      <pivotArea dataOnly="0" labelOnly="1" outline="0" fieldPosition="0">
        <references count="2">
          <reference field="5" count="1">
            <x v="38"/>
          </reference>
          <reference field="6" count="1" selected="0">
            <x v="2"/>
          </reference>
        </references>
      </pivotArea>
    </format>
    <format dxfId="1194">
      <pivotArea dataOnly="0" labelOnly="1" outline="0" fieldPosition="0">
        <references count="2">
          <reference field="5" count="1">
            <x v="102"/>
          </reference>
          <reference field="6" count="1" selected="0">
            <x v="3"/>
          </reference>
        </references>
      </pivotArea>
    </format>
    <format dxfId="1193">
      <pivotArea dataOnly="0" labelOnly="1" outline="0" fieldPosition="0">
        <references count="2">
          <reference field="5" count="1">
            <x v="39"/>
          </reference>
          <reference field="6" count="1" selected="0">
            <x v="4"/>
          </reference>
        </references>
      </pivotArea>
    </format>
    <format dxfId="1192">
      <pivotArea dataOnly="0" labelOnly="1" outline="0" fieldPosition="0">
        <references count="2">
          <reference field="5" count="1">
            <x v="314"/>
          </reference>
          <reference field="6" count="1" selected="0">
            <x v="5"/>
          </reference>
        </references>
      </pivotArea>
    </format>
    <format dxfId="1191">
      <pivotArea dataOnly="0" labelOnly="1" outline="0" fieldPosition="0">
        <references count="2">
          <reference field="5" count="1">
            <x v="25"/>
          </reference>
          <reference field="6" count="1" selected="0">
            <x v="6"/>
          </reference>
        </references>
      </pivotArea>
    </format>
    <format dxfId="1190">
      <pivotArea dataOnly="0" labelOnly="1" outline="0" fieldPosition="0">
        <references count="2">
          <reference field="5" count="1">
            <x v="315"/>
          </reference>
          <reference field="6" count="1" selected="0">
            <x v="7"/>
          </reference>
        </references>
      </pivotArea>
    </format>
    <format dxfId="1189">
      <pivotArea dataOnly="0" labelOnly="1" outline="0" fieldPosition="0">
        <references count="2">
          <reference field="5" count="1">
            <x v="313"/>
          </reference>
          <reference field="6" count="1" selected="0">
            <x v="8"/>
          </reference>
        </references>
      </pivotArea>
    </format>
    <format dxfId="1188">
      <pivotArea dataOnly="0" labelOnly="1" outline="0" fieldPosition="0">
        <references count="2">
          <reference field="5" count="1">
            <x v="29"/>
          </reference>
          <reference field="6" count="1" selected="0">
            <x v="9"/>
          </reference>
        </references>
      </pivotArea>
    </format>
    <format dxfId="1187">
      <pivotArea dataOnly="0" labelOnly="1" outline="0" fieldPosition="0">
        <references count="2">
          <reference field="5" count="1">
            <x v="25"/>
          </reference>
          <reference field="6" count="1" selected="0">
            <x v="10"/>
          </reference>
        </references>
      </pivotArea>
    </format>
    <format dxfId="1186">
      <pivotArea dataOnly="0" labelOnly="1" outline="0" fieldPosition="0">
        <references count="2">
          <reference field="5" count="1">
            <x v="28"/>
          </reference>
          <reference field="6" count="1" selected="0">
            <x v="11"/>
          </reference>
        </references>
      </pivotArea>
    </format>
    <format dxfId="1185">
      <pivotArea dataOnly="0" labelOnly="1" outline="0" fieldPosition="0">
        <references count="2">
          <reference field="5" count="1">
            <x v="27"/>
          </reference>
          <reference field="6" count="1" selected="0">
            <x v="12"/>
          </reference>
        </references>
      </pivotArea>
    </format>
    <format dxfId="1184">
      <pivotArea dataOnly="0" labelOnly="1" outline="0" fieldPosition="0">
        <references count="2">
          <reference field="5" count="1">
            <x v="157"/>
          </reference>
          <reference field="6" count="1" selected="0">
            <x v="13"/>
          </reference>
        </references>
      </pivotArea>
    </format>
    <format dxfId="1183">
      <pivotArea dataOnly="0" labelOnly="1" outline="0" fieldPosition="0">
        <references count="2">
          <reference field="5" count="1">
            <x v="103"/>
          </reference>
          <reference field="6" count="1" selected="0">
            <x v="14"/>
          </reference>
        </references>
      </pivotArea>
    </format>
    <format dxfId="1182">
      <pivotArea dataOnly="0" labelOnly="1" outline="0" fieldPosition="0">
        <references count="2">
          <reference field="5" count="1">
            <x v="88"/>
          </reference>
          <reference field="6" count="1" selected="0">
            <x v="18"/>
          </reference>
        </references>
      </pivotArea>
    </format>
    <format dxfId="1181">
      <pivotArea dataOnly="0" labelOnly="1" outline="0" fieldPosition="0">
        <references count="2">
          <reference field="5" count="1">
            <x v="204"/>
          </reference>
          <reference field="6" count="1" selected="0">
            <x v="19"/>
          </reference>
        </references>
      </pivotArea>
    </format>
    <format dxfId="1180">
      <pivotArea dataOnly="0" labelOnly="1" outline="0" fieldPosition="0">
        <references count="2">
          <reference field="5" count="1">
            <x v="129"/>
          </reference>
          <reference field="6" count="1" selected="0">
            <x v="20"/>
          </reference>
        </references>
      </pivotArea>
    </format>
    <format dxfId="1179">
      <pivotArea dataOnly="0" labelOnly="1" outline="0" fieldPosition="0">
        <references count="2">
          <reference field="5" count="1">
            <x v="26"/>
          </reference>
          <reference field="6" count="1" selected="0">
            <x v="21"/>
          </reference>
        </references>
      </pivotArea>
    </format>
    <format dxfId="1178">
      <pivotArea dataOnly="0" labelOnly="1" outline="0" fieldPosition="0">
        <references count="2">
          <reference field="5" count="1">
            <x v="216"/>
          </reference>
          <reference field="6" count="1" selected="0">
            <x v="22"/>
          </reference>
        </references>
      </pivotArea>
    </format>
    <format dxfId="1177">
      <pivotArea dataOnly="0" labelOnly="1" outline="0" fieldPosition="0">
        <references count="2">
          <reference field="5" count="1">
            <x v="157"/>
          </reference>
          <reference field="6" count="1" selected="0">
            <x v="23"/>
          </reference>
        </references>
      </pivotArea>
    </format>
    <format dxfId="1176">
      <pivotArea dataOnly="0" labelOnly="1" outline="0" fieldPosition="0">
        <references count="2">
          <reference field="5" count="1">
            <x v="201"/>
          </reference>
          <reference field="6" count="1" selected="0">
            <x v="24"/>
          </reference>
        </references>
      </pivotArea>
    </format>
    <format dxfId="1175">
      <pivotArea dataOnly="0" labelOnly="1" outline="0" fieldPosition="0">
        <references count="2">
          <reference field="5" count="1">
            <x v="26"/>
          </reference>
          <reference field="6" count="1" selected="0">
            <x v="26"/>
          </reference>
        </references>
      </pivotArea>
    </format>
    <format dxfId="1174">
      <pivotArea dataOnly="0" labelOnly="1" outline="0" fieldPosition="0">
        <references count="2">
          <reference field="5" count="1">
            <x v="216"/>
          </reference>
          <reference field="6" count="1" selected="0">
            <x v="27"/>
          </reference>
        </references>
      </pivotArea>
    </format>
    <format dxfId="1173">
      <pivotArea dataOnly="0" labelOnly="1" outline="0" fieldPosition="0">
        <references count="2">
          <reference field="5" count="1">
            <x v="157"/>
          </reference>
          <reference field="6" count="1" selected="0">
            <x v="28"/>
          </reference>
        </references>
      </pivotArea>
    </format>
    <format dxfId="1172">
      <pivotArea dataOnly="0" labelOnly="1" outline="0" fieldPosition="0">
        <references count="2">
          <reference field="5" count="1">
            <x v="169"/>
          </reference>
          <reference field="6" count="1" selected="0">
            <x v="32"/>
          </reference>
        </references>
      </pivotArea>
    </format>
    <format dxfId="1171">
      <pivotArea dataOnly="0" labelOnly="1" outline="0" fieldPosition="0">
        <references count="2">
          <reference field="5" count="1">
            <x v="7"/>
          </reference>
          <reference field="6" count="1" selected="0">
            <x v="33"/>
          </reference>
        </references>
      </pivotArea>
    </format>
    <format dxfId="1170">
      <pivotArea dataOnly="0" labelOnly="1" outline="0" fieldPosition="0">
        <references count="2">
          <reference field="5" count="1">
            <x v="98"/>
          </reference>
          <reference field="6" count="1" selected="0">
            <x v="50"/>
          </reference>
        </references>
      </pivotArea>
    </format>
    <format dxfId="1169">
      <pivotArea dataOnly="0" labelOnly="1" outline="0" fieldPosition="0">
        <references count="2">
          <reference field="5" count="1">
            <x v="180"/>
          </reference>
          <reference field="6" count="1" selected="0">
            <x v="67"/>
          </reference>
        </references>
      </pivotArea>
    </format>
    <format dxfId="1168">
      <pivotArea dataOnly="0" labelOnly="1" outline="0" fieldPosition="0">
        <references count="2">
          <reference field="5" count="1">
            <x v="75"/>
          </reference>
          <reference field="6" count="1" selected="0">
            <x v="72"/>
          </reference>
        </references>
      </pivotArea>
    </format>
    <format dxfId="1167">
      <pivotArea dataOnly="0" labelOnly="1" outline="0" fieldPosition="0">
        <references count="2">
          <reference field="5" count="1">
            <x v="78"/>
          </reference>
          <reference field="6" count="1" selected="0">
            <x v="73"/>
          </reference>
        </references>
      </pivotArea>
    </format>
    <format dxfId="1166">
      <pivotArea dataOnly="0" labelOnly="1" outline="0" fieldPosition="0">
        <references count="2">
          <reference field="5" count="1">
            <x v="81"/>
          </reference>
          <reference field="6" count="1" selected="0">
            <x v="74"/>
          </reference>
        </references>
      </pivotArea>
    </format>
    <format dxfId="1165">
      <pivotArea dataOnly="0" labelOnly="1" outline="0" fieldPosition="0">
        <references count="2">
          <reference field="5" count="1">
            <x v="74"/>
          </reference>
          <reference field="6" count="1" selected="0">
            <x v="80"/>
          </reference>
        </references>
      </pivotArea>
    </format>
    <format dxfId="1164">
      <pivotArea dataOnly="0" labelOnly="1" outline="0" fieldPosition="0">
        <references count="2">
          <reference field="5" count="1">
            <x v="77"/>
          </reference>
          <reference field="6" count="1" selected="0">
            <x v="81"/>
          </reference>
        </references>
      </pivotArea>
    </format>
    <format dxfId="1163">
      <pivotArea dataOnly="0" labelOnly="1" outline="0" fieldPosition="0">
        <references count="2">
          <reference field="5" count="1">
            <x v="80"/>
          </reference>
          <reference field="6" count="1" selected="0">
            <x v="82"/>
          </reference>
        </references>
      </pivotArea>
    </format>
    <format dxfId="1162">
      <pivotArea dataOnly="0" labelOnly="1" outline="0" fieldPosition="0">
        <references count="2">
          <reference field="5" count="1">
            <x v="73"/>
          </reference>
          <reference field="6" count="1" selected="0">
            <x v="89"/>
          </reference>
        </references>
      </pivotArea>
    </format>
    <format dxfId="1161">
      <pivotArea dataOnly="0" labelOnly="1" outline="0" fieldPosition="0">
        <references count="2">
          <reference field="5" count="1">
            <x v="76"/>
          </reference>
          <reference field="6" count="1" selected="0">
            <x v="90"/>
          </reference>
        </references>
      </pivotArea>
    </format>
    <format dxfId="1160">
      <pivotArea dataOnly="0" labelOnly="1" outline="0" fieldPosition="0">
        <references count="2">
          <reference field="5" count="1">
            <x v="79"/>
          </reference>
          <reference field="6" count="1" selected="0">
            <x v="91"/>
          </reference>
        </references>
      </pivotArea>
    </format>
    <format dxfId="1159">
      <pivotArea dataOnly="0" labelOnly="1" outline="0" fieldPosition="0">
        <references count="2">
          <reference field="5" count="1">
            <x v="84"/>
          </reference>
          <reference field="6" count="1" selected="0">
            <x v="93"/>
          </reference>
        </references>
      </pivotArea>
    </format>
    <format dxfId="1158">
      <pivotArea dataOnly="0" labelOnly="1" outline="0" fieldPosition="0">
        <references count="2">
          <reference field="5" count="1">
            <x v="112"/>
          </reference>
          <reference field="6" count="1" selected="0">
            <x v="94"/>
          </reference>
        </references>
      </pivotArea>
    </format>
    <format dxfId="1157">
      <pivotArea dataOnly="0" labelOnly="1" outline="0" fieldPosition="0">
        <references count="2">
          <reference field="5" count="1">
            <x v="316"/>
          </reference>
          <reference field="6" count="1" selected="0">
            <x v="96"/>
          </reference>
        </references>
      </pivotArea>
    </format>
    <format dxfId="1156">
      <pivotArea dataOnly="0" labelOnly="1" outline="0" fieldPosition="0">
        <references count="2">
          <reference field="5" count="1">
            <x v="219"/>
          </reference>
          <reference field="6" count="1" selected="0">
            <x v="98"/>
          </reference>
        </references>
      </pivotArea>
    </format>
    <format dxfId="1155">
      <pivotArea dataOnly="0" labelOnly="1" outline="0" fieldPosition="0">
        <references count="2">
          <reference field="5" count="1">
            <x v="4"/>
          </reference>
          <reference field="6" count="1" selected="0">
            <x v="554"/>
          </reference>
        </references>
      </pivotArea>
    </format>
    <format dxfId="1154">
      <pivotArea dataOnly="0" labelOnly="1" outline="0" fieldPosition="0">
        <references count="2">
          <reference field="5" count="1">
            <x v="89"/>
          </reference>
          <reference field="6" count="1" selected="0">
            <x v="557"/>
          </reference>
        </references>
      </pivotArea>
    </format>
    <format dxfId="1153">
      <pivotArea dataOnly="0" labelOnly="1" outline="0" fieldPosition="0">
        <references count="2">
          <reference field="5" count="1">
            <x v="68"/>
          </reference>
          <reference field="6" count="1" selected="0">
            <x v="561"/>
          </reference>
        </references>
      </pivotArea>
    </format>
    <format dxfId="1152">
      <pivotArea dataOnly="0" labelOnly="1" outline="0" fieldPosition="0">
        <references count="2">
          <reference field="5" count="1">
            <x v="160"/>
          </reference>
          <reference field="6" count="1" selected="0">
            <x v="562"/>
          </reference>
        </references>
      </pivotArea>
    </format>
    <format dxfId="1151">
      <pivotArea dataOnly="0" labelOnly="1" outline="0" fieldPosition="0">
        <references count="2">
          <reference field="5" count="1">
            <x v="168"/>
          </reference>
          <reference field="6" count="1" selected="0">
            <x v="563"/>
          </reference>
        </references>
      </pivotArea>
    </format>
    <format dxfId="1150">
      <pivotArea dataOnly="0" labelOnly="1" outline="0" fieldPosition="0">
        <references count="2">
          <reference field="5" count="1">
            <x v="201"/>
          </reference>
          <reference field="6" count="1" selected="0">
            <x v="564"/>
          </reference>
        </references>
      </pivotArea>
    </format>
    <format dxfId="1149">
      <pivotArea dataOnly="0" labelOnly="1" outline="0" fieldPosition="0">
        <references count="2">
          <reference field="5" count="1">
            <x v="161"/>
          </reference>
          <reference field="6" count="1" selected="0">
            <x v="565"/>
          </reference>
        </references>
      </pivotArea>
    </format>
    <format dxfId="1148">
      <pivotArea dataOnly="0" labelOnly="1" outline="0" fieldPosition="0">
        <references count="2">
          <reference field="5" count="1">
            <x v="6"/>
          </reference>
          <reference field="6" count="1" selected="0">
            <x v="566"/>
          </reference>
        </references>
      </pivotArea>
    </format>
    <format dxfId="1147">
      <pivotArea dataOnly="0" labelOnly="1" outline="0" fieldPosition="0">
        <references count="2">
          <reference field="5" count="1">
            <x v="97"/>
          </reference>
          <reference field="6" count="1" selected="0">
            <x v="567"/>
          </reference>
        </references>
      </pivotArea>
    </format>
    <format dxfId="1146">
      <pivotArea dataOnly="0" labelOnly="1" outline="0" fieldPosition="0">
        <references count="2">
          <reference field="5" count="1">
            <x v="179"/>
          </reference>
          <reference field="6" count="1" selected="0">
            <x v="568"/>
          </reference>
        </references>
      </pivotArea>
    </format>
    <format dxfId="1145">
      <pivotArea dataOnly="0" labelOnly="1" outline="0" fieldPosition="0">
        <references count="2">
          <reference field="5" count="1">
            <x v="84"/>
          </reference>
          <reference field="6" count="1" selected="0">
            <x v="569"/>
          </reference>
        </references>
      </pivotArea>
    </format>
    <format dxfId="1144">
      <pivotArea dataOnly="0" labelOnly="1" outline="0" fieldPosition="0">
        <references count="2">
          <reference field="5" count="1">
            <x v="229"/>
          </reference>
          <reference field="6" count="1" selected="0">
            <x v="581"/>
          </reference>
        </references>
      </pivotArea>
    </format>
    <format dxfId="1143">
      <pivotArea dataOnly="0" labelOnly="1" outline="0" fieldPosition="0">
        <references count="2">
          <reference field="5" count="1">
            <x v="55"/>
          </reference>
          <reference field="6" count="1" selected="0">
            <x v="582"/>
          </reference>
        </references>
      </pivotArea>
    </format>
    <format dxfId="1142">
      <pivotArea dataOnly="0" labelOnly="1" outline="0" fieldPosition="0">
        <references count="2">
          <reference field="5" count="1">
            <x v="198"/>
          </reference>
          <reference field="6" count="1" selected="0">
            <x v="585"/>
          </reference>
        </references>
      </pivotArea>
    </format>
    <format dxfId="1141">
      <pivotArea dataOnly="0" labelOnly="1" outline="0" fieldPosition="0">
        <references count="2">
          <reference field="5" count="1">
            <x v="209"/>
          </reference>
          <reference field="6" count="1" selected="0">
            <x v="586"/>
          </reference>
        </references>
      </pivotArea>
    </format>
    <format dxfId="1140">
      <pivotArea dataOnly="0" labelOnly="1" outline="0" fieldPosition="0">
        <references count="2">
          <reference field="5" count="1">
            <x v="259"/>
          </reference>
          <reference field="6" count="1" selected="0">
            <x v="587"/>
          </reference>
        </references>
      </pivotArea>
    </format>
    <format dxfId="1139">
      <pivotArea dataOnly="0" labelOnly="1" outline="0" fieldPosition="0">
        <references count="2">
          <reference field="5" count="1">
            <x v="176"/>
          </reference>
          <reference field="6" count="1" selected="0">
            <x v="589"/>
          </reference>
        </references>
      </pivotArea>
    </format>
    <format dxfId="1138">
      <pivotArea dataOnly="0" labelOnly="1" outline="0" fieldPosition="0">
        <references count="2">
          <reference field="5" count="1">
            <x v="235"/>
          </reference>
          <reference field="6" count="1" selected="0">
            <x v="590"/>
          </reference>
        </references>
      </pivotArea>
    </format>
    <format dxfId="1137">
      <pivotArea dataOnly="0" labelOnly="1" outline="0" fieldPosition="0">
        <references count="2">
          <reference field="5" count="1">
            <x v="158"/>
          </reference>
          <reference field="6" count="1" selected="0">
            <x v="591"/>
          </reference>
        </references>
      </pivotArea>
    </format>
    <format dxfId="1136">
      <pivotArea dataOnly="0" labelOnly="1" outline="0" fieldPosition="0">
        <references count="2">
          <reference field="5" count="1">
            <x v="52"/>
          </reference>
          <reference field="6" count="1" selected="0">
            <x v="592"/>
          </reference>
        </references>
      </pivotArea>
    </format>
    <format dxfId="1135">
      <pivotArea dataOnly="0" labelOnly="1" outline="0" fieldPosition="0">
        <references count="2">
          <reference field="5" count="1">
            <x v="135"/>
          </reference>
          <reference field="6" count="1" selected="0">
            <x v="593"/>
          </reference>
        </references>
      </pivotArea>
    </format>
    <format dxfId="1134">
      <pivotArea dataOnly="0" labelOnly="1" outline="0" fieldPosition="0">
        <references count="2">
          <reference field="5" count="1">
            <x v="269"/>
          </reference>
          <reference field="6" count="1" selected="0">
            <x v="594"/>
          </reference>
        </references>
      </pivotArea>
    </format>
    <format dxfId="1133">
      <pivotArea dataOnly="0" labelOnly="1" outline="0" fieldPosition="0">
        <references count="2">
          <reference field="5" count="1">
            <x v="145"/>
          </reference>
          <reference field="6" count="1" selected="0">
            <x v="595"/>
          </reference>
        </references>
      </pivotArea>
    </format>
    <format dxfId="1132">
      <pivotArea dataOnly="0" labelOnly="1" outline="0" fieldPosition="0">
        <references count="2">
          <reference field="5" count="1">
            <x v="134"/>
          </reference>
          <reference field="6" count="1" selected="0">
            <x v="596"/>
          </reference>
        </references>
      </pivotArea>
    </format>
    <format dxfId="1131">
      <pivotArea dataOnly="0" labelOnly="1" outline="0" fieldPosition="0">
        <references count="2">
          <reference field="5" count="1">
            <x v="219"/>
          </reference>
          <reference field="6" count="1" selected="0">
            <x v="597"/>
          </reference>
        </references>
      </pivotArea>
    </format>
    <format dxfId="1130">
      <pivotArea dataOnly="0" labelOnly="1" outline="0" fieldPosition="0">
        <references count="2">
          <reference field="5" count="1">
            <x v="163"/>
          </reference>
          <reference field="6" count="1" selected="0">
            <x v="598"/>
          </reference>
        </references>
      </pivotArea>
    </format>
    <format dxfId="1129">
      <pivotArea dataOnly="0" labelOnly="1" outline="0" fieldPosition="0">
        <references count="2">
          <reference field="5" count="1">
            <x v="69"/>
          </reference>
          <reference field="6" count="1" selected="0">
            <x v="608"/>
          </reference>
        </references>
      </pivotArea>
    </format>
    <format dxfId="1128">
      <pivotArea dataOnly="0" labelOnly="1" outline="0" fieldPosition="0">
        <references count="2">
          <reference field="5" count="1">
            <x v="15"/>
          </reference>
          <reference field="6" count="1" selected="0">
            <x v="609"/>
          </reference>
        </references>
      </pivotArea>
    </format>
    <format dxfId="1127">
      <pivotArea dataOnly="0" labelOnly="1" outline="0" fieldPosition="0">
        <references count="2">
          <reference field="5" count="1">
            <x v="48"/>
          </reference>
          <reference field="6" count="1" selected="0">
            <x v="611"/>
          </reference>
        </references>
      </pivotArea>
    </format>
    <format dxfId="1126">
      <pivotArea dataOnly="0" labelOnly="1" outline="0" fieldPosition="0">
        <references count="2">
          <reference field="5" count="1">
            <x v="22"/>
          </reference>
          <reference field="6" count="1" selected="0">
            <x v="612"/>
          </reference>
        </references>
      </pivotArea>
    </format>
    <format dxfId="1125">
      <pivotArea dataOnly="0" labelOnly="1" outline="0" fieldPosition="0">
        <references count="2">
          <reference field="5" count="1">
            <x v="116"/>
          </reference>
          <reference field="6" count="1" selected="0">
            <x v="613"/>
          </reference>
        </references>
      </pivotArea>
    </format>
    <format dxfId="1124">
      <pivotArea dataOnly="0" labelOnly="1" outline="0" fieldPosition="0">
        <references count="2">
          <reference field="5" count="1">
            <x v="245"/>
          </reference>
          <reference field="6" count="1" selected="0">
            <x v="614"/>
          </reference>
        </references>
      </pivotArea>
    </format>
    <format dxfId="1123">
      <pivotArea dataOnly="0" labelOnly="1" outline="0" fieldPosition="0">
        <references count="2">
          <reference field="5" count="1">
            <x v="177"/>
          </reference>
          <reference field="6" count="1" selected="0">
            <x v="615"/>
          </reference>
        </references>
      </pivotArea>
    </format>
    <format dxfId="1122">
      <pivotArea dataOnly="0" labelOnly="1" outline="0" fieldPosition="0">
        <references count="2">
          <reference field="5" count="1">
            <x v="209"/>
          </reference>
          <reference field="6" count="1" selected="0">
            <x v="617"/>
          </reference>
        </references>
      </pivotArea>
    </format>
    <format dxfId="1121">
      <pivotArea dataOnly="0" labelOnly="1" outline="0" fieldPosition="0">
        <references count="2">
          <reference field="5" count="1">
            <x v="323"/>
          </reference>
          <reference field="6" count="1" selected="0">
            <x v="622"/>
          </reference>
        </references>
      </pivotArea>
    </format>
    <format dxfId="1120">
      <pivotArea dataOnly="0" labelOnly="1" outline="0" fieldPosition="0">
        <references count="2">
          <reference field="5" count="1">
            <x v="276"/>
          </reference>
          <reference field="6" count="1" selected="0">
            <x v="623"/>
          </reference>
        </references>
      </pivotArea>
    </format>
    <format dxfId="1119">
      <pivotArea dataOnly="0" labelOnly="1" outline="0" fieldPosition="0">
        <references count="2">
          <reference field="5" count="1">
            <x v="324"/>
          </reference>
          <reference field="6" count="1" selected="0">
            <x v="624"/>
          </reference>
        </references>
      </pivotArea>
    </format>
    <format dxfId="1118">
      <pivotArea dataOnly="0" labelOnly="1" outline="0" fieldPosition="0">
        <references count="2">
          <reference field="5" count="1">
            <x v="317"/>
          </reference>
          <reference field="6" count="1" selected="0">
            <x v="625"/>
          </reference>
        </references>
      </pivotArea>
    </format>
    <format dxfId="1117">
      <pivotArea dataOnly="0" labelOnly="1" outline="0" fieldPosition="0">
        <references count="2">
          <reference field="5" count="1">
            <x v="322"/>
          </reference>
          <reference field="6" count="1" selected="0">
            <x v="626"/>
          </reference>
        </references>
      </pivotArea>
    </format>
    <format dxfId="1116">
      <pivotArea dataOnly="0" labelOnly="1" outline="0" fieldPosition="0">
        <references count="2">
          <reference field="5" count="1">
            <x v="32"/>
          </reference>
          <reference field="6" count="1" selected="0">
            <x v="627"/>
          </reference>
        </references>
      </pivotArea>
    </format>
    <format dxfId="1115">
      <pivotArea dataOnly="0" labelOnly="1" outline="0" fieldPosition="0">
        <references count="2">
          <reference field="5" count="1">
            <x v="276"/>
          </reference>
          <reference field="6" count="1" selected="0">
            <x v="628"/>
          </reference>
        </references>
      </pivotArea>
    </format>
    <format dxfId="1114">
      <pivotArea dataOnly="0" labelOnly="1" outline="0" fieldPosition="0">
        <references count="2">
          <reference field="5" count="1">
            <x v="101"/>
          </reference>
          <reference field="6" count="1" selected="0">
            <x v="629"/>
          </reference>
        </references>
      </pivotArea>
    </format>
    <format dxfId="1113">
      <pivotArea dataOnly="0" labelOnly="1" outline="0" fieldPosition="0">
        <references count="2">
          <reference field="5" count="1">
            <x v="182"/>
          </reference>
          <reference field="6" count="1" selected="0">
            <x v="630"/>
          </reference>
        </references>
      </pivotArea>
    </format>
    <format dxfId="1112">
      <pivotArea dataOnly="0" labelOnly="1" outline="0" fieldPosition="0">
        <references count="2">
          <reference field="5" count="1">
            <x v="278"/>
          </reference>
          <reference field="6" count="1" selected="0">
            <x v="631"/>
          </reference>
        </references>
      </pivotArea>
    </format>
    <format dxfId="1111">
      <pivotArea dataOnly="0" labelOnly="1" outline="0" fieldPosition="0">
        <references count="2">
          <reference field="5" count="1">
            <x v="91"/>
          </reference>
          <reference field="6" count="1" selected="0">
            <x v="632"/>
          </reference>
        </references>
      </pivotArea>
    </format>
    <format dxfId="1110">
      <pivotArea dataOnly="0" labelOnly="1" outline="0" fieldPosition="0">
        <references count="2">
          <reference field="5" count="1">
            <x v="219"/>
          </reference>
          <reference field="6" count="1" selected="0">
            <x v="633"/>
          </reference>
        </references>
      </pivotArea>
    </format>
    <format dxfId="1109">
      <pivotArea dataOnly="0" labelOnly="1" outline="0" fieldPosition="0">
        <references count="2">
          <reference field="5" count="1">
            <x v="321"/>
          </reference>
          <reference field="6" count="1" selected="0">
            <x v="634"/>
          </reference>
        </references>
      </pivotArea>
    </format>
    <format dxfId="1108">
      <pivotArea dataOnly="0" labelOnly="1" outline="0" fieldPosition="0">
        <references count="2">
          <reference field="5" count="1">
            <x v="318"/>
          </reference>
          <reference field="6" count="1" selected="0">
            <x v="635"/>
          </reference>
        </references>
      </pivotArea>
    </format>
    <format dxfId="1107">
      <pivotArea dataOnly="0" labelOnly="1" outline="0" fieldPosition="0">
        <references count="2">
          <reference field="5" count="1">
            <x v="319"/>
          </reference>
          <reference field="6" count="1" selected="0">
            <x v="636"/>
          </reference>
        </references>
      </pivotArea>
    </format>
    <format dxfId="1106">
      <pivotArea dataOnly="0" labelOnly="1" outline="0" fieldPosition="0">
        <references count="2">
          <reference field="5" count="1">
            <x v="320"/>
          </reference>
          <reference field="6" count="1" selected="0">
            <x v="637"/>
          </reference>
        </references>
      </pivotArea>
    </format>
    <format dxfId="1105">
      <pivotArea dataOnly="0" labelOnly="1" outline="0" fieldPosition="0">
        <references count="2">
          <reference field="5" count="1">
            <x v="156"/>
          </reference>
          <reference field="6" count="1" selected="0">
            <x v="638"/>
          </reference>
        </references>
      </pivotArea>
    </format>
    <format dxfId="1104">
      <pivotArea dataOnly="0" labelOnly="1" outline="0" fieldPosition="0">
        <references count="2">
          <reference field="5" count="1">
            <x v="183"/>
          </reference>
          <reference field="6" count="1" selected="0">
            <x v="639"/>
          </reference>
        </references>
      </pivotArea>
    </format>
    <format dxfId="1103">
      <pivotArea dataOnly="0" labelOnly="1" outline="0" fieldPosition="0">
        <references count="2">
          <reference field="5" count="1">
            <x v="113"/>
          </reference>
          <reference field="6" count="1" selected="0">
            <x v="640"/>
          </reference>
        </references>
      </pivotArea>
    </format>
    <format dxfId="1102">
      <pivotArea dataOnly="0" labelOnly="1" outline="0" fieldPosition="0">
        <references count="2">
          <reference field="5" count="1">
            <x v="278"/>
          </reference>
          <reference field="6" count="1" selected="0">
            <x v="641"/>
          </reference>
        </references>
      </pivotArea>
    </format>
    <format dxfId="1101">
      <pivotArea dataOnly="0" labelOnly="1" outline="0" fieldPosition="0">
        <references count="2">
          <reference field="5" count="1">
            <x v="114"/>
          </reference>
          <reference field="6" count="1" selected="0">
            <x v="642"/>
          </reference>
        </references>
      </pivotArea>
    </format>
    <format dxfId="1100">
      <pivotArea dataOnly="0" labelOnly="1" outline="0" fieldPosition="0">
        <references count="2">
          <reference field="5" count="1">
            <x v="219"/>
          </reference>
          <reference field="6" count="1" selected="0">
            <x v="643"/>
          </reference>
        </references>
      </pivotArea>
    </format>
    <format dxfId="1099">
      <pivotArea dataOnly="0" labelOnly="1" outline="0" fieldPosition="0">
        <references count="2">
          <reference field="5" count="1">
            <x v="33"/>
          </reference>
          <reference field="6" count="1" selected="0">
            <x v="644"/>
          </reference>
        </references>
      </pivotArea>
    </format>
    <format dxfId="1098">
      <pivotArea dataOnly="0" labelOnly="1" outline="0" fieldPosition="0">
        <references count="2">
          <reference field="5" count="1">
            <x v="156"/>
          </reference>
          <reference field="6" count="1" selected="0">
            <x v="645"/>
          </reference>
        </references>
      </pivotArea>
    </format>
    <format dxfId="1097">
      <pivotArea dataOnly="0" labelOnly="1" outline="0" fieldPosition="0">
        <references count="2">
          <reference field="5" count="1">
            <x v="183"/>
          </reference>
          <reference field="6" count="1" selected="0">
            <x v="646"/>
          </reference>
        </references>
      </pivotArea>
    </format>
    <format dxfId="1096">
      <pivotArea dataOnly="0" labelOnly="1" outline="0" fieldPosition="0">
        <references count="2">
          <reference field="5" count="1">
            <x v="278"/>
          </reference>
          <reference field="6" count="1" selected="0">
            <x v="648"/>
          </reference>
        </references>
      </pivotArea>
    </format>
    <format dxfId="1095">
      <pivotArea dataOnly="0" labelOnly="1" outline="0" fieldPosition="0">
        <references count="2">
          <reference field="5" count="1">
            <x v="114"/>
          </reference>
          <reference field="6" count="1" selected="0">
            <x v="649"/>
          </reference>
        </references>
      </pivotArea>
    </format>
    <format dxfId="1094">
      <pivotArea dataOnly="0" labelOnly="1" outline="0" fieldPosition="0">
        <references count="2">
          <reference field="5" count="1">
            <x v="219"/>
          </reference>
          <reference field="6" count="1" selected="0">
            <x v="650"/>
          </reference>
        </references>
      </pivotArea>
    </format>
    <format dxfId="1093">
      <pivotArea dataOnly="0" labelOnly="1" outline="0" fieldPosition="0">
        <references count="2">
          <reference field="5" count="1">
            <x v="276"/>
          </reference>
          <reference field="6" count="1" selected="0">
            <x v="653"/>
          </reference>
        </references>
      </pivotArea>
    </format>
    <format dxfId="1092">
      <pivotArea dataOnly="0" labelOnly="1" outline="0" fieldPosition="0">
        <references count="2">
          <reference field="5" count="1">
            <x v="100"/>
          </reference>
          <reference field="6" count="1" selected="0">
            <x v="654"/>
          </reference>
        </references>
      </pivotArea>
    </format>
    <format dxfId="1091">
      <pivotArea dataOnly="0" labelOnly="1" outline="0" fieldPosition="0">
        <references count="2">
          <reference field="5" count="1">
            <x v="231"/>
          </reference>
          <reference field="6" count="1" selected="0">
            <x v="655"/>
          </reference>
        </references>
      </pivotArea>
    </format>
    <format dxfId="1090">
      <pivotArea dataOnly="0" labelOnly="1" outline="0" fieldPosition="0">
        <references count="2">
          <reference field="5" count="1">
            <x v="256"/>
          </reference>
          <reference field="6" count="1" selected="0">
            <x v="656"/>
          </reference>
        </references>
      </pivotArea>
    </format>
    <format dxfId="1089">
      <pivotArea dataOnly="0" labelOnly="1" outline="0" fieldPosition="0">
        <references count="2">
          <reference field="5" count="1">
            <x v="219"/>
          </reference>
          <reference field="6" count="1" selected="0">
            <x v="657"/>
          </reference>
        </references>
      </pivotArea>
    </format>
    <format dxfId="1088">
      <pivotArea dataOnly="0" labelOnly="1" outline="0" fieldPosition="0">
        <references count="2">
          <reference field="5" count="1">
            <x v="326"/>
          </reference>
          <reference field="6" count="1" selected="0">
            <x v="660"/>
          </reference>
        </references>
      </pivotArea>
    </format>
    <format dxfId="1087">
      <pivotArea dataOnly="0" labelOnly="1" outline="0" fieldPosition="0">
        <references count="2">
          <reference field="5" count="1">
            <x v="325"/>
          </reference>
          <reference field="6" count="1" selected="0">
            <x v="663"/>
          </reference>
        </references>
      </pivotArea>
    </format>
    <format dxfId="1086">
      <pivotArea dataOnly="0" labelOnly="1" outline="0" fieldPosition="0">
        <references count="2">
          <reference field="5" count="1">
            <x v="247"/>
          </reference>
          <reference field="6" count="1" selected="0">
            <x v="664"/>
          </reference>
        </references>
      </pivotArea>
    </format>
    <format dxfId="1085">
      <pivotArea dataOnly="0" labelOnly="1" outline="0" fieldPosition="0">
        <references count="2">
          <reference field="5" count="1">
            <x v="276"/>
          </reference>
          <reference field="6" count="1" selected="0">
            <x v="665"/>
          </reference>
        </references>
      </pivotArea>
    </format>
    <format dxfId="1084">
      <pivotArea dataOnly="0" labelOnly="1" outline="0" fieldPosition="0">
        <references count="2">
          <reference field="5" count="1">
            <x v="100"/>
          </reference>
          <reference field="6" count="1" selected="0">
            <x v="666"/>
          </reference>
        </references>
      </pivotArea>
    </format>
    <format dxfId="1083">
      <pivotArea dataOnly="0" labelOnly="1" outline="0" fieldPosition="0">
        <references count="2">
          <reference field="5" count="1">
            <x v="59"/>
          </reference>
          <reference field="6" count="1" selected="0">
            <x v="667"/>
          </reference>
        </references>
      </pivotArea>
    </format>
    <format dxfId="1082">
      <pivotArea dataOnly="0" labelOnly="1" outline="0" fieldPosition="0">
        <references count="2">
          <reference field="5" count="1">
            <x v="231"/>
          </reference>
          <reference field="6" count="1" selected="0">
            <x v="668"/>
          </reference>
        </references>
      </pivotArea>
    </format>
    <format dxfId="1081">
      <pivotArea dataOnly="0" labelOnly="1" outline="0" fieldPosition="0">
        <references count="2">
          <reference field="5" count="1">
            <x v="183"/>
          </reference>
          <reference field="6" count="1" selected="0">
            <x v="669"/>
          </reference>
        </references>
      </pivotArea>
    </format>
    <format dxfId="1080">
      <pivotArea dataOnly="0" labelOnly="1" outline="0" fieldPosition="0">
        <references count="2">
          <reference field="5" count="1">
            <x v="278"/>
          </reference>
          <reference field="6" count="1" selected="0">
            <x v="671"/>
          </reference>
        </references>
      </pivotArea>
    </format>
    <format dxfId="1079">
      <pivotArea dataOnly="0" labelOnly="1" outline="0" fieldPosition="0">
        <references count="2">
          <reference field="5" count="1">
            <x v="219"/>
          </reference>
          <reference field="6" count="1" selected="0">
            <x v="673"/>
          </reference>
        </references>
      </pivotArea>
    </format>
    <format dxfId="1078">
      <pivotArea dataOnly="0" labelOnly="1" outline="0" fieldPosition="0">
        <references count="2">
          <reference field="5" count="1">
            <x v="0"/>
          </reference>
          <reference field="6" count="1" selected="0">
            <x v="675"/>
          </reference>
        </references>
      </pivotArea>
    </format>
    <format dxfId="1077">
      <pivotArea dataOnly="0" labelOnly="1" outline="0" fieldPosition="0">
        <references count="2">
          <reference field="5" count="1">
            <x v="2"/>
          </reference>
          <reference field="6" count="1" selected="0">
            <x v="676"/>
          </reference>
        </references>
      </pivotArea>
    </format>
    <format dxfId="1076">
      <pivotArea dataOnly="0" labelOnly="1" outline="0" fieldPosition="0">
        <references count="2">
          <reference field="5" count="1">
            <x v="1"/>
          </reference>
          <reference field="6" count="1" selected="0">
            <x v="677"/>
          </reference>
        </references>
      </pivotArea>
    </format>
    <format dxfId="1075">
      <pivotArea dataOnly="0" labelOnly="1" outline="0" fieldPosition="0">
        <references count="2">
          <reference field="5" count="1">
            <x v="5"/>
          </reference>
          <reference field="6" count="1" selected="0">
            <x v="679"/>
          </reference>
        </references>
      </pivotArea>
    </format>
    <format dxfId="1074">
      <pivotArea dataOnly="0" labelOnly="1" outline="0" fieldPosition="0">
        <references count="2">
          <reference field="5" count="1">
            <x v="3"/>
          </reference>
          <reference field="6" count="1" selected="0">
            <x v="681"/>
          </reference>
        </references>
      </pivotArea>
    </format>
    <format dxfId="1073">
      <pivotArea dataOnly="0" labelOnly="1" outline="0" fieldPosition="0">
        <references count="2">
          <reference field="5" count="1">
            <x v="220"/>
          </reference>
          <reference field="6" count="1" selected="0">
            <x v="682"/>
          </reference>
        </references>
      </pivotArea>
    </format>
    <format dxfId="1072">
      <pivotArea dataOnly="0" labelOnly="1" outline="0" fieldPosition="0">
        <references count="2">
          <reference field="5" count="1">
            <x v="174"/>
          </reference>
          <reference field="6" count="1" selected="0">
            <x v="683"/>
          </reference>
        </references>
      </pivotArea>
    </format>
    <format dxfId="1071">
      <pivotArea dataOnly="0" labelOnly="1" outline="0" fieldPosition="0">
        <references count="2">
          <reference field="5" count="1">
            <x v="109"/>
          </reference>
          <reference field="6" count="1" selected="0">
            <x v="684"/>
          </reference>
        </references>
      </pivotArea>
    </format>
    <format dxfId="1070">
      <pivotArea dataOnly="0" labelOnly="1" outline="0" fieldPosition="0">
        <references count="2">
          <reference field="5" count="1">
            <x v="108"/>
          </reference>
          <reference field="6" count="1" selected="0">
            <x v="685"/>
          </reference>
        </references>
      </pivotArea>
    </format>
    <format dxfId="1069">
      <pivotArea dataOnly="0" labelOnly="1" outline="0" fieldPosition="0">
        <references count="2">
          <reference field="5" count="1">
            <x v="91"/>
          </reference>
          <reference field="6" count="1" selected="0">
            <x v="688"/>
          </reference>
        </references>
      </pivotArea>
    </format>
    <format dxfId="1068">
      <pivotArea dataOnly="0" labelOnly="1" outline="0" fieldPosition="0">
        <references count="2">
          <reference field="5" count="1">
            <x v="169"/>
          </reference>
          <reference field="6" count="1" selected="0">
            <x v="689"/>
          </reference>
        </references>
      </pivotArea>
    </format>
    <format dxfId="1067">
      <pivotArea dataOnly="0" labelOnly="1" outline="0" fieldPosition="0">
        <references count="2">
          <reference field="5" count="1">
            <x v="68"/>
          </reference>
          <reference field="6" count="1" selected="0">
            <x v="700"/>
          </reference>
        </references>
      </pivotArea>
    </format>
    <format dxfId="1066">
      <pivotArea dataOnly="0" labelOnly="1" outline="0" fieldPosition="0">
        <references count="2">
          <reference field="5" count="1">
            <x v="323"/>
          </reference>
          <reference field="6" count="1" selected="0">
            <x v="701"/>
          </reference>
        </references>
      </pivotArea>
    </format>
    <format dxfId="1065">
      <pivotArea dataOnly="0" labelOnly="1" outline="0" fieldPosition="0">
        <references count="2">
          <reference field="5" count="1">
            <x v="32"/>
          </reference>
          <reference field="6" count="1" selected="0">
            <x v="702"/>
          </reference>
        </references>
      </pivotArea>
    </format>
    <format dxfId="1064">
      <pivotArea dataOnly="0" labelOnly="1" outline="0" fieldPosition="0">
        <references count="2">
          <reference field="5" count="1">
            <x v="320"/>
          </reference>
          <reference field="6" count="1" selected="0">
            <x v="703"/>
          </reference>
        </references>
      </pivotArea>
    </format>
    <format dxfId="1063">
      <pivotArea dataOnly="0" labelOnly="1" outline="0" fieldPosition="0">
        <references count="2">
          <reference field="5" count="1">
            <x v="247"/>
          </reference>
          <reference field="6" count="1" selected="0">
            <x v="705"/>
          </reference>
        </references>
      </pivotArea>
    </format>
    <format dxfId="1062">
      <pivotArea dataOnly="0" labelOnly="1" outline="0" fieldPosition="0">
        <references count="2">
          <reference field="5" count="1">
            <x v="220"/>
          </reference>
          <reference field="6" count="1" selected="0">
            <x v="706"/>
          </reference>
        </references>
      </pivotArea>
    </format>
    <format dxfId="1061">
      <pivotArea dataOnly="0" labelOnly="1" outline="0" fieldPosition="0">
        <references count="2">
          <reference field="5" count="1">
            <x v="174"/>
          </reference>
          <reference field="6" count="1" selected="0">
            <x v="707"/>
          </reference>
        </references>
      </pivotArea>
    </format>
    <format dxfId="1060">
      <pivotArea dataOnly="0" labelOnly="1" outline="0" fieldPosition="0">
        <references count="2">
          <reference field="5" count="1">
            <x v="125"/>
          </reference>
          <reference field="6" count="1" selected="0">
            <x v="708"/>
          </reference>
        </references>
      </pivotArea>
    </format>
    <format dxfId="1059">
      <pivotArea dataOnly="0" labelOnly="1" outline="0" fieldPosition="0">
        <references count="2">
          <reference field="5" count="1">
            <x v="123"/>
          </reference>
          <reference field="6" count="1" selected="0">
            <x v="709"/>
          </reference>
        </references>
      </pivotArea>
    </format>
    <format dxfId="1058">
      <pivotArea dataOnly="0" labelOnly="1" outline="0" fieldPosition="0">
        <references count="2">
          <reference field="5" count="1">
            <x v="327"/>
          </reference>
          <reference field="6" count="1" selected="0">
            <x v="710"/>
          </reference>
        </references>
      </pivotArea>
    </format>
    <format dxfId="1057">
      <pivotArea dataOnly="0" labelOnly="1" outline="0" fieldPosition="0">
        <references count="2">
          <reference field="5" count="1">
            <x v="328"/>
          </reference>
          <reference field="6" count="1" selected="0">
            <x v="711"/>
          </reference>
        </references>
      </pivotArea>
    </format>
    <format dxfId="1056">
      <pivotArea dataOnly="0" labelOnly="1" outline="0" fieldPosition="0">
        <references count="2">
          <reference field="5" count="1">
            <x v="329"/>
          </reference>
          <reference field="6" count="1" selected="0">
            <x v="712"/>
          </reference>
        </references>
      </pivotArea>
    </format>
    <format dxfId="1055">
      <pivotArea dataOnly="0" labelOnly="1" outline="0" fieldPosition="0">
        <references count="2">
          <reference field="5" count="1">
            <x v="136"/>
          </reference>
          <reference field="6" count="1" selected="0">
            <x v="713"/>
          </reference>
        </references>
      </pivotArea>
    </format>
    <format dxfId="1054">
      <pivotArea dataOnly="0" labelOnly="1" outline="0" fieldPosition="0">
        <references count="2">
          <reference field="5" count="1">
            <x v="158"/>
          </reference>
          <reference field="6" count="1" selected="0">
            <x v="714"/>
          </reference>
        </references>
      </pivotArea>
    </format>
    <format dxfId="1053">
      <pivotArea dataOnly="0" labelOnly="1" outline="0" fieldPosition="0">
        <references count="2">
          <reference field="5" count="1">
            <x v="14"/>
          </reference>
          <reference field="6" count="1" selected="0">
            <x v="715"/>
          </reference>
        </references>
      </pivotArea>
    </format>
    <format dxfId="1052">
      <pivotArea dataOnly="0" labelOnly="1" outline="0" fieldPosition="0">
        <references count="2">
          <reference field="5" count="1">
            <x v="219"/>
          </reference>
          <reference field="6" count="1" selected="0">
            <x v="716"/>
          </reference>
        </references>
      </pivotArea>
    </format>
    <format dxfId="1051">
      <pivotArea dataOnly="0" labelOnly="1" outline="0" fieldPosition="0">
        <references count="2">
          <reference field="5" count="1">
            <x v="133"/>
          </reference>
          <reference field="6" count="1" selected="0">
            <x v="718"/>
          </reference>
        </references>
      </pivotArea>
    </format>
    <format dxfId="1050">
      <pivotArea dataOnly="0" labelOnly="1" outline="0" fieldPosition="0">
        <references count="2">
          <reference field="5" count="1">
            <x v="117"/>
          </reference>
          <reference field="6" count="1" selected="0">
            <x v="721"/>
          </reference>
        </references>
      </pivotArea>
    </format>
    <format dxfId="1049">
      <pivotArea dataOnly="0" labelOnly="1" outline="0" fieldPosition="0">
        <references count="2">
          <reference field="5" count="1">
            <x v="219"/>
          </reference>
          <reference field="6" count="1" selected="0">
            <x v="725"/>
          </reference>
        </references>
      </pivotArea>
    </format>
    <format dxfId="1048">
      <pivotArea dataOnly="0" labelOnly="1" outline="0" fieldPosition="0">
        <references count="2">
          <reference field="5" count="1">
            <x v="330"/>
          </reference>
          <reference field="6" count="1" selected="0">
            <x v="728"/>
          </reference>
        </references>
      </pivotArea>
    </format>
    <format dxfId="1047">
      <pivotArea dataOnly="0" labelOnly="1" outline="0" fieldPosition="0">
        <references count="2">
          <reference field="5" count="1">
            <x v="277"/>
          </reference>
          <reference field="6" count="1" selected="0">
            <x v="730"/>
          </reference>
        </references>
      </pivotArea>
    </format>
    <format dxfId="1046">
      <pivotArea dataOnly="0" labelOnly="1" outline="0" fieldPosition="0">
        <references count="2">
          <reference field="5" count="1">
            <x v="83"/>
          </reference>
          <reference field="6" count="1" selected="0">
            <x v="732"/>
          </reference>
        </references>
      </pivotArea>
    </format>
    <format dxfId="1045">
      <pivotArea dataOnly="0" labelOnly="1" outline="0" fieldPosition="0">
        <references count="2">
          <reference field="5" count="1">
            <x v="86"/>
          </reference>
          <reference field="6" count="1" selected="0">
            <x v="733"/>
          </reference>
        </references>
      </pivotArea>
    </format>
    <format dxfId="1044">
      <pivotArea dataOnly="0" labelOnly="1" outline="0" fieldPosition="0">
        <references count="2">
          <reference field="5" count="1">
            <x v="219"/>
          </reference>
          <reference field="6" count="1" selected="0">
            <x v="734"/>
          </reference>
        </references>
      </pivotArea>
    </format>
    <format dxfId="1043">
      <pivotArea dataOnly="0" labelOnly="1" outline="0" fieldPosition="0">
        <references count="2">
          <reference field="5" count="1">
            <x v="144"/>
          </reference>
          <reference field="6" count="1" selected="0">
            <x v="735"/>
          </reference>
        </references>
      </pivotArea>
    </format>
    <format dxfId="1042">
      <pivotArea dataOnly="0" labelOnly="1" outline="0" fieldPosition="0">
        <references count="2">
          <reference field="5" count="1">
            <x v="225"/>
          </reference>
          <reference field="6" count="1" selected="0">
            <x v="736"/>
          </reference>
        </references>
      </pivotArea>
    </format>
    <format dxfId="1041">
      <pivotArea dataOnly="0" labelOnly="1" outline="0" fieldPosition="0">
        <references count="2">
          <reference field="5" count="1">
            <x v="119"/>
          </reference>
          <reference field="6" count="1" selected="0">
            <x v="738"/>
          </reference>
        </references>
      </pivotArea>
    </format>
    <format dxfId="1040">
      <pivotArea dataOnly="0" labelOnly="1" outline="0" fieldPosition="0">
        <references count="2">
          <reference field="5" count="1">
            <x v="289"/>
          </reference>
          <reference field="6" count="1" selected="0">
            <x v="739"/>
          </reference>
        </references>
      </pivotArea>
    </format>
    <format dxfId="1039">
      <pivotArea dataOnly="0" labelOnly="1" outline="0" fieldPosition="0">
        <references count="2">
          <reference field="5" count="1">
            <x v="236"/>
          </reference>
          <reference field="6" count="1" selected="0">
            <x v="744"/>
          </reference>
        </references>
      </pivotArea>
    </format>
    <format dxfId="1038">
      <pivotArea dataOnly="0" labelOnly="1" outline="0" fieldPosition="0">
        <references count="2">
          <reference field="5" count="1">
            <x v="124"/>
          </reference>
          <reference field="6" count="1" selected="0">
            <x v="749"/>
          </reference>
        </references>
      </pivotArea>
    </format>
    <format dxfId="1037">
      <pivotArea dataOnly="0" labelOnly="1" outline="0" fieldPosition="0">
        <references count="2">
          <reference field="5" count="1">
            <x v="200"/>
          </reference>
          <reference field="6" count="1" selected="0">
            <x v="752"/>
          </reference>
        </references>
      </pivotArea>
    </format>
    <format dxfId="1036">
      <pivotArea dataOnly="0" labelOnly="1" outline="0" fieldPosition="0">
        <references count="2">
          <reference field="5" count="1">
            <x v="202"/>
          </reference>
          <reference field="6" count="1" selected="0">
            <x v="753"/>
          </reference>
        </references>
      </pivotArea>
    </format>
    <format dxfId="1035">
      <pivotArea dataOnly="0" labelOnly="1" outline="0" fieldPosition="0">
        <references count="2">
          <reference field="5" count="1">
            <x v="203"/>
          </reference>
          <reference field="6" count="1" selected="0">
            <x v="754"/>
          </reference>
        </references>
      </pivotArea>
    </format>
    <format dxfId="1034">
      <pivotArea dataOnly="0" labelOnly="1" outline="0" fieldPosition="0">
        <references count="2">
          <reference field="5" count="1">
            <x v="204"/>
          </reference>
          <reference field="6" count="1" selected="0">
            <x v="765"/>
          </reference>
        </references>
      </pivotArea>
    </format>
    <format dxfId="1033">
      <pivotArea dataOnly="0" labelOnly="1" outline="0" fieldPosition="0">
        <references count="2">
          <reference field="5" count="1">
            <x v="128"/>
          </reference>
          <reference field="6" count="1" selected="0">
            <x v="766"/>
          </reference>
        </references>
      </pivotArea>
    </format>
    <format dxfId="1032">
      <pivotArea dataOnly="0" labelOnly="1" outline="0" fieldPosition="0">
        <references count="2">
          <reference field="5" count="1">
            <x v="26"/>
          </reference>
          <reference field="6" count="1" selected="0">
            <x v="767"/>
          </reference>
        </references>
      </pivotArea>
    </format>
    <format dxfId="1031">
      <pivotArea dataOnly="0" labelOnly="1" outline="0" fieldPosition="0">
        <references count="2">
          <reference field="5" count="1">
            <x v="216"/>
          </reference>
          <reference field="6" count="1" selected="0">
            <x v="768"/>
          </reference>
        </references>
      </pivotArea>
    </format>
    <format dxfId="1030">
      <pivotArea dataOnly="0" labelOnly="1" outline="0" fieldPosition="0">
        <references count="2">
          <reference field="5" count="1">
            <x v="157"/>
          </reference>
          <reference field="6" count="1" selected="0">
            <x v="769"/>
          </reference>
        </references>
      </pivotArea>
    </format>
    <format dxfId="1029">
      <pivotArea dataOnly="0" labelOnly="1" outline="0" fieldPosition="0">
        <references count="2">
          <reference field="5" count="1">
            <x v="201"/>
          </reference>
          <reference field="6" count="1" selected="0">
            <x v="770"/>
          </reference>
        </references>
      </pivotArea>
    </format>
    <format dxfId="1028">
      <pivotArea dataOnly="0" labelOnly="1" outline="0" fieldPosition="0">
        <references count="2">
          <reference field="5" count="1">
            <x v="26"/>
          </reference>
          <reference field="6" count="1" selected="0">
            <x v="772"/>
          </reference>
        </references>
      </pivotArea>
    </format>
    <format dxfId="1027">
      <pivotArea dataOnly="0" labelOnly="1" outline="0" fieldPosition="0">
        <references count="2">
          <reference field="5" count="1">
            <x v="216"/>
          </reference>
          <reference field="6" count="1" selected="0">
            <x v="773"/>
          </reference>
        </references>
      </pivotArea>
    </format>
    <format dxfId="1026">
      <pivotArea dataOnly="0" labelOnly="1" outline="0" fieldPosition="0">
        <references count="2">
          <reference field="5" count="1">
            <x v="157"/>
          </reference>
          <reference field="6" count="1" selected="0">
            <x v="774"/>
          </reference>
        </references>
      </pivotArea>
    </format>
    <format dxfId="1025">
      <pivotArea dataOnly="0" labelOnly="1" outline="0" fieldPosition="0">
        <references count="2">
          <reference field="5" count="1">
            <x v="208"/>
          </reference>
          <reference field="6" count="1" selected="0">
            <x v="775"/>
          </reference>
        </references>
      </pivotArea>
    </format>
    <format dxfId="1024">
      <pivotArea dataOnly="0" labelOnly="1" outline="0" fieldPosition="0">
        <references count="2">
          <reference field="5" count="1">
            <x v="192"/>
          </reference>
          <reference field="6" count="1" selected="0">
            <x v="776"/>
          </reference>
        </references>
      </pivotArea>
    </format>
    <format dxfId="1023">
      <pivotArea dataOnly="0" labelOnly="1" outline="0" fieldPosition="0">
        <references count="2">
          <reference field="5" count="1">
            <x v="139"/>
          </reference>
          <reference field="6" count="1" selected="0">
            <x v="777"/>
          </reference>
        </references>
      </pivotArea>
    </format>
    <format dxfId="1022">
      <pivotArea dataOnly="0" labelOnly="1" outline="0" fieldPosition="0">
        <references count="2">
          <reference field="5" count="1">
            <x v="138"/>
          </reference>
          <reference field="6" count="1" selected="0">
            <x v="778"/>
          </reference>
        </references>
      </pivotArea>
    </format>
    <format dxfId="1021">
      <pivotArea dataOnly="0" labelOnly="1" outline="0" fieldPosition="0">
        <references count="2">
          <reference field="5" count="1">
            <x v="50"/>
          </reference>
          <reference field="6" count="1" selected="0">
            <x v="779"/>
          </reference>
        </references>
      </pivotArea>
    </format>
    <format dxfId="1020">
      <pivotArea dataOnly="0" labelOnly="1" outline="0" fieldPosition="0">
        <references count="2">
          <reference field="5" count="1">
            <x v="37"/>
          </reference>
          <reference field="6" count="1" selected="0">
            <x v="781"/>
          </reference>
        </references>
      </pivotArea>
    </format>
    <format dxfId="1019">
      <pivotArea dataOnly="0" labelOnly="1" outline="0" fieldPosition="0">
        <references count="2">
          <reference field="5" count="1">
            <x v="187"/>
          </reference>
          <reference field="6" count="1" selected="0">
            <x v="782"/>
          </reference>
        </references>
      </pivotArea>
    </format>
    <format dxfId="1018">
      <pivotArea dataOnly="0" labelOnly="1" outline="0" fieldPosition="0">
        <references count="2">
          <reference field="5" count="1">
            <x v="89"/>
          </reference>
          <reference field="6" count="1" selected="0">
            <x v="785"/>
          </reference>
        </references>
      </pivotArea>
    </format>
    <format dxfId="1017">
      <pivotArea dataOnly="0" labelOnly="1" outline="0" fieldPosition="0">
        <references count="2">
          <reference field="5" count="1">
            <x v="70"/>
          </reference>
          <reference field="6" count="1" selected="0">
            <x v="787"/>
          </reference>
        </references>
      </pivotArea>
    </format>
    <format dxfId="1016">
      <pivotArea dataOnly="0" labelOnly="1" outline="0" fieldPosition="0">
        <references count="2">
          <reference field="5" count="1">
            <x v="162"/>
          </reference>
          <reference field="6" count="1" selected="0">
            <x v="788"/>
          </reference>
        </references>
      </pivotArea>
    </format>
    <format dxfId="1015">
      <pivotArea dataOnly="0" labelOnly="1" outline="0" fieldPosition="0">
        <references count="2">
          <reference field="5" count="1">
            <x v="200"/>
          </reference>
          <reference field="6" count="1" selected="0">
            <x v="790"/>
          </reference>
        </references>
      </pivotArea>
    </format>
    <format dxfId="1014">
      <pivotArea dataOnly="0" labelOnly="1" outline="0" fieldPosition="0">
        <references count="2">
          <reference field="5" count="1">
            <x v="128"/>
          </reference>
          <reference field="6" count="1" selected="0">
            <x v="793"/>
          </reference>
        </references>
      </pivotArea>
    </format>
    <format dxfId="1013">
      <pivotArea dataOnly="0" labelOnly="1" outline="0" fieldPosition="0">
        <references count="2">
          <reference field="5" count="1">
            <x v="201"/>
          </reference>
          <reference field="6" count="1" selected="0">
            <x v="794"/>
          </reference>
        </references>
      </pivotArea>
    </format>
    <format dxfId="1012">
      <pivotArea dataOnly="0" labelOnly="1" outline="0" fieldPosition="0">
        <references count="2">
          <reference field="5" count="1">
            <x v="191"/>
          </reference>
          <reference field="6" count="1" selected="0">
            <x v="795"/>
          </reference>
        </references>
      </pivotArea>
    </format>
    <format dxfId="1011">
      <pivotArea dataOnly="0" labelOnly="1" outline="0" fieldPosition="0">
        <references count="2">
          <reference field="5" count="1">
            <x v="37"/>
          </reference>
          <reference field="6" count="1" selected="0">
            <x v="796"/>
          </reference>
        </references>
      </pivotArea>
    </format>
    <format dxfId="1010">
      <pivotArea dataOnly="0" labelOnly="1" outline="0" fieldPosition="0">
        <references count="2">
          <reference field="5" count="1">
            <x v="187"/>
          </reference>
          <reference field="6" count="1" selected="0">
            <x v="797"/>
          </reference>
        </references>
      </pivotArea>
    </format>
    <format dxfId="1009">
      <pivotArea dataOnly="0" labelOnly="1" outline="0" fieldPosition="0">
        <references count="2">
          <reference field="5" count="1">
            <x v="219"/>
          </reference>
          <reference field="6" count="1" selected="0">
            <x v="799"/>
          </reference>
        </references>
      </pivotArea>
    </format>
    <format dxfId="1008">
      <pivotArea dataOnly="0" labelOnly="1" outline="0" fieldPosition="0">
        <references count="2">
          <reference field="5" count="1">
            <x v="56"/>
          </reference>
          <reference field="6" count="1" selected="0">
            <x v="800"/>
          </reference>
        </references>
      </pivotArea>
    </format>
    <format dxfId="1007">
      <pivotArea dataOnly="0" labelOnly="1" outline="0" fieldPosition="0">
        <references count="2">
          <reference field="5" count="1">
            <x v="194"/>
          </reference>
          <reference field="6" count="1" selected="0">
            <x v="801"/>
          </reference>
        </references>
      </pivotArea>
    </format>
    <format dxfId="1006">
      <pivotArea dataOnly="0" labelOnly="1" outline="0" fieldPosition="0">
        <references count="2">
          <reference field="5" count="1">
            <x v="257"/>
          </reference>
          <reference field="6" count="1" selected="0">
            <x v="802"/>
          </reference>
        </references>
      </pivotArea>
    </format>
    <format dxfId="1005">
      <pivotArea dataOnly="0" labelOnly="1" outline="0" fieldPosition="0">
        <references count="2">
          <reference field="5" count="1">
            <x v="30"/>
          </reference>
          <reference field="6" count="1" selected="0">
            <x v="803"/>
          </reference>
        </references>
      </pivotArea>
    </format>
    <format dxfId="1004">
      <pivotArea dataOnly="0" labelOnly="1" outline="0" fieldPosition="0">
        <references count="2">
          <reference field="5" count="1">
            <x v="19"/>
          </reference>
          <reference field="6" count="1" selected="0">
            <x v="804"/>
          </reference>
        </references>
      </pivotArea>
    </format>
    <format dxfId="1003">
      <pivotArea dataOnly="0" labelOnly="1" outline="0" fieldPosition="0">
        <references count="2">
          <reference field="5" count="1">
            <x v="121"/>
          </reference>
          <reference field="6" count="1" selected="0">
            <x v="805"/>
          </reference>
        </references>
      </pivotArea>
    </format>
    <format dxfId="1002">
      <pivotArea dataOnly="0" labelOnly="1" outline="0" fieldPosition="0">
        <references count="2">
          <reference field="5" count="1">
            <x v="209"/>
          </reference>
          <reference field="6" count="1" selected="0">
            <x v="808"/>
          </reference>
        </references>
      </pivotArea>
    </format>
    <format dxfId="1001">
      <pivotArea dataOnly="0" labelOnly="1" outline="0" fieldPosition="0">
        <references count="2">
          <reference field="5" count="1">
            <x v="265"/>
          </reference>
          <reference field="6" count="1" selected="0">
            <x v="809"/>
          </reference>
        </references>
      </pivotArea>
    </format>
    <format dxfId="1000">
      <pivotArea dataOnly="0" labelOnly="1" outline="0" fieldPosition="0">
        <references count="2">
          <reference field="5" count="1">
            <x v="266"/>
          </reference>
          <reference field="6" count="1" selected="0">
            <x v="810"/>
          </reference>
        </references>
      </pivotArea>
    </format>
    <format dxfId="999">
      <pivotArea dataOnly="0" labelOnly="1" outline="0" fieldPosition="0">
        <references count="2">
          <reference field="5" count="1">
            <x v="218"/>
          </reference>
          <reference field="6" count="1" selected="0">
            <x v="811"/>
          </reference>
        </references>
      </pivotArea>
    </format>
    <format dxfId="998">
      <pivotArea dataOnly="0" labelOnly="1" outline="0" fieldPosition="0">
        <references count="2">
          <reference field="5" count="1">
            <x v="63"/>
          </reference>
          <reference field="6" count="1" selected="0">
            <x v="812"/>
          </reference>
        </references>
      </pivotArea>
    </format>
    <format dxfId="997">
      <pivotArea dataOnly="0" labelOnly="1" outline="0" fieldPosition="0">
        <references count="2">
          <reference field="5" count="1">
            <x v="142"/>
          </reference>
          <reference field="6" count="1" selected="0">
            <x v="813"/>
          </reference>
        </references>
      </pivotArea>
    </format>
    <format dxfId="996">
      <pivotArea dataOnly="0" labelOnly="1" outline="0" fieldPosition="0">
        <references count="2">
          <reference field="5" count="1">
            <x v="184"/>
          </reference>
          <reference field="6" count="1" selected="0">
            <x v="814"/>
          </reference>
        </references>
      </pivotArea>
    </format>
    <format dxfId="995">
      <pivotArea dataOnly="0" labelOnly="1" outline="0" fieldPosition="0">
        <references count="2">
          <reference field="5" count="1">
            <x v="210"/>
          </reference>
          <reference field="6" count="1" selected="0">
            <x v="815"/>
          </reference>
        </references>
      </pivotArea>
    </format>
    <format dxfId="994">
      <pivotArea dataOnly="0" labelOnly="1" outline="0" fieldPosition="0">
        <references count="2">
          <reference field="5" count="1">
            <x v="248"/>
          </reference>
          <reference field="6" count="1" selected="0">
            <x v="816"/>
          </reference>
        </references>
      </pivotArea>
    </format>
    <format dxfId="993">
      <pivotArea dataOnly="0" labelOnly="1" outline="0" fieldPosition="0">
        <references count="2">
          <reference field="5" count="1">
            <x v="195"/>
          </reference>
          <reference field="6" count="1" selected="0">
            <x v="817"/>
          </reference>
        </references>
      </pivotArea>
    </format>
    <format dxfId="992">
      <pivotArea dataOnly="0" labelOnly="1" outline="0" fieldPosition="0">
        <references count="2">
          <reference field="5" count="1">
            <x v="61"/>
          </reference>
          <reference field="6" count="1" selected="0">
            <x v="820"/>
          </reference>
        </references>
      </pivotArea>
    </format>
    <format dxfId="991">
      <pivotArea dataOnly="0" labelOnly="1" outline="0" fieldPosition="0">
        <references count="2">
          <reference field="5" count="1">
            <x v="71"/>
          </reference>
          <reference field="6" count="1" selected="0">
            <x v="821"/>
          </reference>
        </references>
      </pivotArea>
    </format>
    <format dxfId="990">
      <pivotArea dataOnly="0" labelOnly="1" outline="0" fieldPosition="0">
        <references count="2">
          <reference field="5" count="1">
            <x v="251"/>
          </reference>
          <reference field="6" count="1" selected="0">
            <x v="822"/>
          </reference>
        </references>
      </pivotArea>
    </format>
    <format dxfId="989">
      <pivotArea dataOnly="0" labelOnly="1" outline="0" fieldPosition="0">
        <references count="2">
          <reference field="5" count="1">
            <x v="72"/>
          </reference>
          <reference field="6" count="1" selected="0">
            <x v="823"/>
          </reference>
        </references>
      </pivotArea>
    </format>
    <format dxfId="988">
      <pivotArea dataOnly="0" labelOnly="1" outline="0" fieldPosition="0">
        <references count="2">
          <reference field="5" count="1">
            <x v="118"/>
          </reference>
          <reference field="6" count="1" selected="0">
            <x v="824"/>
          </reference>
        </references>
      </pivotArea>
    </format>
    <format dxfId="987">
      <pivotArea dataOnly="0" labelOnly="1" outline="0" fieldPosition="0">
        <references count="2">
          <reference field="5" count="1">
            <x v="47"/>
          </reference>
          <reference field="6" count="1" selected="0">
            <x v="825"/>
          </reference>
        </references>
      </pivotArea>
    </format>
    <format dxfId="986">
      <pivotArea dataOnly="0" labelOnly="1" outline="0" fieldPosition="0">
        <references count="2">
          <reference field="5" count="1">
            <x v="215"/>
          </reference>
          <reference field="6" count="1" selected="0">
            <x v="826"/>
          </reference>
        </references>
      </pivotArea>
    </format>
    <format dxfId="985">
      <pivotArea dataOnly="0" labelOnly="1" outline="0" fieldPosition="0">
        <references count="2">
          <reference field="5" count="1">
            <x v="191"/>
          </reference>
          <reference field="6" count="1" selected="0">
            <x v="827"/>
          </reference>
        </references>
      </pivotArea>
    </format>
    <format dxfId="984">
      <pivotArea dataOnly="0" labelOnly="1" outline="0" fieldPosition="0">
        <references count="2">
          <reference field="5" count="1">
            <x v="273"/>
          </reference>
          <reference field="6" count="1" selected="0">
            <x v="828"/>
          </reference>
        </references>
      </pivotArea>
    </format>
    <format dxfId="983">
      <pivotArea dataOnly="0" labelOnly="1" outline="0" fieldPosition="0">
        <references count="2">
          <reference field="5" count="1">
            <x v="189"/>
          </reference>
          <reference field="6" count="1" selected="0">
            <x v="835"/>
          </reference>
        </references>
      </pivotArea>
    </format>
    <format dxfId="982">
      <pivotArea dataOnly="0" labelOnly="1" outline="0" fieldPosition="0">
        <references count="2">
          <reference field="5" count="1">
            <x v="190"/>
          </reference>
          <reference field="6" count="1" selected="0">
            <x v="847"/>
          </reference>
        </references>
      </pivotArea>
    </format>
    <format dxfId="981">
      <pivotArea dataOnly="0" labelOnly="1" outline="0" fieldPosition="0">
        <references count="2">
          <reference field="5" count="1">
            <x v="188"/>
          </reference>
          <reference field="6" count="1" selected="0">
            <x v="859"/>
          </reference>
        </references>
      </pivotArea>
    </format>
    <format dxfId="980">
      <pivotArea dataOnly="0" labelOnly="1" outline="0" fieldPosition="0">
        <references count="2">
          <reference field="5" count="1">
            <x v="241"/>
          </reference>
          <reference field="6" count="1" selected="0">
            <x v="861"/>
          </reference>
        </references>
      </pivotArea>
    </format>
    <format dxfId="979">
      <pivotArea dataOnly="0" labelOnly="1" outline="0" fieldPosition="0">
        <references count="2">
          <reference field="5" count="1">
            <x v="331"/>
          </reference>
          <reference field="6" count="1" selected="0">
            <x v="862"/>
          </reference>
        </references>
      </pivotArea>
    </format>
    <format dxfId="978">
      <pivotArea dataOnly="0" labelOnly="1" outline="0" fieldPosition="0">
        <references count="2">
          <reference field="5" count="1">
            <x v="217"/>
          </reference>
          <reference field="6" count="1" selected="0">
            <x v="863"/>
          </reference>
        </references>
      </pivotArea>
    </format>
    <format dxfId="977">
      <pivotArea dataOnly="0" labelOnly="1" outline="0" fieldPosition="0">
        <references count="2">
          <reference field="5" count="1">
            <x v="37"/>
          </reference>
          <reference field="6" count="1" selected="0">
            <x v="870"/>
          </reference>
        </references>
      </pivotArea>
    </format>
    <format dxfId="976">
      <pivotArea dataOnly="0" labelOnly="1" outline="0" fieldPosition="0">
        <references count="2">
          <reference field="5" count="1">
            <x v="187"/>
          </reference>
          <reference field="6" count="1" selected="0">
            <x v="872"/>
          </reference>
        </references>
      </pivotArea>
    </format>
    <format dxfId="975">
      <pivotArea dataOnly="0" labelOnly="1" outline="0" fieldPosition="0">
        <references count="2">
          <reference field="5" count="1">
            <x v="104"/>
          </reference>
          <reference field="6" count="1" selected="0">
            <x v="873"/>
          </reference>
        </references>
      </pivotArea>
    </format>
    <format dxfId="974">
      <pivotArea dataOnly="0" labelOnly="1" outline="0" fieldPosition="0">
        <references count="2">
          <reference field="5" count="1">
            <x v="232"/>
          </reference>
          <reference field="6" count="1" selected="0">
            <x v="877"/>
          </reference>
        </references>
      </pivotArea>
    </format>
    <format dxfId="973">
      <pivotArea dataOnly="0" labelOnly="1" outline="0" fieldPosition="0">
        <references count="2">
          <reference field="5" count="1">
            <x v="153"/>
          </reference>
          <reference field="6" count="1" selected="0">
            <x v="878"/>
          </reference>
        </references>
      </pivotArea>
    </format>
    <format dxfId="972">
      <pivotArea dataOnly="0" labelOnly="1" outline="0" fieldPosition="0">
        <references count="2">
          <reference field="5" count="1">
            <x v="261"/>
          </reference>
          <reference field="6" count="1" selected="0">
            <x v="879"/>
          </reference>
        </references>
      </pivotArea>
    </format>
    <format dxfId="971">
      <pivotArea dataOnly="0" labelOnly="1" outline="0" fieldPosition="0">
        <references count="2">
          <reference field="5" count="1">
            <x v="12"/>
          </reference>
          <reference field="6" count="1" selected="0">
            <x v="880"/>
          </reference>
        </references>
      </pivotArea>
    </format>
    <format dxfId="970">
      <pivotArea dataOnly="0" labelOnly="1" outline="0" fieldPosition="0">
        <references count="2">
          <reference field="5" count="1">
            <x v="219"/>
          </reference>
          <reference field="6" count="1" selected="0">
            <x v="881"/>
          </reference>
        </references>
      </pivotArea>
    </format>
    <format dxfId="969">
      <pivotArea dataOnly="0" labelOnly="1" outline="0" fieldPosition="0">
        <references count="2">
          <reference field="5" count="1">
            <x v="332"/>
          </reference>
          <reference field="6" count="1" selected="0">
            <x v="883"/>
          </reference>
        </references>
      </pivotArea>
    </format>
    <format dxfId="968">
      <pivotArea dataOnly="0" labelOnly="1" outline="0" fieldPosition="0">
        <references count="2">
          <reference field="5" count="1">
            <x v="277"/>
          </reference>
          <reference field="6" count="1" selected="0">
            <x v="884"/>
          </reference>
        </references>
      </pivotArea>
    </format>
    <format dxfId="967">
      <pivotArea dataOnly="0" labelOnly="1" outline="0" fieldPosition="0">
        <references count="2">
          <reference field="5" count="1">
            <x v="219"/>
          </reference>
          <reference field="6" count="1" selected="0">
            <x v="886"/>
          </reference>
        </references>
      </pivotArea>
    </format>
    <format dxfId="966">
      <pivotArea dataOnly="0" labelOnly="1" outline="0" fieldPosition="0">
        <references count="2">
          <reference field="5" count="1">
            <x v="272"/>
          </reference>
          <reference field="6" count="1" selected="0">
            <x v="887"/>
          </reference>
        </references>
      </pivotArea>
    </format>
    <format dxfId="965">
      <pivotArea dataOnly="0" labelOnly="1" outline="0" fieldPosition="0">
        <references count="2">
          <reference field="5" count="1">
            <x v="290"/>
          </reference>
          <reference field="6" count="1" selected="0">
            <x v="888"/>
          </reference>
        </references>
      </pivotArea>
    </format>
    <format dxfId="964">
      <pivotArea dataOnly="0" labelOnly="1" outline="0" fieldPosition="0">
        <references count="2">
          <reference field="5" count="1">
            <x v="239"/>
          </reference>
          <reference field="6" count="1" selected="0">
            <x v="889"/>
          </reference>
        </references>
      </pivotArea>
    </format>
    <format dxfId="963">
      <pivotArea dataOnly="0" labelOnly="1" outline="0" fieldPosition="0">
        <references count="2">
          <reference field="5" count="1">
            <x v="41"/>
          </reference>
          <reference field="6" count="1" selected="0">
            <x v="890"/>
          </reference>
        </references>
      </pivotArea>
    </format>
    <format dxfId="962">
      <pivotArea dataOnly="0" labelOnly="1" outline="0" fieldPosition="0">
        <references count="2">
          <reference field="5" count="1">
            <x v="20"/>
          </reference>
          <reference field="6" count="1" selected="0">
            <x v="891"/>
          </reference>
        </references>
      </pivotArea>
    </format>
    <format dxfId="961">
      <pivotArea dataOnly="0" labelOnly="1" outline="0" fieldPosition="0">
        <references count="2">
          <reference field="5" count="1">
            <x v="333"/>
          </reference>
          <reference field="6" count="1" selected="0">
            <x v="892"/>
          </reference>
        </references>
      </pivotArea>
    </format>
    <format dxfId="960">
      <pivotArea dataOnly="0" labelOnly="1" outline="0" fieldPosition="0">
        <references count="2">
          <reference field="5" count="1">
            <x v="263"/>
          </reference>
          <reference field="6" count="1" selected="0">
            <x v="894"/>
          </reference>
        </references>
      </pivotArea>
    </format>
    <format dxfId="959">
      <pivotArea dataOnly="0" labelOnly="1" outline="0" fieldPosition="0">
        <references count="2">
          <reference field="5" count="1">
            <x v="122"/>
          </reference>
          <reference field="6" count="1" selected="0">
            <x v="895"/>
          </reference>
        </references>
      </pivotArea>
    </format>
    <format dxfId="958">
      <pivotArea dataOnly="0" labelOnly="1" outline="0" fieldPosition="0">
        <references count="2">
          <reference field="5" count="1">
            <x v="262"/>
          </reference>
          <reference field="6" count="1" selected="0">
            <x v="896"/>
          </reference>
        </references>
      </pivotArea>
    </format>
    <format dxfId="957">
      <pivotArea dataOnly="0" labelOnly="1" outline="0" fieldPosition="0">
        <references count="2">
          <reference field="5" count="1">
            <x v="99"/>
          </reference>
          <reference field="6" count="1" selected="0">
            <x v="897"/>
          </reference>
        </references>
      </pivotArea>
    </format>
    <format dxfId="956">
      <pivotArea dataOnly="0" labelOnly="1" outline="0" fieldPosition="0">
        <references count="2">
          <reference field="5" count="1">
            <x v="334"/>
          </reference>
          <reference field="6" count="1" selected="0">
            <x v="898"/>
          </reference>
        </references>
      </pivotArea>
    </format>
    <format dxfId="955">
      <pivotArea dataOnly="0" labelOnly="1" outline="0" fieldPosition="0">
        <references count="2">
          <reference field="5" count="1">
            <x v="137"/>
          </reference>
          <reference field="6" count="1" selected="0">
            <x v="899"/>
          </reference>
        </references>
      </pivotArea>
    </format>
    <format dxfId="954">
      <pivotArea dataOnly="0" labelOnly="1" outline="0" fieldPosition="0">
        <references count="2">
          <reference field="5" count="1">
            <x v="115"/>
          </reference>
          <reference field="6" count="1" selected="0">
            <x v="900"/>
          </reference>
        </references>
      </pivotArea>
    </format>
    <format dxfId="953">
      <pivotArea dataOnly="0" labelOnly="1" outline="0" fieldPosition="0">
        <references count="2">
          <reference field="5" count="1">
            <x v="244"/>
          </reference>
          <reference field="6" count="1" selected="0">
            <x v="902"/>
          </reference>
        </references>
      </pivotArea>
    </format>
    <format dxfId="952">
      <pivotArea dataOnly="0" labelOnly="1" outline="0" fieldPosition="0">
        <references count="2">
          <reference field="5" count="1">
            <x v="221"/>
          </reference>
          <reference field="6" count="1" selected="0">
            <x v="903"/>
          </reference>
        </references>
      </pivotArea>
    </format>
    <format dxfId="951">
      <pivotArea dataOnly="0" labelOnly="1" outline="0" fieldPosition="0">
        <references count="2">
          <reference field="5" count="1">
            <x v="264"/>
          </reference>
          <reference field="6" count="1" selected="0">
            <x v="909"/>
          </reference>
        </references>
      </pivotArea>
    </format>
    <format dxfId="950">
      <pivotArea dataOnly="0" labelOnly="1" outline="0" fieldPosition="0">
        <references count="2">
          <reference field="5" count="1">
            <x v="285"/>
          </reference>
          <reference field="6" count="1" selected="0">
            <x v="910"/>
          </reference>
        </references>
      </pivotArea>
    </format>
    <format dxfId="949">
      <pivotArea dataOnly="0" labelOnly="1" outline="0" fieldPosition="0">
        <references count="2">
          <reference field="5" count="1">
            <x v="282"/>
          </reference>
          <reference field="6" count="1" selected="0">
            <x v="912"/>
          </reference>
        </references>
      </pivotArea>
    </format>
    <format dxfId="948">
      <pivotArea dataOnly="0" labelOnly="1" outline="0" fieldPosition="0">
        <references count="2">
          <reference field="5" count="1">
            <x v="130"/>
          </reference>
          <reference field="6" count="1" selected="0">
            <x v="914"/>
          </reference>
        </references>
      </pivotArea>
    </format>
    <format dxfId="947">
      <pivotArea dataOnly="0" labelOnly="1" outline="0" fieldPosition="0">
        <references count="2">
          <reference field="5" count="1">
            <x v="159"/>
          </reference>
          <reference field="6" count="1" selected="0">
            <x v="915"/>
          </reference>
        </references>
      </pivotArea>
    </format>
    <format dxfId="946">
      <pivotArea dataOnly="0" labelOnly="1" outline="0" fieldPosition="0">
        <references count="2">
          <reference field="5" count="1">
            <x v="124"/>
          </reference>
          <reference field="6" count="1" selected="0">
            <x v="918"/>
          </reference>
        </references>
      </pivotArea>
    </format>
    <format dxfId="945">
      <pivotArea dataOnly="0" labelOnly="1" outline="0" fieldPosition="0">
        <references count="2">
          <reference field="5" count="1">
            <x v="200"/>
          </reference>
          <reference field="6" count="1" selected="0">
            <x v="919"/>
          </reference>
        </references>
      </pivotArea>
    </format>
    <format dxfId="944">
      <pivotArea dataOnly="0" labelOnly="1" outline="0" fieldPosition="0">
        <references count="2">
          <reference field="5" count="1">
            <x v="219"/>
          </reference>
          <reference field="6" count="1" selected="0">
            <x v="923"/>
          </reference>
        </references>
      </pivotArea>
    </format>
    <format dxfId="943">
      <pivotArea dataOnly="0" labelOnly="1" outline="0" fieldPosition="0">
        <references count="2">
          <reference field="5" count="1">
            <x v="204"/>
          </reference>
          <reference field="6" count="1" selected="0">
            <x v="924"/>
          </reference>
        </references>
      </pivotArea>
    </format>
    <format dxfId="942">
      <pivotArea dataOnly="0" labelOnly="1" outline="0" fieldPosition="0">
        <references count="2">
          <reference field="5" count="1">
            <x v="126"/>
          </reference>
          <reference field="6" count="1" selected="0">
            <x v="925"/>
          </reference>
        </references>
      </pivotArea>
    </format>
    <format dxfId="941">
      <pivotArea dataOnly="0" labelOnly="1" outline="0" fieldPosition="0">
        <references count="2">
          <reference field="5" count="1">
            <x v="201"/>
          </reference>
          <reference field="6" count="1" selected="0">
            <x v="926"/>
          </reference>
        </references>
      </pivotArea>
    </format>
    <format dxfId="940">
      <pivotArea dataOnly="0" labelOnly="1" outline="0" fieldPosition="0">
        <references count="2">
          <reference field="5" count="1">
            <x v="191"/>
          </reference>
          <reference field="6" count="1" selected="0">
            <x v="927"/>
          </reference>
        </references>
      </pivotArea>
    </format>
    <format dxfId="939">
      <pivotArea dataOnly="0" labelOnly="1" outline="0" fieldPosition="0">
        <references count="2">
          <reference field="5" count="1">
            <x v="273"/>
          </reference>
          <reference field="6" count="1" selected="0">
            <x v="928"/>
          </reference>
        </references>
      </pivotArea>
    </format>
    <format dxfId="938">
      <pivotArea dataOnly="0" labelOnly="1" outline="0" fieldPosition="0">
        <references count="2">
          <reference field="5" count="1">
            <x v="189"/>
          </reference>
          <reference field="6" count="1" selected="0">
            <x v="930"/>
          </reference>
        </references>
      </pivotArea>
    </format>
    <format dxfId="937">
      <pivotArea dataOnly="0" labelOnly="1" outline="0" fieldPosition="0">
        <references count="2">
          <reference field="5" count="1">
            <x v="190"/>
          </reference>
          <reference field="6" count="1" selected="0">
            <x v="932"/>
          </reference>
        </references>
      </pivotArea>
    </format>
    <format dxfId="936">
      <pivotArea dataOnly="0" labelOnly="1" outline="0" fieldPosition="0">
        <references count="2">
          <reference field="5" count="1">
            <x v="217"/>
          </reference>
          <reference field="6" count="1" selected="0">
            <x v="934"/>
          </reference>
        </references>
      </pivotArea>
    </format>
    <format dxfId="935">
      <pivotArea dataOnly="0" labelOnly="1" outline="0" fieldPosition="0">
        <references count="2">
          <reference field="5" count="1">
            <x v="37"/>
          </reference>
          <reference field="6" count="1" selected="0">
            <x v="936"/>
          </reference>
        </references>
      </pivotArea>
    </format>
    <format dxfId="934">
      <pivotArea dataOnly="0" labelOnly="1" outline="0" fieldPosition="0">
        <references count="2">
          <reference field="5" count="1">
            <x v="187"/>
          </reference>
          <reference field="6" count="1" selected="0">
            <x v="937"/>
          </reference>
        </references>
      </pivotArea>
    </format>
    <format dxfId="933">
      <pivotArea dataOnly="0" labelOnly="1" outline="0" fieldPosition="0">
        <references count="2">
          <reference field="5" count="1">
            <x v="228"/>
          </reference>
          <reference field="6" count="1" selected="0">
            <x v="939"/>
          </reference>
        </references>
      </pivotArea>
    </format>
    <format dxfId="932">
      <pivotArea dataOnly="0" labelOnly="1" outline="0" fieldPosition="0">
        <references count="2">
          <reference field="5" count="1">
            <x v="219"/>
          </reference>
          <reference field="6" count="1" selected="0">
            <x v="940"/>
          </reference>
        </references>
      </pivotArea>
    </format>
    <format dxfId="931">
      <pivotArea dataOnly="0" labelOnly="1" outline="0" fieldPosition="0">
        <references count="2">
          <reference field="5" count="1">
            <x v="53"/>
          </reference>
          <reference field="6" count="1" selected="0">
            <x v="941"/>
          </reference>
        </references>
      </pivotArea>
    </format>
    <format dxfId="930">
      <pivotArea dataOnly="0" labelOnly="1" outline="0" fieldPosition="0">
        <references count="2">
          <reference field="5" count="1">
            <x v="191"/>
          </reference>
          <reference field="6" count="1" selected="0">
            <x v="942"/>
          </reference>
        </references>
      </pivotArea>
    </format>
    <format dxfId="929">
      <pivotArea dataOnly="0" labelOnly="1" outline="0" fieldPosition="0">
        <references count="2">
          <reference field="5" count="1">
            <x v="198"/>
          </reference>
          <reference field="6" count="1" selected="0">
            <x v="943"/>
          </reference>
        </references>
      </pivotArea>
    </format>
    <format dxfId="928">
      <pivotArea dataOnly="0" labelOnly="1" outline="0" fieldPosition="0">
        <references count="2">
          <reference field="5" count="1">
            <x v="50"/>
          </reference>
          <reference field="6" count="1" selected="0">
            <x v="944"/>
          </reference>
        </references>
      </pivotArea>
    </format>
    <format dxfId="927">
      <pivotArea dataOnly="0" labelOnly="1" outline="0" fieldPosition="0">
        <references count="2">
          <reference field="5" count="1">
            <x v="242"/>
          </reference>
          <reference field="6" count="1" selected="0">
            <x v="945"/>
          </reference>
        </references>
      </pivotArea>
    </format>
    <format dxfId="926">
      <pivotArea dataOnly="0" labelOnly="1" outline="0" fieldPosition="0">
        <references count="2">
          <reference field="5" count="1">
            <x v="270"/>
          </reference>
          <reference field="6" count="1" selected="0">
            <x v="946"/>
          </reference>
        </references>
      </pivotArea>
    </format>
    <format dxfId="925">
      <pivotArea dataOnly="0" labelOnly="1" outline="0" fieldPosition="0">
        <references count="2">
          <reference field="5" count="1">
            <x v="289"/>
          </reference>
          <reference field="6" count="1" selected="0">
            <x v="947"/>
          </reference>
        </references>
      </pivotArea>
    </format>
    <format dxfId="924">
      <pivotArea dataOnly="0" labelOnly="1" outline="0" fieldPosition="0">
        <references count="2">
          <reference field="5" count="1">
            <x v="110"/>
          </reference>
          <reference field="6" count="1" selected="0">
            <x v="950"/>
          </reference>
        </references>
      </pivotArea>
    </format>
    <format dxfId="923">
      <pivotArea dataOnly="0" labelOnly="1" outline="0" fieldPosition="0">
        <references count="2">
          <reference field="5" count="1">
            <x v="111"/>
          </reference>
          <reference field="6" count="1" selected="0">
            <x v="951"/>
          </reference>
        </references>
      </pivotArea>
    </format>
    <format dxfId="922">
      <pivotArea dataOnly="0" labelOnly="1" outline="0" fieldPosition="0">
        <references count="2">
          <reference field="5" count="1">
            <x v="209"/>
          </reference>
          <reference field="6" count="1" selected="0">
            <x v="953"/>
          </reference>
        </references>
      </pivotArea>
    </format>
    <format dxfId="921">
      <pivotArea dataOnly="0" labelOnly="1" outline="0" fieldPosition="0">
        <references count="2">
          <reference field="5" count="1">
            <x v="246"/>
          </reference>
          <reference field="6" count="1" selected="0">
            <x v="956"/>
          </reference>
        </references>
      </pivotArea>
    </format>
    <format dxfId="920">
      <pivotArea dataOnly="0" labelOnly="1" outline="0" fieldPosition="0">
        <references count="2">
          <reference field="5" count="1">
            <x v="249"/>
          </reference>
          <reference field="6" count="1" selected="0">
            <x v="957"/>
          </reference>
        </references>
      </pivotArea>
    </format>
    <format dxfId="919">
      <pivotArea dataOnly="0" labelOnly="1" outline="0" fieldPosition="0">
        <references count="2">
          <reference field="5" count="1">
            <x v="169"/>
          </reference>
          <reference field="6" count="1" selected="0">
            <x v="958"/>
          </reference>
        </references>
      </pivotArea>
    </format>
    <format dxfId="918">
      <pivotArea dataOnly="0" labelOnly="1" outline="0" fieldPosition="0">
        <references count="2">
          <reference field="5" count="1">
            <x v="68"/>
          </reference>
          <reference field="6" count="1" selected="0">
            <x v="968"/>
          </reference>
        </references>
      </pivotArea>
    </format>
    <format dxfId="917">
      <pivotArea dataOnly="0" labelOnly="1" outline="0" fieldPosition="0">
        <references count="2">
          <reference field="5" count="1">
            <x v="36"/>
          </reference>
          <reference field="6" count="1" selected="0">
            <x v="969"/>
          </reference>
        </references>
      </pivotArea>
    </format>
    <format dxfId="916">
      <pivotArea dataOnly="0" labelOnly="1" outline="0" fieldPosition="0">
        <references count="2">
          <reference field="5" count="1">
            <x v="220"/>
          </reference>
          <reference field="6" count="1" selected="0">
            <x v="970"/>
          </reference>
        </references>
      </pivotArea>
    </format>
    <format dxfId="915">
      <pivotArea dataOnly="0" labelOnly="1" outline="0" fieldPosition="0">
        <references count="2">
          <reference field="5" count="1">
            <x v="198"/>
          </reference>
          <reference field="6" count="1" selected="0">
            <x v="971"/>
          </reference>
        </references>
      </pivotArea>
    </format>
    <format dxfId="914">
      <pivotArea dataOnly="0" labelOnly="1" outline="0" fieldPosition="0">
        <references count="2">
          <reference field="5" count="1">
            <x v="205"/>
          </reference>
          <reference field="6" count="1" selected="0">
            <x v="972"/>
          </reference>
        </references>
      </pivotArea>
    </format>
    <format dxfId="913">
      <pivotArea dataOnly="0" labelOnly="1" outline="0" fieldPosition="0">
        <references count="2">
          <reference field="5" count="1">
            <x v="132"/>
          </reference>
          <reference field="6" count="1" selected="0">
            <x v="974"/>
          </reference>
        </references>
      </pivotArea>
    </format>
    <format dxfId="912">
      <pivotArea dataOnly="0" labelOnly="1" outline="0" fieldPosition="0">
        <references count="2">
          <reference field="5" count="1">
            <x v="258"/>
          </reference>
          <reference field="6" count="1" selected="0">
            <x v="975"/>
          </reference>
        </references>
      </pivotArea>
    </format>
    <format dxfId="911">
      <pivotArea dataOnly="0" labelOnly="1" outline="0" fieldPosition="0">
        <references count="2">
          <reference field="5" count="1">
            <x v="30"/>
          </reference>
          <reference field="6" count="1" selected="0">
            <x v="976"/>
          </reference>
        </references>
      </pivotArea>
    </format>
    <format dxfId="910">
      <pivotArea dataOnly="0" labelOnly="1" outline="0" fieldPosition="0">
        <references count="2">
          <reference field="5" count="1">
            <x v="19"/>
          </reference>
          <reference field="6" count="1" selected="0">
            <x v="978"/>
          </reference>
        </references>
      </pivotArea>
    </format>
    <format dxfId="909">
      <pivotArea dataOnly="0" labelOnly="1" outline="0" fieldPosition="0">
        <references count="2">
          <reference field="5" count="1">
            <x v="143"/>
          </reference>
          <reference field="6" count="1" selected="0">
            <x v="979"/>
          </reference>
        </references>
      </pivotArea>
    </format>
    <format dxfId="908">
      <pivotArea dataOnly="0" labelOnly="1" outline="0" fieldPosition="0">
        <references count="2">
          <reference field="5" count="1">
            <x v="240"/>
          </reference>
          <reference field="6" count="1" selected="0">
            <x v="980"/>
          </reference>
        </references>
      </pivotArea>
    </format>
    <format dxfId="907">
      <pivotArea dataOnly="0" labelOnly="1" outline="0" fieldPosition="0">
        <references count="2">
          <reference field="5" count="1">
            <x v="121"/>
          </reference>
          <reference field="6" count="1" selected="0">
            <x v="981"/>
          </reference>
        </references>
      </pivotArea>
    </format>
    <format dxfId="906">
      <pivotArea dataOnly="0" labelOnly="1" outline="0" fieldPosition="0">
        <references count="2">
          <reference field="5" count="1">
            <x v="219"/>
          </reference>
          <reference field="6" count="1" selected="0">
            <x v="982"/>
          </reference>
        </references>
      </pivotArea>
    </format>
    <format dxfId="905">
      <pivotArea dataOnly="0" labelOnly="1" outline="0" fieldPosition="0">
        <references count="2">
          <reference field="5" count="1">
            <x v="140"/>
          </reference>
          <reference field="6" count="1" selected="0">
            <x v="983"/>
          </reference>
        </references>
      </pivotArea>
    </format>
    <format dxfId="904">
      <pivotArea dataOnly="0" labelOnly="1" outline="0" fieldPosition="0">
        <references count="2">
          <reference field="5" count="1">
            <x v="96"/>
          </reference>
          <reference field="6" count="1" selected="0">
            <x v="984"/>
          </reference>
        </references>
      </pivotArea>
    </format>
    <format dxfId="903">
      <pivotArea dataOnly="0" labelOnly="1" outline="0" fieldPosition="0">
        <references count="2">
          <reference field="5" count="1">
            <x v="141"/>
          </reference>
          <reference field="6" count="1" selected="0">
            <x v="985"/>
          </reference>
        </references>
      </pivotArea>
    </format>
    <format dxfId="902">
      <pivotArea dataOnly="0" labelOnly="1" outline="0" fieldPosition="0">
        <references count="2">
          <reference field="5" count="1">
            <x v="271"/>
          </reference>
          <reference field="6" count="1" selected="0">
            <x v="986"/>
          </reference>
        </references>
      </pivotArea>
    </format>
    <format dxfId="901">
      <pivotArea dataOnly="0" labelOnly="1" outline="0" fieldPosition="0">
        <references count="2">
          <reference field="5" count="1">
            <x v="252"/>
          </reference>
          <reference field="6" count="1" selected="0">
            <x v="989"/>
          </reference>
        </references>
      </pivotArea>
    </format>
    <format dxfId="900">
      <pivotArea dataOnly="0" labelOnly="1" outline="0" fieldPosition="0">
        <references count="2">
          <reference field="5" count="1">
            <x v="269"/>
          </reference>
          <reference field="6" count="1" selected="0">
            <x v="991"/>
          </reference>
        </references>
      </pivotArea>
    </format>
    <format dxfId="899">
      <pivotArea dataOnly="0" labelOnly="1" outline="0" fieldPosition="0">
        <references count="2">
          <reference field="5" count="1">
            <x v="22"/>
          </reference>
          <reference field="6" count="1" selected="0">
            <x v="992"/>
          </reference>
        </references>
      </pivotArea>
    </format>
    <format dxfId="898">
      <pivotArea dataOnly="0" labelOnly="1" outline="0" fieldPosition="0">
        <references count="2">
          <reference field="5" count="1">
            <x v="233"/>
          </reference>
          <reference field="6" count="1" selected="0">
            <x v="993"/>
          </reference>
        </references>
      </pivotArea>
    </format>
    <format dxfId="897">
      <pivotArea dataOnly="0" labelOnly="1" outline="0" fieldPosition="0">
        <references count="2">
          <reference field="5" count="1">
            <x v="149"/>
          </reference>
          <reference field="6" count="1" selected="0">
            <x v="994"/>
          </reference>
        </references>
      </pivotArea>
    </format>
    <format dxfId="896">
      <pivotArea dataOnly="0" labelOnly="1" outline="0" fieldPosition="0">
        <references count="2">
          <reference field="5" count="1">
            <x v="146"/>
          </reference>
          <reference field="6" count="1" selected="0">
            <x v="995"/>
          </reference>
        </references>
      </pivotArea>
    </format>
    <format dxfId="895">
      <pivotArea dataOnly="0" labelOnly="1" outline="0" fieldPosition="0">
        <references count="2">
          <reference field="5" count="1">
            <x v="147"/>
          </reference>
          <reference field="6" count="1" selected="0">
            <x v="996"/>
          </reference>
        </references>
      </pivotArea>
    </format>
    <format dxfId="894">
      <pivotArea dataOnly="0" labelOnly="1" outline="0" fieldPosition="0">
        <references count="2">
          <reference field="5" count="1">
            <x v="16"/>
          </reference>
          <reference field="6" count="1" selected="0">
            <x v="997"/>
          </reference>
        </references>
      </pivotArea>
    </format>
    <format dxfId="893">
      <pivotArea dataOnly="0" labelOnly="1" outline="0" fieldPosition="0">
        <references count="2">
          <reference field="5" count="1">
            <x v="17"/>
          </reference>
          <reference field="6" count="1" selected="0">
            <x v="998"/>
          </reference>
        </references>
      </pivotArea>
    </format>
    <format dxfId="892">
      <pivotArea dataOnly="0" labelOnly="1" outline="0" fieldPosition="0">
        <references count="2">
          <reference field="5" count="1">
            <x v="18"/>
          </reference>
          <reference field="6" count="1" selected="0">
            <x v="999"/>
          </reference>
        </references>
      </pivotArea>
    </format>
    <format dxfId="891">
      <pivotArea dataOnly="0" labelOnly="1" outline="0" fieldPosition="0">
        <references count="2">
          <reference field="5" count="1">
            <x v="186"/>
          </reference>
          <reference field="6" count="1" selected="0">
            <x v="1000"/>
          </reference>
        </references>
      </pivotArea>
    </format>
    <format dxfId="890">
      <pivotArea dataOnly="0" labelOnly="1" outline="0" fieldPosition="0">
        <references count="2">
          <reference field="5" count="1">
            <x v="148"/>
          </reference>
          <reference field="6" count="1" selected="0">
            <x v="1001"/>
          </reference>
        </references>
      </pivotArea>
    </format>
    <format dxfId="889">
      <pivotArea dataOnly="0" labelOnly="1" outline="0" fieldPosition="0">
        <references count="2">
          <reference field="5" count="1">
            <x v="90"/>
          </reference>
          <reference field="6" count="1" selected="0">
            <x v="1002"/>
          </reference>
        </references>
      </pivotArea>
    </format>
    <format dxfId="888">
      <pivotArea dataOnly="0" labelOnly="1" outline="0" fieldPosition="0">
        <references count="2">
          <reference field="5" count="1">
            <x v="33"/>
          </reference>
          <reference field="6" count="1" selected="0">
            <x v="1003"/>
          </reference>
        </references>
      </pivotArea>
    </format>
    <format dxfId="887">
      <pivotArea dataOnly="0" labelOnly="1" outline="0" fieldPosition="0">
        <references count="2">
          <reference field="5" count="1">
            <x v="100"/>
          </reference>
          <reference field="6" count="1" selected="0">
            <x v="1005"/>
          </reference>
        </references>
      </pivotArea>
    </format>
    <format dxfId="886">
      <pivotArea dataOnly="0" labelOnly="1" outline="0" fieldPosition="0">
        <references count="2">
          <reference field="5" count="1">
            <x v="231"/>
          </reference>
          <reference field="6" count="1" selected="0">
            <x v="1006"/>
          </reference>
        </references>
      </pivotArea>
    </format>
    <format dxfId="885">
      <pivotArea dataOnly="0" labelOnly="1" outline="0" fieldPosition="0">
        <references count="2">
          <reference field="5" count="1">
            <x v="183"/>
          </reference>
          <reference field="6" count="1" selected="0">
            <x v="1007"/>
          </reference>
        </references>
      </pivotArea>
    </format>
    <format dxfId="884">
      <pivotArea dataOnly="0" labelOnly="1" outline="0" fieldPosition="0">
        <references count="2">
          <reference field="5" count="1">
            <x v="278"/>
          </reference>
          <reference field="6" count="1" selected="0">
            <x v="1009"/>
          </reference>
        </references>
      </pivotArea>
    </format>
    <format dxfId="883">
      <pivotArea dataOnly="0" labelOnly="1" outline="0" fieldPosition="0">
        <references count="2">
          <reference field="5" count="1">
            <x v="219"/>
          </reference>
          <reference field="6" count="1" selected="0">
            <x v="1011"/>
          </reference>
        </references>
      </pivotArea>
    </format>
    <format dxfId="882">
      <pivotArea dataOnly="0" labelOnly="1" outline="0" fieldPosition="0">
        <references count="2">
          <reference field="5" count="1">
            <x v="13"/>
          </reference>
          <reference field="6" count="1" selected="0">
            <x v="1012"/>
          </reference>
        </references>
      </pivotArea>
    </format>
    <format dxfId="881">
      <pivotArea dataOnly="0" labelOnly="1" outline="0" fieldPosition="0">
        <references count="2">
          <reference field="5" count="1">
            <x v="131"/>
          </reference>
          <reference field="6" count="1" selected="0">
            <x v="1013"/>
          </reference>
        </references>
      </pivotArea>
    </format>
    <format dxfId="880">
      <pivotArea dataOnly="0" labelOnly="1" outline="0" fieldPosition="0">
        <references count="2">
          <reference field="5" count="1">
            <x v="117"/>
          </reference>
          <reference field="6" count="1" selected="0">
            <x v="1016"/>
          </reference>
        </references>
      </pivotArea>
    </format>
    <format dxfId="879">
      <pivotArea dataOnly="0" labelOnly="1" outline="0" fieldPosition="0">
        <references count="2">
          <reference field="5" count="1">
            <x v="219"/>
          </reference>
          <reference field="6" count="1" selected="0">
            <x v="1020"/>
          </reference>
        </references>
      </pivotArea>
    </format>
    <format dxfId="878">
      <pivotArea dataOnly="0" labelOnly="1" outline="0" fieldPosition="0">
        <references count="2">
          <reference field="5" count="1">
            <x v="223"/>
          </reference>
          <reference field="6" count="1" selected="0">
            <x v="1021"/>
          </reference>
        </references>
      </pivotArea>
    </format>
    <format dxfId="877">
      <pivotArea dataOnly="0" labelOnly="1" outline="0" fieldPosition="0">
        <references count="2">
          <reference field="5" count="1">
            <x v="274"/>
          </reference>
          <reference field="6" count="1" selected="0">
            <x v="1022"/>
          </reference>
        </references>
      </pivotArea>
    </format>
    <format dxfId="876">
      <pivotArea dataOnly="0" labelOnly="1" outline="0" fieldPosition="0">
        <references count="2">
          <reference field="5" count="1">
            <x v="99"/>
          </reference>
          <reference field="6" count="1" selected="0">
            <x v="1023"/>
          </reference>
        </references>
      </pivotArea>
    </format>
    <format dxfId="875">
      <pivotArea dataOnly="0" labelOnly="1" outline="0" fieldPosition="0">
        <references count="2">
          <reference field="5" count="1">
            <x v="181"/>
          </reference>
          <reference field="6" count="1" selected="0">
            <x v="1024"/>
          </reference>
        </references>
      </pivotArea>
    </format>
    <format dxfId="874">
      <pivotArea dataOnly="0" labelOnly="1" outline="0" fieldPosition="0">
        <references count="2">
          <reference field="5" count="1">
            <x v="219"/>
          </reference>
          <reference field="6" count="1" selected="0">
            <x v="1025"/>
          </reference>
        </references>
      </pivotArea>
    </format>
    <format dxfId="873">
      <pivotArea dataOnly="0" labelOnly="1" outline="0" fieldPosition="0">
        <references count="2">
          <reference field="5" count="1">
            <x v="209"/>
          </reference>
          <reference field="6" count="1" selected="0">
            <x v="1029"/>
          </reference>
        </references>
      </pivotArea>
    </format>
    <format dxfId="872">
      <pivotArea dataOnly="0" labelOnly="1" outline="0" fieldPosition="0">
        <references count="2">
          <reference field="5" count="1">
            <x v="224"/>
          </reference>
          <reference field="6" count="1" selected="0">
            <x v="1030"/>
          </reference>
        </references>
      </pivotArea>
    </format>
    <format dxfId="871">
      <pivotArea dataOnly="0" labelOnly="1" outline="0" fieldPosition="0">
        <references count="2">
          <reference field="5" count="1">
            <x v="165"/>
          </reference>
          <reference field="6" count="1" selected="0">
            <x v="1033"/>
          </reference>
        </references>
      </pivotArea>
    </format>
    <format dxfId="870">
      <pivotArea dataOnly="0" labelOnly="1" outline="0" fieldPosition="0">
        <references count="2">
          <reference field="5" count="1">
            <x v="219"/>
          </reference>
          <reference field="6" count="1" selected="0">
            <x v="1034"/>
          </reference>
        </references>
      </pivotArea>
    </format>
    <format dxfId="869">
      <pivotArea dataOnly="0" labelOnly="1" outline="0" fieldPosition="0">
        <references count="2">
          <reference field="5" count="1">
            <x v="142"/>
          </reference>
          <reference field="6" count="1" selected="0">
            <x v="1037"/>
          </reference>
        </references>
      </pivotArea>
    </format>
    <format dxfId="868">
      <pivotArea dataOnly="0" labelOnly="1" outline="0" fieldPosition="0">
        <references count="2">
          <reference field="5" count="1">
            <x v="219"/>
          </reference>
          <reference field="6" count="1" selected="0">
            <x v="1038"/>
          </reference>
        </references>
      </pivotArea>
    </format>
    <format dxfId="867">
      <pivotArea dataOnly="0" labelOnly="1" outline="0" fieldPosition="0">
        <references count="2">
          <reference field="5" count="1">
            <x v="151"/>
          </reference>
          <reference field="6" count="1" selected="0">
            <x v="1039"/>
          </reference>
        </references>
      </pivotArea>
    </format>
    <format dxfId="866">
      <pivotArea dataOnly="0" labelOnly="1" outline="0" fieldPosition="0">
        <references count="2">
          <reference field="5" count="1">
            <x v="166"/>
          </reference>
          <reference field="6" count="1" selected="0">
            <x v="1040"/>
          </reference>
        </references>
      </pivotArea>
    </format>
    <format dxfId="865">
      <pivotArea dataOnly="0" labelOnly="1" outline="0" fieldPosition="0">
        <references count="2">
          <reference field="5" count="1">
            <x v="314"/>
          </reference>
          <reference field="6" count="1" selected="0">
            <x v="1042"/>
          </reference>
        </references>
      </pivotArea>
    </format>
    <format dxfId="864">
      <pivotArea dataOnly="0" labelOnly="1" outline="0" fieldPosition="0">
        <references count="2">
          <reference field="5" count="1">
            <x v="234"/>
          </reference>
          <reference field="6" count="1" selected="0">
            <x v="1044"/>
          </reference>
        </references>
      </pivotArea>
    </format>
    <format dxfId="863">
      <pivotArea dataOnly="0" labelOnly="1" outline="0" fieldPosition="0">
        <references count="2">
          <reference field="5" count="1">
            <x v="204"/>
          </reference>
          <reference field="6" count="1" selected="0">
            <x v="1045"/>
          </reference>
        </references>
      </pivotArea>
    </format>
    <format dxfId="862">
      <pivotArea dataOnly="0" labelOnly="1" outline="0" fieldPosition="0">
        <references count="2">
          <reference field="5" count="1">
            <x v="127"/>
          </reference>
          <reference field="6" count="1" selected="0">
            <x v="1046"/>
          </reference>
        </references>
      </pivotArea>
    </format>
    <format dxfId="861">
      <pivotArea dataOnly="0" labelOnly="1" outline="0" fieldPosition="0">
        <references count="2">
          <reference field="5" count="1">
            <x v="200"/>
          </reference>
          <reference field="6" count="1" selected="0">
            <x v="1047"/>
          </reference>
        </references>
      </pivotArea>
    </format>
    <format dxfId="860">
      <pivotArea dataOnly="0" labelOnly="1" outline="0" fieldPosition="0">
        <references count="2">
          <reference field="5" count="1">
            <x v="171"/>
          </reference>
          <reference field="6" count="1" selected="0">
            <x v="1049"/>
          </reference>
        </references>
      </pivotArea>
    </format>
    <format dxfId="859">
      <pivotArea dataOnly="0" labelOnly="1" outline="0" fieldPosition="0">
        <references count="2">
          <reference field="5" count="1">
            <x v="97"/>
          </reference>
          <reference field="6" count="1" selected="0">
            <x v="1050"/>
          </reference>
        </references>
      </pivotArea>
    </format>
    <format dxfId="858">
      <pivotArea dataOnly="0" labelOnly="1" outline="0" fieldPosition="0">
        <references count="2">
          <reference field="5" count="1">
            <x v="179"/>
          </reference>
          <reference field="6" count="1" selected="0">
            <x v="1051"/>
          </reference>
        </references>
      </pivotArea>
    </format>
    <format dxfId="857">
      <pivotArea dataOnly="0" labelOnly="1" outline="0" fieldPosition="0">
        <references count="2">
          <reference field="5" count="1">
            <x v="84"/>
          </reference>
          <reference field="6" count="1" selected="0">
            <x v="1052"/>
          </reference>
        </references>
      </pivotArea>
    </format>
    <format dxfId="856">
      <pivotArea dataOnly="0" labelOnly="1" outline="0" fieldPosition="0">
        <references count="2">
          <reference field="5" count="1">
            <x v="85"/>
          </reference>
          <reference field="6" count="1" selected="0">
            <x v="1064"/>
          </reference>
        </references>
      </pivotArea>
    </format>
    <format dxfId="855">
      <pivotArea dataOnly="0" labelOnly="1" outline="0" fieldPosition="0">
        <references count="2">
          <reference field="5" count="1">
            <x v="93"/>
          </reference>
          <reference field="6" count="1" selected="0">
            <x v="1065"/>
          </reference>
        </references>
      </pivotArea>
    </format>
    <format dxfId="854">
      <pivotArea dataOnly="0" labelOnly="1" outline="0" fieldPosition="0">
        <references count="2">
          <reference field="5" count="1">
            <x v="230"/>
          </reference>
          <reference field="6" count="1" selected="0">
            <x v="1066"/>
          </reference>
        </references>
      </pivotArea>
    </format>
    <format dxfId="853">
      <pivotArea dataOnly="0" labelOnly="1" outline="0" fieldPosition="0">
        <references count="2">
          <reference field="5" count="1">
            <x v="243"/>
          </reference>
          <reference field="6" count="1" selected="0">
            <x v="1067"/>
          </reference>
        </references>
      </pivotArea>
    </format>
    <format dxfId="852">
      <pivotArea dataOnly="0" labelOnly="1" outline="0" fieldPosition="0">
        <references count="2">
          <reference field="5" count="1">
            <x v="219"/>
          </reference>
          <reference field="6" count="1" selected="0">
            <x v="1068"/>
          </reference>
        </references>
      </pivotArea>
    </format>
    <format dxfId="851">
      <pivotArea dataOnly="0" labelOnly="1" outline="0" fieldPosition="0">
        <references count="2">
          <reference field="5" count="1">
            <x v="54"/>
          </reference>
          <reference field="6" count="1" selected="0">
            <x v="1069"/>
          </reference>
        </references>
      </pivotArea>
    </format>
    <format dxfId="850">
      <pivotArea dataOnly="0" labelOnly="1" outline="0" fieldPosition="0">
        <references count="2">
          <reference field="5" count="1">
            <x v="23"/>
          </reference>
          <reference field="6" count="1" selected="0">
            <x v="1072"/>
          </reference>
        </references>
      </pivotArea>
    </format>
    <format dxfId="849">
      <pivotArea dataOnly="0" labelOnly="1" outline="0" fieldPosition="0">
        <references count="2">
          <reference field="5" count="1">
            <x v="120"/>
          </reference>
          <reference field="6" count="1" selected="0">
            <x v="1073"/>
          </reference>
        </references>
      </pivotArea>
    </format>
    <format dxfId="848">
      <pivotArea dataOnly="0" labelOnly="1" outline="0" fieldPosition="0">
        <references count="2">
          <reference field="5" count="1">
            <x v="284"/>
          </reference>
          <reference field="6" count="1" selected="0">
            <x v="1076"/>
          </reference>
        </references>
      </pivotArea>
    </format>
    <format dxfId="847">
      <pivotArea dataOnly="0" labelOnly="1" outline="0" fieldPosition="0">
        <references count="2">
          <reference field="5" count="1">
            <x v="110"/>
          </reference>
          <reference field="6" count="1" selected="0">
            <x v="1078"/>
          </reference>
        </references>
      </pivotArea>
    </format>
    <format dxfId="846">
      <pivotArea dataOnly="0" labelOnly="1" outline="0" fieldPosition="0">
        <references count="2">
          <reference field="5" count="1">
            <x v="111"/>
          </reference>
          <reference field="6" count="1" selected="0">
            <x v="1079"/>
          </reference>
        </references>
      </pivotArea>
    </format>
    <format dxfId="845">
      <pivotArea dataOnly="0" labelOnly="1" outline="0" fieldPosition="0">
        <references count="2">
          <reference field="5" count="1">
            <x v="209"/>
          </reference>
          <reference field="6" count="1" selected="0">
            <x v="1081"/>
          </reference>
        </references>
      </pivotArea>
    </format>
    <format dxfId="844">
      <pivotArea dataOnly="0" labelOnly="1" outline="0" fieldPosition="0">
        <references count="2">
          <reference field="5" count="1">
            <x v="260"/>
          </reference>
          <reference field="6" count="1" selected="0">
            <x v="1082"/>
          </reference>
        </references>
      </pivotArea>
    </format>
    <format dxfId="843">
      <pivotArea dataOnly="0" labelOnly="1" outline="0" fieldPosition="0">
        <references count="2">
          <reference field="5" count="1">
            <x v="21"/>
          </reference>
          <reference field="6" count="1" selected="0">
            <x v="1083"/>
          </reference>
        </references>
      </pivotArea>
    </format>
    <format dxfId="842">
      <pivotArea dataOnly="0" labelOnly="1" outline="0" fieldPosition="0">
        <references count="2">
          <reference field="5" count="1">
            <x v="219"/>
          </reference>
          <reference field="6" count="1" selected="0">
            <x v="1084"/>
          </reference>
        </references>
      </pivotArea>
    </format>
    <format dxfId="841">
      <pivotArea dataOnly="0" labelOnly="1" outline="0" fieldPosition="0">
        <references count="2">
          <reference field="5" count="1">
            <x v="152"/>
          </reference>
          <reference field="6" count="1" selected="0">
            <x v="1085"/>
          </reference>
        </references>
      </pivotArea>
    </format>
    <format dxfId="840">
      <pivotArea dataOnly="0" labelOnly="1" outline="0" fieldPosition="0">
        <references count="2">
          <reference field="5" count="1">
            <x v="178"/>
          </reference>
          <reference field="6" count="1" selected="0">
            <x v="1086"/>
          </reference>
        </references>
      </pivotArea>
    </format>
    <format dxfId="839">
      <pivotArea dataOnly="0" labelOnly="1" outline="0" fieldPosition="0">
        <references count="2">
          <reference field="5" count="1">
            <x v="233"/>
          </reference>
          <reference field="6" count="1" selected="0">
            <x v="1087"/>
          </reference>
        </references>
      </pivotArea>
    </format>
    <format dxfId="838">
      <pivotArea dataOnly="0" labelOnly="1" outline="0" fieldPosition="0">
        <references count="2">
          <reference field="5" count="1">
            <x v="275"/>
          </reference>
          <reference field="6" count="1" selected="0">
            <x v="1089"/>
          </reference>
        </references>
      </pivotArea>
    </format>
    <format dxfId="837">
      <pivotArea dataOnly="0" labelOnly="1" outline="0" fieldPosition="0">
        <references count="2">
          <reference field="5" count="1">
            <x v="227"/>
          </reference>
          <reference field="6" count="1" selected="0">
            <x v="1090"/>
          </reference>
        </references>
      </pivotArea>
    </format>
    <format dxfId="836">
      <pivotArea dataOnly="0" labelOnly="1" outline="0" fieldPosition="0">
        <references count="2">
          <reference field="5" count="1">
            <x v="283"/>
          </reference>
          <reference field="6" count="1" selected="0">
            <x v="1091"/>
          </reference>
        </references>
      </pivotArea>
    </format>
    <format dxfId="835">
      <pivotArea dataOnly="0" labelOnly="1" outline="0" fieldPosition="0">
        <references count="2">
          <reference field="5" count="1">
            <x v="281"/>
          </reference>
          <reference field="6" count="1" selected="0">
            <x v="1092"/>
          </reference>
        </references>
      </pivotArea>
    </format>
    <format dxfId="834">
      <pivotArea dataOnly="0" labelOnly="1" outline="0" fieldPosition="0">
        <references count="2">
          <reference field="5" count="1">
            <x v="219"/>
          </reference>
          <reference field="6" count="1" selected="0">
            <x v="1093"/>
          </reference>
        </references>
      </pivotArea>
    </format>
    <format dxfId="833">
      <pivotArea dataOnly="0" labelOnly="1" outline="0" fieldPosition="0">
        <references count="2">
          <reference field="5" count="1">
            <x v="226"/>
          </reference>
          <reference field="6" count="1" selected="0">
            <x v="1094"/>
          </reference>
        </references>
      </pivotArea>
    </format>
    <format dxfId="832">
      <pivotArea dataOnly="0" labelOnly="1" outline="0" fieldPosition="0">
        <references count="2">
          <reference field="5" count="1">
            <x v="280"/>
          </reference>
          <reference field="6" count="1" selected="0">
            <x v="1095"/>
          </reference>
        </references>
      </pivotArea>
    </format>
    <format dxfId="831">
      <pivotArea dataOnly="0" labelOnly="1" outline="0" fieldPosition="0">
        <references count="2">
          <reference field="5" count="1">
            <x v="279"/>
          </reference>
          <reference field="6" count="1" selected="0">
            <x v="1096"/>
          </reference>
        </references>
      </pivotArea>
    </format>
    <format dxfId="830">
      <pivotArea dataOnly="0" labelOnly="1" outline="0" fieldPosition="0">
        <references count="2">
          <reference field="5" count="1">
            <x v="22"/>
          </reference>
          <reference field="6" count="1" selected="0">
            <x v="1097"/>
          </reference>
        </references>
      </pivotArea>
    </format>
    <format dxfId="829">
      <pivotArea dataOnly="0" labelOnly="1" outline="0" fieldPosition="0">
        <references count="2">
          <reference field="5" count="1">
            <x v="253"/>
          </reference>
          <reference field="6" count="1" selected="0">
            <x v="1098"/>
          </reference>
        </references>
      </pivotArea>
    </format>
    <format dxfId="828">
      <pivotArea dataOnly="0" labelOnly="1" outline="0" fieldPosition="0">
        <references count="2">
          <reference field="5" count="1">
            <x v="82"/>
          </reference>
          <reference field="6" count="1" selected="0">
            <x v="1099"/>
          </reference>
        </references>
      </pivotArea>
    </format>
    <format dxfId="827">
      <pivotArea dataOnly="0" labelOnly="1" outline="0" fieldPosition="0">
        <references count="2">
          <reference field="5" count="1">
            <x v="164"/>
          </reference>
          <reference field="6" count="1" selected="0">
            <x v="1102"/>
          </reference>
        </references>
      </pivotArea>
    </format>
    <format dxfId="826">
      <pivotArea dataOnly="0" labelOnly="1" outline="0" fieldPosition="0">
        <references count="2">
          <reference field="5" count="1">
            <x v="219"/>
          </reference>
          <reference field="6" count="1" selected="0">
            <x v="1103"/>
          </reference>
        </references>
      </pivotArea>
    </format>
    <format dxfId="825">
      <pivotArea dataOnly="0" labelOnly="1" outline="0" fieldPosition="0">
        <references count="2">
          <reference field="5" count="1">
            <x v="64"/>
          </reference>
          <reference field="6" count="1" selected="0">
            <x v="1105"/>
          </reference>
        </references>
      </pivotArea>
    </format>
    <format dxfId="824">
      <pivotArea dataOnly="0" labelOnly="1" outline="0" fieldPosition="0">
        <references count="2">
          <reference field="5" count="1">
            <x v="95"/>
          </reference>
          <reference field="6" count="1" selected="0">
            <x v="1106"/>
          </reference>
        </references>
      </pivotArea>
    </format>
    <format dxfId="823">
      <pivotArea dataOnly="0" labelOnly="1" outline="0" fieldPosition="0">
        <references count="2">
          <reference field="5" count="1">
            <x v="211"/>
          </reference>
          <reference field="6" count="1" selected="0">
            <x v="1107"/>
          </reference>
        </references>
      </pivotArea>
    </format>
    <format dxfId="822">
      <pivotArea dataOnly="0" labelOnly="1" outline="0" fieldPosition="0">
        <references count="2">
          <reference field="5" count="1">
            <x v="9"/>
          </reference>
          <reference field="6" count="1" selected="0">
            <x v="1108"/>
          </reference>
        </references>
      </pivotArea>
    </format>
    <format dxfId="821">
      <pivotArea dataOnly="0" labelOnly="1" outline="0" fieldPosition="0">
        <references count="2">
          <reference field="5" count="1">
            <x v="23"/>
          </reference>
          <reference field="6" count="1" selected="0">
            <x v="1109"/>
          </reference>
        </references>
      </pivotArea>
    </format>
    <format dxfId="820">
      <pivotArea dataOnly="0" labelOnly="1" outline="0" fieldPosition="0">
        <references count="2">
          <reference field="5" count="1">
            <x v="24"/>
          </reference>
          <reference field="6" count="1" selected="0">
            <x v="1110"/>
          </reference>
        </references>
      </pivotArea>
    </format>
    <format dxfId="819">
      <pivotArea dataOnly="0" labelOnly="1" outline="0" fieldPosition="0">
        <references count="2">
          <reference field="5" count="1">
            <x v="209"/>
          </reference>
          <reference field="6" count="1" selected="0">
            <x v="1116"/>
          </reference>
        </references>
      </pivotArea>
    </format>
    <format dxfId="818">
      <pivotArea dataOnly="0" labelOnly="1" outline="0" fieldPosition="0">
        <references count="2">
          <reference field="5" count="1">
            <x v="58"/>
          </reference>
          <reference field="6" count="1" selected="0">
            <x v="1120"/>
          </reference>
        </references>
      </pivotArea>
    </format>
    <format dxfId="817">
      <pivotArea dataOnly="0" labelOnly="1" outline="0" fieldPosition="0">
        <references count="2">
          <reference field="5" count="1">
            <x v="57"/>
          </reference>
          <reference field="6" count="1" selected="0">
            <x v="1130"/>
          </reference>
        </references>
      </pivotArea>
    </format>
    <format dxfId="816">
      <pivotArea dataOnly="0" labelOnly="1" outline="0" fieldPosition="0">
        <references count="2">
          <reference field="5" count="1">
            <x v="268"/>
          </reference>
          <reference field="6" count="1" selected="0">
            <x v="1131"/>
          </reference>
        </references>
      </pivotArea>
    </format>
    <format dxfId="815">
      <pivotArea dataOnly="0" labelOnly="1" outline="0" fieldPosition="0">
        <references count="2">
          <reference field="5" count="1">
            <x v="267"/>
          </reference>
          <reference field="6" count="1" selected="0">
            <x v="1132"/>
          </reference>
        </references>
      </pivotArea>
    </format>
    <format dxfId="814">
      <pivotArea dataOnly="0" labelOnly="1" outline="0" fieldPosition="0">
        <references count="2">
          <reference field="5" count="1">
            <x v="222"/>
          </reference>
          <reference field="6" count="1" selected="0">
            <x v="1133"/>
          </reference>
        </references>
      </pivotArea>
    </format>
    <format dxfId="813">
      <pivotArea dataOnly="0" labelOnly="1" outline="0" fieldPosition="0">
        <references count="2">
          <reference field="5" count="1">
            <x v="65"/>
          </reference>
          <reference field="6" count="1" selected="0">
            <x v="1134"/>
          </reference>
        </references>
      </pivotArea>
    </format>
    <format dxfId="812">
      <pivotArea dataOnly="0" labelOnly="1" outline="0" fieldPosition="0">
        <references count="2">
          <reference field="5" count="1">
            <x v="67"/>
          </reference>
          <reference field="6" count="1" selected="0">
            <x v="1135"/>
          </reference>
        </references>
      </pivotArea>
    </format>
    <format dxfId="811">
      <pivotArea dataOnly="0" labelOnly="1" outline="0" fieldPosition="0">
        <references count="2">
          <reference field="5" count="1">
            <x v="286"/>
          </reference>
          <reference field="6" count="1" selected="0">
            <x v="1136"/>
          </reference>
        </references>
      </pivotArea>
    </format>
    <format dxfId="810">
      <pivotArea dataOnly="0" labelOnly="1" outline="0" fieldPosition="0">
        <references count="2">
          <reference field="5" count="1">
            <x v="105"/>
          </reference>
          <reference field="6" count="1" selected="0">
            <x v="1137"/>
          </reference>
        </references>
      </pivotArea>
    </format>
    <format dxfId="809">
      <pivotArea dataOnly="0" labelOnly="1" outline="0" fieldPosition="0">
        <references count="2">
          <reference field="5" count="1">
            <x v="107"/>
          </reference>
          <reference field="6" count="1" selected="0">
            <x v="1138"/>
          </reference>
        </references>
      </pivotArea>
    </format>
    <format dxfId="808">
      <pivotArea dataOnly="0" labelOnly="1" outline="0" fieldPosition="0">
        <references count="2">
          <reference field="5" count="1">
            <x v="337"/>
          </reference>
          <reference field="6" count="1" selected="0">
            <x v="1139"/>
          </reference>
        </references>
      </pivotArea>
    </format>
    <format dxfId="807">
      <pivotArea dataOnly="0" labelOnly="1" outline="0" fieldPosition="0">
        <references count="2">
          <reference field="5" count="1">
            <x v="336"/>
          </reference>
          <reference field="6" count="1" selected="0">
            <x v="1140"/>
          </reference>
        </references>
      </pivotArea>
    </format>
    <format dxfId="806">
      <pivotArea dataOnly="0" labelOnly="1" outline="0" fieldPosition="0">
        <references count="2">
          <reference field="5" count="1">
            <x v="106"/>
          </reference>
          <reference field="6" count="1" selected="0">
            <x v="1141"/>
          </reference>
        </references>
      </pivotArea>
    </format>
    <format dxfId="805">
      <pivotArea dataOnly="0" labelOnly="1" outline="0" fieldPosition="0">
        <references count="2">
          <reference field="5" count="1">
            <x v="219"/>
          </reference>
          <reference field="6" count="1" selected="0">
            <x v="1142"/>
          </reference>
        </references>
      </pivotArea>
    </format>
    <format dxfId="804">
      <pivotArea dataOnly="0" labelOnly="1" outline="0" fieldPosition="0">
        <references count="2">
          <reference field="5" count="1">
            <x v="170"/>
          </reference>
          <reference field="6" count="1" selected="0">
            <x v="1144"/>
          </reference>
        </references>
      </pivotArea>
    </format>
    <format dxfId="803">
      <pivotArea dataOnly="0" labelOnly="1" outline="0" fieldPosition="0">
        <references count="2">
          <reference field="5" count="1">
            <x v="173"/>
          </reference>
          <reference field="6" count="1" selected="0">
            <x v="1145"/>
          </reference>
        </references>
      </pivotArea>
    </format>
    <format dxfId="802">
      <pivotArea dataOnly="0" labelOnly="1" outline="0" fieldPosition="0">
        <references count="2">
          <reference field="5" count="1">
            <x v="175"/>
          </reference>
          <reference field="6" count="1" selected="0">
            <x v="1146"/>
          </reference>
        </references>
      </pivotArea>
    </format>
    <format dxfId="801">
      <pivotArea dataOnly="0" labelOnly="1" outline="0" fieldPosition="0">
        <references count="2">
          <reference field="5" count="1">
            <x v="172"/>
          </reference>
          <reference field="6" count="1" selected="0">
            <x v="1147"/>
          </reference>
        </references>
      </pivotArea>
    </format>
    <format dxfId="800">
      <pivotArea dataOnly="0" labelOnly="1" outline="0" fieldPosition="0">
        <references count="2">
          <reference field="5" count="1">
            <x v="35"/>
          </reference>
          <reference field="6" count="1" selected="0">
            <x v="1158"/>
          </reference>
        </references>
      </pivotArea>
    </format>
    <format dxfId="799">
      <pivotArea dataOnly="0" labelOnly="1" outline="0" fieldPosition="0">
        <references count="2">
          <reference field="5" count="1">
            <x v="34"/>
          </reference>
          <reference field="6" count="1" selected="0">
            <x v="1159"/>
          </reference>
        </references>
      </pivotArea>
    </format>
    <format dxfId="798">
      <pivotArea dataOnly="0" labelOnly="1" outline="0" fieldPosition="0">
        <references count="2">
          <reference field="5" count="1">
            <x v="220"/>
          </reference>
          <reference field="6" count="1" selected="0">
            <x v="1160"/>
          </reference>
        </references>
      </pivotArea>
    </format>
    <format dxfId="797">
      <pivotArea dataOnly="0" labelOnly="1" outline="0" fieldPosition="0">
        <references count="2">
          <reference field="5" count="1">
            <x v="11"/>
          </reference>
          <reference field="6" count="1" selected="0">
            <x v="1161"/>
          </reference>
        </references>
      </pivotArea>
    </format>
    <format dxfId="796">
      <pivotArea dataOnly="0" labelOnly="1" outline="0" fieldPosition="0">
        <references count="2">
          <reference field="5" count="1">
            <x v="169"/>
          </reference>
          <reference field="6" count="1" selected="0">
            <x v="1162"/>
          </reference>
        </references>
      </pivotArea>
    </format>
    <format dxfId="795">
      <pivotArea dataOnly="0" labelOnly="1" outline="0" fieldPosition="0">
        <references count="2">
          <reference field="5" count="1">
            <x v="68"/>
          </reference>
          <reference field="6" count="1" selected="0">
            <x v="1165"/>
          </reference>
        </references>
      </pivotArea>
    </format>
    <format dxfId="794">
      <pivotArea dataOnly="0" labelOnly="1" outline="0" fieldPosition="0">
        <references count="2">
          <reference field="5" count="1">
            <x v="220"/>
          </reference>
          <reference field="6" count="1" selected="0">
            <x v="1167"/>
          </reference>
        </references>
      </pivotArea>
    </format>
    <format dxfId="793">
      <pivotArea dataOnly="0" labelOnly="1" outline="0" fieldPosition="0">
        <references count="2">
          <reference field="5" count="1">
            <x v="88"/>
          </reference>
          <reference field="6" count="1" selected="0">
            <x v="1170"/>
          </reference>
        </references>
      </pivotArea>
    </format>
    <format dxfId="792">
      <pivotArea dataOnly="0" labelOnly="1" outline="0" fieldPosition="0">
        <references count="2">
          <reference field="5" count="1">
            <x v="197"/>
          </reference>
          <reference field="6" count="1" selected="0">
            <x v="1171"/>
          </reference>
        </references>
      </pivotArea>
    </format>
    <format dxfId="791">
      <pivotArea dataOnly="0" labelOnly="1" outline="0" fieldPosition="0">
        <references count="2">
          <reference field="5" count="1">
            <x v="169"/>
          </reference>
          <reference field="6" count="1" selected="0">
            <x v="1172"/>
          </reference>
        </references>
      </pivotArea>
    </format>
    <format dxfId="790">
      <pivotArea dataOnly="0" labelOnly="1" outline="0" fieldPosition="0">
        <references count="2">
          <reference field="5" count="1">
            <x v="68"/>
          </reference>
          <reference field="6" count="1" selected="0">
            <x v="1175"/>
          </reference>
        </references>
      </pivotArea>
    </format>
    <format dxfId="789">
      <pivotArea dataOnly="0" labelOnly="1" outline="0" fieldPosition="0">
        <references count="2">
          <reference field="5" count="1">
            <x v="220"/>
          </reference>
          <reference field="6" count="1" selected="0">
            <x v="1177"/>
          </reference>
        </references>
      </pivotArea>
    </format>
    <format dxfId="788">
      <pivotArea dataOnly="0" labelOnly="1" outline="0" fieldPosition="0">
        <references count="2">
          <reference field="5" count="1">
            <x v="198"/>
          </reference>
          <reference field="6" count="1" selected="0">
            <x v="1178"/>
          </reference>
        </references>
      </pivotArea>
    </format>
    <format dxfId="787">
      <pivotArea dataOnly="0" labelOnly="1" outline="0" fieldPosition="0">
        <references count="2">
          <reference field="5" count="1">
            <x v="51"/>
          </reference>
          <reference field="6" count="1" selected="0">
            <x v="1180"/>
          </reference>
        </references>
      </pivotArea>
    </format>
    <format dxfId="786">
      <pivotArea dataOnly="0" labelOnly="1" outline="0" fieldPosition="0">
        <references count="2">
          <reference field="5" count="1">
            <x v="60"/>
          </reference>
          <reference field="6" count="1" selected="0">
            <x v="1181"/>
          </reference>
        </references>
      </pivotArea>
    </format>
    <format dxfId="785">
      <pivotArea dataOnly="0" labelOnly="1" outline="0" fieldPosition="0">
        <references count="2">
          <reference field="5" count="1">
            <x v="154"/>
          </reference>
          <reference field="6" count="1" selected="0">
            <x v="1182"/>
          </reference>
        </references>
      </pivotArea>
    </format>
    <format dxfId="784">
      <pivotArea dataOnly="0" labelOnly="1" outline="0" fieldPosition="0">
        <references count="2">
          <reference field="5" count="1">
            <x v="255"/>
          </reference>
          <reference field="6" count="1" selected="0">
            <x v="1188"/>
          </reference>
        </references>
      </pivotArea>
    </format>
    <format dxfId="783">
      <pivotArea dataOnly="0" labelOnly="1" outline="0" fieldPosition="0">
        <references count="2">
          <reference field="5" count="1">
            <x v="254"/>
          </reference>
          <reference field="6" count="1" selected="0">
            <x v="1189"/>
          </reference>
        </references>
      </pivotArea>
    </format>
    <format dxfId="782">
      <pivotArea dataOnly="0" labelOnly="1" outline="0" fieldPosition="0">
        <references count="2">
          <reference field="5" count="1">
            <x v="169"/>
          </reference>
          <reference field="6" count="1" selected="0">
            <x v="1190"/>
          </reference>
        </references>
      </pivotArea>
    </format>
    <format dxfId="781">
      <pivotArea dataOnly="0" labelOnly="1" outline="0" fieldPosition="0">
        <references count="2">
          <reference field="5" count="1">
            <x v="68"/>
          </reference>
          <reference field="6" count="1" selected="0">
            <x v="1191"/>
          </reference>
        </references>
      </pivotArea>
    </format>
    <format dxfId="780">
      <pivotArea dataOnly="0" labelOnly="1" outline="0" fieldPosition="0">
        <references count="2">
          <reference field="5" count="1">
            <x v="220"/>
          </reference>
          <reference field="6" count="1" selected="0">
            <x v="1192"/>
          </reference>
        </references>
      </pivotArea>
    </format>
    <format dxfId="779">
      <pivotArea dataOnly="0" labelOnly="1" outline="0" fieldPosition="0">
        <references count="2">
          <reference field="5" count="1">
            <x v="167"/>
          </reference>
          <reference field="6" count="1" selected="0">
            <x v="1196"/>
          </reference>
        </references>
      </pivotArea>
    </format>
    <format dxfId="778">
      <pivotArea dataOnly="0" labelOnly="1" outline="0" fieldPosition="0">
        <references count="2">
          <reference field="5" count="1">
            <x v="219"/>
          </reference>
          <reference field="6" count="1" selected="0">
            <x v="1207"/>
          </reference>
        </references>
      </pivotArea>
    </format>
    <format dxfId="777">
      <pivotArea dataOnly="0" labelOnly="1" outline="0" fieldPosition="0">
        <references count="2">
          <reference field="5" count="1">
            <x v="62"/>
          </reference>
          <reference field="6" count="1" selected="0">
            <x v="1208"/>
          </reference>
        </references>
      </pivotArea>
    </format>
    <format dxfId="776">
      <pivotArea dataOnly="0" labelOnly="1" outline="0" fieldPosition="0">
        <references count="2">
          <reference field="5" count="1">
            <x v="40"/>
          </reference>
          <reference field="6" count="1" selected="0">
            <x v="1209"/>
          </reference>
        </references>
      </pivotArea>
    </format>
    <format dxfId="775">
      <pivotArea dataOnly="0" labelOnly="1" outline="0" fieldPosition="0">
        <references count="2">
          <reference field="5" count="1">
            <x v="196"/>
          </reference>
          <reference field="6" count="1" selected="0">
            <x v="1210"/>
          </reference>
        </references>
      </pivotArea>
    </format>
    <format dxfId="774">
      <pivotArea dataOnly="0" labelOnly="1" outline="0" fieldPosition="0">
        <references count="2">
          <reference field="5" count="1">
            <x v="92"/>
          </reference>
          <reference field="6" count="1" selected="0">
            <x v="1211"/>
          </reference>
        </references>
      </pivotArea>
    </format>
    <format dxfId="773">
      <pivotArea dataOnly="0" labelOnly="1" outline="0" fieldPosition="0">
        <references count="2">
          <reference field="5" count="1">
            <x v="335"/>
          </reference>
          <reference field="6" count="1" selected="0">
            <x v="1212"/>
          </reference>
        </references>
      </pivotArea>
    </format>
    <format dxfId="772">
      <pivotArea dataOnly="0" labelOnly="1" outline="0" fieldPosition="0">
        <references count="2">
          <reference field="5" count="1">
            <x v="291"/>
          </reference>
          <reference field="6" count="1" selected="0">
            <x v="1217"/>
          </reference>
        </references>
      </pivotArea>
    </format>
    <format dxfId="771">
      <pivotArea dataOnly="0" labelOnly="1" outline="0" fieldPosition="0">
        <references count="2">
          <reference field="5" count="1">
            <x v="292"/>
          </reference>
          <reference field="6" count="1" selected="0">
            <x v="1218"/>
          </reference>
        </references>
      </pivotArea>
    </format>
    <format dxfId="770">
      <pivotArea dataOnly="0" labelOnly="1" outline="0" fieldPosition="0">
        <references count="2">
          <reference field="5" count="1">
            <x v="293"/>
          </reference>
          <reference field="6" count="1" selected="0">
            <x v="1219"/>
          </reference>
        </references>
      </pivotArea>
    </format>
    <format dxfId="769">
      <pivotArea dataOnly="0" labelOnly="1" outline="0" fieldPosition="0">
        <references count="2">
          <reference field="5" count="1">
            <x v="294"/>
          </reference>
          <reference field="6" count="1" selected="0">
            <x v="1220"/>
          </reference>
        </references>
      </pivotArea>
    </format>
    <format dxfId="768">
      <pivotArea dataOnly="0" labelOnly="1" outline="0" fieldPosition="0">
        <references count="2">
          <reference field="5" count="1">
            <x v="295"/>
          </reference>
          <reference field="6" count="1" selected="0">
            <x v="1225"/>
          </reference>
        </references>
      </pivotArea>
    </format>
    <format dxfId="767">
      <pivotArea dataOnly="0" labelOnly="1" outline="0" fieldPosition="0">
        <references count="2">
          <reference field="5" count="1">
            <x v="46"/>
          </reference>
          <reference field="6" count="1" selected="0">
            <x v="1226"/>
          </reference>
        </references>
      </pivotArea>
    </format>
    <format dxfId="766">
      <pivotArea dataOnly="0" labelOnly="1" outline="0" fieldPosition="0">
        <references count="2">
          <reference field="5" count="1">
            <x v="45"/>
          </reference>
          <reference field="6" count="1" selected="0">
            <x v="1227"/>
          </reference>
        </references>
      </pivotArea>
    </format>
    <format dxfId="765">
      <pivotArea dataOnly="0" labelOnly="1" outline="0" fieldPosition="0">
        <references count="2">
          <reference field="5" count="1">
            <x v="296"/>
          </reference>
          <reference field="6" count="1" selected="0">
            <x v="1228"/>
          </reference>
        </references>
      </pivotArea>
    </format>
    <format dxfId="764">
      <pivotArea dataOnly="0" labelOnly="1" outline="0" fieldPosition="0">
        <references count="2">
          <reference field="5" count="1">
            <x v="297"/>
          </reference>
          <reference field="6" count="1" selected="0">
            <x v="1229"/>
          </reference>
        </references>
      </pivotArea>
    </format>
    <format dxfId="763">
      <pivotArea dataOnly="0" labelOnly="1" outline="0" fieldPosition="0">
        <references count="2">
          <reference field="5" count="1">
            <x v="298"/>
          </reference>
          <reference field="6" count="1" selected="0">
            <x v="1230"/>
          </reference>
        </references>
      </pivotArea>
    </format>
    <format dxfId="762">
      <pivotArea dataOnly="0" labelOnly="1" outline="0" fieldPosition="0">
        <references count="2">
          <reference field="5" count="1">
            <x v="299"/>
          </reference>
          <reference field="6" count="1" selected="0">
            <x v="1231"/>
          </reference>
        </references>
      </pivotArea>
    </format>
    <format dxfId="761">
      <pivotArea dataOnly="0" labelOnly="1" outline="0" fieldPosition="0">
        <references count="2">
          <reference field="5" count="1">
            <x v="300"/>
          </reference>
          <reference field="6" count="1" selected="0">
            <x v="1232"/>
          </reference>
        </references>
      </pivotArea>
    </format>
    <format dxfId="760">
      <pivotArea dataOnly="0" labelOnly="1" outline="0" fieldPosition="0">
        <references count="2">
          <reference field="5" count="1">
            <x v="301"/>
          </reference>
          <reference field="6" count="1" selected="0">
            <x v="1233"/>
          </reference>
        </references>
      </pivotArea>
    </format>
    <format dxfId="759">
      <pivotArea dataOnly="0" labelOnly="1" outline="0" fieldPosition="0">
        <references count="2">
          <reference field="5" count="1">
            <x v="214"/>
          </reference>
          <reference field="6" count="1" selected="0">
            <x v="1234"/>
          </reference>
        </references>
      </pivotArea>
    </format>
    <format dxfId="758">
      <pivotArea dataOnly="0" labelOnly="1" outline="0" fieldPosition="0">
        <references count="2">
          <reference field="5" count="1">
            <x v="49"/>
          </reference>
          <reference field="6" count="1" selected="0">
            <x v="1235"/>
          </reference>
        </references>
      </pivotArea>
    </format>
    <format dxfId="757">
      <pivotArea dataOnly="0" labelOnly="1" outline="0" fieldPosition="0">
        <references count="2">
          <reference field="5" count="1">
            <x v="185"/>
          </reference>
          <reference field="6" count="1" selected="0">
            <x v="1236"/>
          </reference>
        </references>
      </pivotArea>
    </format>
    <format dxfId="756">
      <pivotArea dataOnly="0" labelOnly="1" outline="0" fieldPosition="0">
        <references count="2">
          <reference field="5" count="1">
            <x v="212"/>
          </reference>
          <reference field="6" count="1" selected="0">
            <x v="1243"/>
          </reference>
        </references>
      </pivotArea>
    </format>
    <format dxfId="755">
      <pivotArea dataOnly="0" labelOnly="1" outline="0" fieldPosition="0">
        <references count="2">
          <reference field="5" count="1">
            <x v="66"/>
          </reference>
          <reference field="6" count="1" selected="0">
            <x v="1244"/>
          </reference>
        </references>
      </pivotArea>
    </format>
    <format dxfId="754">
      <pivotArea dataOnly="0" labelOnly="1" outline="0" fieldPosition="0">
        <references count="2">
          <reference field="5" count="1">
            <x v="287"/>
          </reference>
          <reference field="6" count="1" selected="0">
            <x v="1245"/>
          </reference>
        </references>
      </pivotArea>
    </format>
    <format dxfId="753">
      <pivotArea dataOnly="0" labelOnly="1" outline="0" fieldPosition="0">
        <references count="2">
          <reference field="5" count="1">
            <x v="105"/>
          </reference>
          <reference field="6" count="1" selected="0">
            <x v="1246"/>
          </reference>
        </references>
      </pivotArea>
    </format>
    <format dxfId="752">
      <pivotArea dataOnly="0" labelOnly="1" outline="0" fieldPosition="0">
        <references count="2">
          <reference field="5" count="1">
            <x v="107"/>
          </reference>
          <reference field="6" count="1" selected="0">
            <x v="1251"/>
          </reference>
        </references>
      </pivotArea>
    </format>
    <format dxfId="751">
      <pivotArea dataOnly="0" labelOnly="1" outline="0" fieldPosition="0">
        <references count="2">
          <reference field="5" count="1">
            <x v="106"/>
          </reference>
          <reference field="6" count="1" selected="0">
            <x v="1253"/>
          </reference>
        </references>
      </pivotArea>
    </format>
    <format dxfId="750">
      <pivotArea dataOnly="0" labelOnly="1" outline="0" fieldPosition="0">
        <references count="2">
          <reference field="5" count="1">
            <x v="302"/>
          </reference>
          <reference field="6" count="1" selected="0">
            <x v="1254"/>
          </reference>
        </references>
      </pivotArea>
    </format>
    <format dxfId="749">
      <pivotArea dataOnly="0" labelOnly="1" outline="0" fieldPosition="0">
        <references count="2">
          <reference field="5" count="1">
            <x v="303"/>
          </reference>
          <reference field="6" count="1" selected="0">
            <x v="1255"/>
          </reference>
        </references>
      </pivotArea>
    </format>
    <format dxfId="748">
      <pivotArea dataOnly="0" labelOnly="1" outline="0" fieldPosition="0">
        <references count="2">
          <reference field="5" count="1">
            <x v="304"/>
          </reference>
          <reference field="6" count="1" selected="0">
            <x v="1256"/>
          </reference>
        </references>
      </pivotArea>
    </format>
    <format dxfId="747">
      <pivotArea dataOnly="0" labelOnly="1" outline="0" fieldPosition="0">
        <references count="2">
          <reference field="5" count="1">
            <x v="305"/>
          </reference>
          <reference field="6" count="1" selected="0">
            <x v="1257"/>
          </reference>
        </references>
      </pivotArea>
    </format>
    <format dxfId="746">
      <pivotArea dataOnly="0" labelOnly="1" outline="0" fieldPosition="0">
        <references count="2">
          <reference field="5" count="1">
            <x v="306"/>
          </reference>
          <reference field="6" count="1" selected="0">
            <x v="1258"/>
          </reference>
        </references>
      </pivotArea>
    </format>
    <format dxfId="745">
      <pivotArea dataOnly="0" labelOnly="1" outline="0" fieldPosition="0">
        <references count="2">
          <reference field="5" count="1">
            <x v="307"/>
          </reference>
          <reference field="6" count="1" selected="0">
            <x v="1259"/>
          </reference>
        </references>
      </pivotArea>
    </format>
    <format dxfId="744">
      <pivotArea dataOnly="0" labelOnly="1" outline="0" fieldPosition="0">
        <references count="2">
          <reference field="5" count="1">
            <x v="308"/>
          </reference>
          <reference field="6" count="1" selected="0">
            <x v="1260"/>
          </reference>
        </references>
      </pivotArea>
    </format>
    <format dxfId="743">
      <pivotArea dataOnly="0" labelOnly="1" outline="0" fieldPosition="0">
        <references count="2">
          <reference field="5" count="1">
            <x v="309"/>
          </reference>
          <reference field="6" count="1" selected="0">
            <x v="1261"/>
          </reference>
        </references>
      </pivotArea>
    </format>
    <format dxfId="742">
      <pivotArea dataOnly="0" labelOnly="1" outline="0" fieldPosition="0">
        <references count="2">
          <reference field="5" count="1">
            <x v="207"/>
          </reference>
          <reference field="6" count="1" selected="0">
            <x v="1262"/>
          </reference>
        </references>
      </pivotArea>
    </format>
    <format dxfId="741">
      <pivotArea dataOnly="0" labelOnly="1" outline="0" fieldPosition="0">
        <references count="2">
          <reference field="5" count="1">
            <x v="193"/>
          </reference>
          <reference field="6" count="1" selected="0">
            <x v="1264"/>
          </reference>
        </references>
      </pivotArea>
    </format>
    <format dxfId="740">
      <pivotArea dataOnly="0" labelOnly="1" outline="0" fieldPosition="0">
        <references count="2">
          <reference field="5" count="1">
            <x v="192"/>
          </reference>
          <reference field="6" count="1" selected="0">
            <x v="1265"/>
          </reference>
        </references>
      </pivotArea>
    </format>
    <format dxfId="739">
      <pivotArea dataOnly="0" labelOnly="1" outline="0" fieldPosition="0">
        <references count="2">
          <reference field="5" count="1">
            <x v="70"/>
          </reference>
          <reference field="6" count="1" selected="0">
            <x v="1267"/>
          </reference>
        </references>
      </pivotArea>
    </format>
    <format dxfId="738">
      <pivotArea dataOnly="0" labelOnly="1" outline="0" fieldPosition="0">
        <references count="2">
          <reference field="5" count="1">
            <x v="191"/>
          </reference>
          <reference field="6" count="1" selected="0">
            <x v="1268"/>
          </reference>
        </references>
      </pivotArea>
    </format>
    <format dxfId="737">
      <pivotArea dataOnly="0" labelOnly="1" outline="0" fieldPosition="0">
        <references count="2">
          <reference field="5" count="1">
            <x v="232"/>
          </reference>
          <reference field="6" count="1" selected="0">
            <x v="1270"/>
          </reference>
        </references>
      </pivotArea>
    </format>
    <format dxfId="736">
      <pivotArea dataOnly="0" labelOnly="1" outline="0" fieldPosition="0">
        <references count="2">
          <reference field="5" count="1">
            <x v="61"/>
          </reference>
          <reference field="6" count="1" selected="0">
            <x v="1271"/>
          </reference>
        </references>
      </pivotArea>
    </format>
    <format dxfId="735">
      <pivotArea dataOnly="0" labelOnly="1" outline="0" fieldPosition="0">
        <references count="2">
          <reference field="5" count="1">
            <x v="206"/>
          </reference>
          <reference field="6" count="1" selected="0">
            <x v="1272"/>
          </reference>
        </references>
      </pivotArea>
    </format>
    <format dxfId="734">
      <pivotArea dataOnly="0" labelOnly="1" outline="0" fieldPosition="0">
        <references count="2">
          <reference field="5" count="1">
            <x v="193"/>
          </reference>
          <reference field="6" count="1" selected="0">
            <x v="1274"/>
          </reference>
        </references>
      </pivotArea>
    </format>
    <format dxfId="733">
      <pivotArea dataOnly="0" labelOnly="1" outline="0" fieldPosition="0">
        <references count="2">
          <reference field="5" count="1">
            <x v="192"/>
          </reference>
          <reference field="6" count="1" selected="0">
            <x v="1275"/>
          </reference>
        </references>
      </pivotArea>
    </format>
    <format dxfId="732">
      <pivotArea dataOnly="0" labelOnly="1" outline="0" fieldPosition="0">
        <references count="2">
          <reference field="5" count="1">
            <x v="70"/>
          </reference>
          <reference field="6" count="1" selected="0">
            <x v="1277"/>
          </reference>
        </references>
      </pivotArea>
    </format>
    <format dxfId="731">
      <pivotArea dataOnly="0" labelOnly="1" outline="0" fieldPosition="0">
        <references count="2">
          <reference field="5" count="1">
            <x v="191"/>
          </reference>
          <reference field="6" count="1" selected="0">
            <x v="1278"/>
          </reference>
        </references>
      </pivotArea>
    </format>
    <format dxfId="730">
      <pivotArea dataOnly="0" labelOnly="1" outline="0" fieldPosition="0">
        <references count="2">
          <reference field="5" count="1">
            <x v="232"/>
          </reference>
          <reference field="6" count="1" selected="0">
            <x v="1280"/>
          </reference>
        </references>
      </pivotArea>
    </format>
    <format dxfId="729">
      <pivotArea dataOnly="0" labelOnly="1" outline="0" fieldPosition="0">
        <references count="2">
          <reference field="5" count="1">
            <x v="61"/>
          </reference>
          <reference field="6" count="1" selected="0">
            <x v="1281"/>
          </reference>
        </references>
      </pivotArea>
    </format>
    <format dxfId="728">
      <pivotArea dataOnly="0" labelOnly="1" outline="0" fieldPosition="0">
        <references count="2">
          <reference field="5" count="1">
            <x v="192"/>
          </reference>
          <reference field="6" count="1" selected="0">
            <x v="1284"/>
          </reference>
        </references>
      </pivotArea>
    </format>
    <format dxfId="727">
      <pivotArea dataOnly="0" labelOnly="1" outline="0" fieldPosition="0">
        <references count="2">
          <reference field="5" count="1">
            <x v="87"/>
          </reference>
          <reference field="6" count="1" selected="0">
            <x v="1288"/>
          </reference>
        </references>
      </pivotArea>
    </format>
    <format dxfId="726">
      <pivotArea dataOnly="0" labelOnly="1" outline="0" fieldPosition="0">
        <references count="2">
          <reference field="5" count="1">
            <x v="169"/>
          </reference>
          <reference field="6" count="1" selected="0">
            <x v="1289"/>
          </reference>
        </references>
      </pivotArea>
    </format>
    <format dxfId="725">
      <pivotArea dataOnly="0" labelOnly="1" outline="0" fieldPosition="0">
        <references count="2">
          <reference field="5" count="1">
            <x v="68"/>
          </reference>
          <reference field="6" count="1" selected="0">
            <x v="1292"/>
          </reference>
        </references>
      </pivotArea>
    </format>
    <format dxfId="724">
      <pivotArea dataOnly="0" labelOnly="1" outline="0" fieldPosition="0">
        <references count="2">
          <reference field="5" count="1">
            <x v="31"/>
          </reference>
          <reference field="6" count="1" selected="0">
            <x v="1293"/>
          </reference>
        </references>
      </pivotArea>
    </format>
    <format dxfId="723">
      <pivotArea dataOnly="0" labelOnly="1" outline="0" fieldPosition="0">
        <references count="2">
          <reference field="5" count="1">
            <x v="220"/>
          </reference>
          <reference field="6" count="1" selected="0">
            <x v="1294"/>
          </reference>
        </references>
      </pivotArea>
    </format>
    <format dxfId="722">
      <pivotArea dataOnly="0" labelOnly="1" outline="0" fieldPosition="0">
        <references count="2">
          <reference field="5" count="1">
            <x v="198"/>
          </reference>
          <reference field="6" count="1" selected="0">
            <x v="1295"/>
          </reference>
        </references>
      </pivotArea>
    </format>
    <format dxfId="721">
      <pivotArea dataOnly="0" labelOnly="1" outline="0" fieldPosition="0">
        <references count="2">
          <reference field="5" count="1">
            <x v="200"/>
          </reference>
          <reference field="6" count="1" selected="0">
            <x v="1299"/>
          </reference>
        </references>
      </pivotArea>
    </format>
    <format dxfId="720">
      <pivotArea dataOnly="0" labelOnly="1" outline="0" fieldPosition="0">
        <references count="2">
          <reference field="5" count="1">
            <x v="288"/>
          </reference>
          <reference field="6" count="1" selected="0">
            <x v="1302"/>
          </reference>
        </references>
      </pivotArea>
    </format>
    <format dxfId="719">
      <pivotArea dataOnly="0" labelOnly="1" outline="0" fieldPosition="0">
        <references count="2">
          <reference field="5" count="1">
            <x v="155"/>
          </reference>
          <reference field="6" count="1" selected="0">
            <x v="1305"/>
          </reference>
        </references>
      </pivotArea>
    </format>
    <format dxfId="718">
      <pivotArea dataOnly="0" labelOnly="1" outline="0" fieldPosition="0">
        <references count="2">
          <reference field="5" count="1">
            <x v="172"/>
          </reference>
          <reference field="6" count="1" selected="0">
            <x v="1306"/>
          </reference>
        </references>
      </pivotArea>
    </format>
    <format dxfId="717">
      <pivotArea dataOnly="0" labelOnly="1" outline="0" fieldPosition="0">
        <references count="2">
          <reference field="5" count="1">
            <x v="35"/>
          </reference>
          <reference field="6" count="1" selected="0">
            <x v="1310"/>
          </reference>
        </references>
      </pivotArea>
    </format>
    <format dxfId="716">
      <pivotArea dataOnly="0" labelOnly="1" outline="0" fieldPosition="0">
        <references count="2">
          <reference field="5" count="1">
            <x v="34"/>
          </reference>
          <reference field="6" count="1" selected="0">
            <x v="1311"/>
          </reference>
        </references>
      </pivotArea>
    </format>
    <format dxfId="715">
      <pivotArea dataOnly="0" labelOnly="1" outline="0" fieldPosition="0">
        <references count="2">
          <reference field="5" count="1">
            <x v="220"/>
          </reference>
          <reference field="6" count="1" selected="0">
            <x v="1312"/>
          </reference>
        </references>
      </pivotArea>
    </format>
    <format dxfId="714">
      <pivotArea dataOnly="0" labelOnly="1" outline="0" fieldPosition="0">
        <references count="2">
          <reference field="5" count="1">
            <x v="219"/>
          </reference>
          <reference field="6" count="1" selected="0">
            <x v="1313"/>
          </reference>
        </references>
      </pivotArea>
    </format>
    <format dxfId="713">
      <pivotArea dataOnly="0" labelOnly="1" outline="0" fieldPosition="0">
        <references count="2">
          <reference field="5" count="1">
            <x v="42"/>
          </reference>
          <reference field="6" count="1" selected="0">
            <x v="1314"/>
          </reference>
        </references>
      </pivotArea>
    </format>
    <format dxfId="712">
      <pivotArea dataOnly="0" labelOnly="1" outline="0" fieldPosition="0">
        <references count="2">
          <reference field="5" count="1">
            <x v="237"/>
          </reference>
          <reference field="6" count="1" selected="0">
            <x v="1315"/>
          </reference>
        </references>
      </pivotArea>
    </format>
    <format dxfId="711">
      <pivotArea dataOnly="0" labelOnly="1" outline="0" fieldPosition="0">
        <references count="2">
          <reference field="5" count="1">
            <x v="200"/>
          </reference>
          <reference field="6" count="1" selected="0">
            <x v="1317"/>
          </reference>
        </references>
      </pivotArea>
    </format>
    <format dxfId="710">
      <pivotArea dataOnly="0" labelOnly="1" outline="0" fieldPosition="0">
        <references count="2">
          <reference field="5" count="1">
            <x v="204"/>
          </reference>
          <reference field="6" count="1" selected="0">
            <x v="1319"/>
          </reference>
        </references>
      </pivotArea>
    </format>
    <format dxfId="709">
      <pivotArea dataOnly="0" labelOnly="1" outline="0" fieldPosition="0">
        <references count="2">
          <reference field="5" count="1">
            <x v="192"/>
          </reference>
          <reference field="6" count="1" selected="0">
            <x v="1320"/>
          </reference>
        </references>
      </pivotArea>
    </format>
    <format dxfId="708">
      <pivotArea dataOnly="0" labelOnly="1" outline="0" fieldPosition="0">
        <references count="2">
          <reference field="5" count="1">
            <x v="70"/>
          </reference>
          <reference field="6" count="1" selected="0">
            <x v="1321"/>
          </reference>
        </references>
      </pivotArea>
    </format>
    <format dxfId="707">
      <pivotArea dataOnly="0" labelOnly="1" outline="0" fieldPosition="0">
        <references count="2">
          <reference field="5" count="1">
            <x v="191"/>
          </reference>
          <reference field="6" count="1" selected="0">
            <x v="1322"/>
          </reference>
        </references>
      </pivotArea>
    </format>
    <format dxfId="706">
      <pivotArea dataOnly="0" labelOnly="1" outline="0" fieldPosition="0">
        <references count="2">
          <reference field="5" count="1">
            <x v="232"/>
          </reference>
          <reference field="6" count="1" selected="0">
            <x v="1323"/>
          </reference>
        </references>
      </pivotArea>
    </format>
    <format dxfId="705">
      <pivotArea dataOnly="0" labelOnly="1" outline="0" fieldPosition="0">
        <references count="2">
          <reference field="5" count="1">
            <x v="238"/>
          </reference>
          <reference field="6" count="1" selected="0">
            <x v="1325"/>
          </reference>
        </references>
      </pivotArea>
    </format>
    <format dxfId="704">
      <pivotArea dataOnly="0" labelOnly="1" outline="0" fieldPosition="0">
        <references count="2">
          <reference field="5" count="1">
            <x v="94"/>
          </reference>
          <reference field="6" count="1" selected="0">
            <x v="1327"/>
          </reference>
        </references>
      </pivotArea>
    </format>
    <format dxfId="703">
      <pivotArea dataOnly="0" labelOnly="1" outline="0" fieldPosition="0">
        <references count="2">
          <reference field="5" count="1">
            <x v="150"/>
          </reference>
          <reference field="6" count="1" selected="0">
            <x v="1328"/>
          </reference>
        </references>
      </pivotArea>
    </format>
    <format dxfId="702">
      <pivotArea dataOnly="0" labelOnly="1" outline="0" fieldPosition="0">
        <references count="2">
          <reference field="5" count="1">
            <x v="8"/>
          </reference>
          <reference field="6" count="1" selected="0">
            <x v="1331"/>
          </reference>
        </references>
      </pivotArea>
    </format>
    <format dxfId="701">
      <pivotArea dataOnly="0" labelOnly="1" outline="0" fieldPosition="0">
        <references count="2">
          <reference field="5" count="1">
            <x v="250"/>
          </reference>
          <reference field="6" count="1" selected="0">
            <x v="1332"/>
          </reference>
        </references>
      </pivotArea>
    </format>
    <format dxfId="700">
      <pivotArea dataOnly="0" labelOnly="1" outline="0" fieldPosition="0">
        <references count="2">
          <reference field="5" count="1">
            <x v="310"/>
          </reference>
          <reference field="6" count="1" selected="0">
            <x v="1360"/>
          </reference>
        </references>
      </pivotArea>
    </format>
    <format dxfId="699">
      <pivotArea dataOnly="0" labelOnly="1" outline="0" fieldPosition="0">
        <references count="2">
          <reference field="5" count="1">
            <x v="311"/>
          </reference>
          <reference field="6" count="1" selected="0">
            <x v="1361"/>
          </reference>
        </references>
      </pivotArea>
    </format>
    <format dxfId="698">
      <pivotArea dataOnly="0" labelOnly="1" outline="0" fieldPosition="0">
        <references count="2">
          <reference field="5" count="1">
            <x v="312"/>
          </reference>
          <reference field="6" count="1" selected="0">
            <x v="1362"/>
          </reference>
        </references>
      </pivotArea>
    </format>
    <format dxfId="697">
      <pivotArea dataOnly="0" labelOnly="1" outline="0" fieldPosition="0">
        <references count="2">
          <reference field="5" count="1">
            <x v="43"/>
          </reference>
          <reference field="6" count="1" selected="0">
            <x v="1364"/>
          </reference>
        </references>
      </pivotArea>
    </format>
    <format dxfId="696">
      <pivotArea dataOnly="0" labelOnly="1" outline="0" fieldPosition="0">
        <references count="2">
          <reference field="5" count="1">
            <x v="44"/>
          </reference>
          <reference field="6" count="1" selected="0">
            <x v="1365"/>
          </reference>
        </references>
      </pivotArea>
    </format>
    <format dxfId="695">
      <pivotArea dataOnly="0" labelOnly="1" outline="0" fieldPosition="0">
        <references count="2">
          <reference field="5" count="1">
            <x v="199"/>
          </reference>
          <reference field="6" count="1" selected="0">
            <x v="1375"/>
          </reference>
        </references>
      </pivotArea>
    </format>
    <format dxfId="694">
      <pivotArea dataOnly="0" labelOnly="1" outline="0" fieldPosition="0">
        <references count="2">
          <reference field="5" count="1">
            <x v="61"/>
          </reference>
          <reference field="6" count="1" selected="0">
            <x v="1377"/>
          </reference>
        </references>
      </pivotArea>
    </format>
    <format dxfId="693">
      <pivotArea dataOnly="0" labelOnly="1" outline="0" fieldPosition="0">
        <references count="2">
          <reference field="5" count="1">
            <x v="213"/>
          </reference>
          <reference field="6" count="1" selected="0">
            <x v="1378"/>
          </reference>
        </references>
      </pivotArea>
    </format>
    <format dxfId="692">
      <pivotArea dataOnly="0" labelOnly="1" outline="0" fieldPosition="0">
        <references count="2">
          <reference field="5" count="1">
            <x v="209"/>
          </reference>
          <reference field="6" count="1" selected="0">
            <x v="1381"/>
          </reference>
        </references>
      </pivotArea>
    </format>
    <format dxfId="691">
      <pivotArea dataOnly="0" labelOnly="1" outline="0" fieldPosition="0">
        <references count="3">
          <reference field="5" count="1" selected="0">
            <x v="10"/>
          </reference>
          <reference field="6" count="1" selected="0">
            <x v="0"/>
          </reference>
          <reference field="9" count="1">
            <x v="0"/>
          </reference>
        </references>
      </pivotArea>
    </format>
    <format dxfId="690">
      <pivotArea dataOnly="0" labelOnly="1" outline="0" fieldPosition="0">
        <references count="3">
          <reference field="5" count="1" selected="0">
            <x v="236"/>
          </reference>
          <reference field="6" count="1" selected="0">
            <x v="744"/>
          </reference>
          <reference field="9" count="1">
            <x v="1"/>
          </reference>
        </references>
      </pivotArea>
    </format>
    <format dxfId="689">
      <pivotArea dataOnly="0" labelOnly="1" outline="0" fieldPosition="0">
        <references count="3">
          <reference field="5" count="1" selected="0">
            <x v="239"/>
          </reference>
          <reference field="6" count="1" selected="0">
            <x v="889"/>
          </reference>
          <reference field="9" count="1">
            <x v="2"/>
          </reference>
        </references>
      </pivotArea>
    </format>
    <format dxfId="688">
      <pivotArea dataOnly="0" labelOnly="1" outline="0" fieldPosition="0">
        <references count="3">
          <reference field="5" count="1" selected="0">
            <x v="130"/>
          </reference>
          <reference field="6" count="1" selected="0">
            <x v="914"/>
          </reference>
          <reference field="9" count="1">
            <x v="3"/>
          </reference>
        </references>
      </pivotArea>
    </format>
    <format dxfId="687">
      <pivotArea dataOnly="0" labelOnly="1" outline="0" fieldPosition="0">
        <references count="3">
          <reference field="5" count="1" selected="0">
            <x v="151"/>
          </reference>
          <reference field="6" count="1" selected="0">
            <x v="1039"/>
          </reference>
          <reference field="9" count="1">
            <x v="4"/>
          </reference>
        </references>
      </pivotArea>
    </format>
    <format dxfId="686">
      <pivotArea dataOnly="0" labelOnly="1" outline="0" fieldPosition="0">
        <references count="3">
          <reference field="5" count="1" selected="0">
            <x v="64"/>
          </reference>
          <reference field="6" count="1" selected="0">
            <x v="1105"/>
          </reference>
          <reference field="9" count="1">
            <x v="5"/>
          </reference>
        </references>
      </pivotArea>
    </format>
    <format dxfId="685">
      <pivotArea dataOnly="0" labelOnly="1" outline="0" fieldPosition="0">
        <references count="3">
          <reference field="5" count="1" selected="0">
            <x v="65"/>
          </reference>
          <reference field="6" count="1" selected="0">
            <x v="1134"/>
          </reference>
          <reference field="9" count="1">
            <x v="6"/>
          </reference>
        </references>
      </pivotArea>
    </format>
    <format dxfId="684">
      <pivotArea dataOnly="0" labelOnly="1" outline="0" fieldPosition="0">
        <references count="4">
          <reference field="5" count="1" selected="0">
            <x v="10"/>
          </reference>
          <reference field="6" count="1" selected="0">
            <x v="0"/>
          </reference>
          <reference field="9" count="1" selected="0">
            <x v="0"/>
          </reference>
          <reference field="10" count="1">
            <x v="3"/>
          </reference>
        </references>
      </pivotArea>
    </format>
    <format dxfId="683">
      <pivotArea dataOnly="0" labelOnly="1" outline="0" fieldPosition="0">
        <references count="4">
          <reference field="5" count="1" selected="0">
            <x v="125"/>
          </reference>
          <reference field="6" count="1" selected="0">
            <x v="1"/>
          </reference>
          <reference field="9" count="1" selected="0">
            <x v="0"/>
          </reference>
          <reference field="10" count="1">
            <x v="0"/>
          </reference>
        </references>
      </pivotArea>
    </format>
    <format dxfId="682">
      <pivotArea dataOnly="0" labelOnly="1" outline="0" fieldPosition="0">
        <references count="4">
          <reference field="5" count="1" selected="0">
            <x v="38"/>
          </reference>
          <reference field="6" count="1" selected="0">
            <x v="2"/>
          </reference>
          <reference field="9" count="1" selected="0">
            <x v="0"/>
          </reference>
          <reference field="10" count="1">
            <x v="2"/>
          </reference>
        </references>
      </pivotArea>
    </format>
    <format dxfId="681">
      <pivotArea dataOnly="0" labelOnly="1" outline="0" fieldPosition="0">
        <references count="4">
          <reference field="5" count="1" selected="0">
            <x v="102"/>
          </reference>
          <reference field="6" count="1" selected="0">
            <x v="3"/>
          </reference>
          <reference field="9" count="1" selected="0">
            <x v="0"/>
          </reference>
          <reference field="10" count="1">
            <x v="1"/>
          </reference>
        </references>
      </pivotArea>
    </format>
    <format dxfId="680">
      <pivotArea dataOnly="0" labelOnly="1" outline="0" fieldPosition="0">
        <references count="4">
          <reference field="5" count="1" selected="0">
            <x v="39"/>
          </reference>
          <reference field="6" count="1" selected="0">
            <x v="4"/>
          </reference>
          <reference field="9" count="1" selected="0">
            <x v="0"/>
          </reference>
          <reference field="10" count="1">
            <x v="1"/>
          </reference>
        </references>
      </pivotArea>
    </format>
    <format dxfId="679">
      <pivotArea dataOnly="0" labelOnly="1" outline="0" fieldPosition="0">
        <references count="4">
          <reference field="5" count="1" selected="0">
            <x v="314"/>
          </reference>
          <reference field="6" count="1" selected="0">
            <x v="5"/>
          </reference>
          <reference field="9" count="1" selected="0">
            <x v="0"/>
          </reference>
          <reference field="10" count="1">
            <x v="2"/>
          </reference>
        </references>
      </pivotArea>
    </format>
    <format dxfId="678">
      <pivotArea dataOnly="0" labelOnly="1" outline="0" fieldPosition="0">
        <references count="4">
          <reference field="5" count="1" selected="0">
            <x v="25"/>
          </reference>
          <reference field="6" count="1" selected="0">
            <x v="6"/>
          </reference>
          <reference field="9" count="1" selected="0">
            <x v="0"/>
          </reference>
          <reference field="10" count="1">
            <x v="1"/>
          </reference>
        </references>
      </pivotArea>
    </format>
    <format dxfId="677">
      <pivotArea dataOnly="0" labelOnly="1" outline="0" fieldPosition="0">
        <references count="4">
          <reference field="5" count="1" selected="0">
            <x v="315"/>
          </reference>
          <reference field="6" count="1" selected="0">
            <x v="7"/>
          </reference>
          <reference field="9" count="1" selected="0">
            <x v="0"/>
          </reference>
          <reference field="10" count="1">
            <x v="1"/>
          </reference>
        </references>
      </pivotArea>
    </format>
    <format dxfId="676">
      <pivotArea dataOnly="0" labelOnly="1" outline="0" fieldPosition="0">
        <references count="4">
          <reference field="5" count="1" selected="0">
            <x v="313"/>
          </reference>
          <reference field="6" count="1" selected="0">
            <x v="8"/>
          </reference>
          <reference field="9" count="1" selected="0">
            <x v="0"/>
          </reference>
          <reference field="10" count="1">
            <x v="1"/>
          </reference>
        </references>
      </pivotArea>
    </format>
    <format dxfId="675">
      <pivotArea dataOnly="0" labelOnly="1" outline="0" fieldPosition="0">
        <references count="4">
          <reference field="5" count="1" selected="0">
            <x v="29"/>
          </reference>
          <reference field="6" count="1" selected="0">
            <x v="9"/>
          </reference>
          <reference field="9" count="1" selected="0">
            <x v="0"/>
          </reference>
          <reference field="10" count="1">
            <x v="2"/>
          </reference>
        </references>
      </pivotArea>
    </format>
    <format dxfId="674">
      <pivotArea dataOnly="0" labelOnly="1" outline="0" fieldPosition="0">
        <references count="4">
          <reference field="5" count="1" selected="0">
            <x v="25"/>
          </reference>
          <reference field="6" count="1" selected="0">
            <x v="10"/>
          </reference>
          <reference field="9" count="1" selected="0">
            <x v="0"/>
          </reference>
          <reference field="10" count="1">
            <x v="1"/>
          </reference>
        </references>
      </pivotArea>
    </format>
    <format dxfId="673">
      <pivotArea dataOnly="0" labelOnly="1" outline="0" fieldPosition="0">
        <references count="4">
          <reference field="5" count="1" selected="0">
            <x v="28"/>
          </reference>
          <reference field="6" count="1" selected="0">
            <x v="11"/>
          </reference>
          <reference field="9" count="1" selected="0">
            <x v="0"/>
          </reference>
          <reference field="10" count="1">
            <x v="1"/>
          </reference>
        </references>
      </pivotArea>
    </format>
    <format dxfId="672">
      <pivotArea dataOnly="0" labelOnly="1" outline="0" fieldPosition="0">
        <references count="4">
          <reference field="5" count="1" selected="0">
            <x v="27"/>
          </reference>
          <reference field="6" count="1" selected="0">
            <x v="12"/>
          </reference>
          <reference field="9" count="1" selected="0">
            <x v="0"/>
          </reference>
          <reference field="10" count="1">
            <x v="1"/>
          </reference>
        </references>
      </pivotArea>
    </format>
    <format dxfId="671">
      <pivotArea dataOnly="0" labelOnly="1" outline="0" fieldPosition="0">
        <references count="4">
          <reference field="5" count="1" selected="0">
            <x v="157"/>
          </reference>
          <reference field="6" count="1" selected="0">
            <x v="13"/>
          </reference>
          <reference field="9" count="1" selected="0">
            <x v="0"/>
          </reference>
          <reference field="10" count="1">
            <x v="1"/>
          </reference>
        </references>
      </pivotArea>
    </format>
    <format dxfId="670">
      <pivotArea dataOnly="0" labelOnly="1" outline="0" fieldPosition="0">
        <references count="4">
          <reference field="5" count="1" selected="0">
            <x v="103"/>
          </reference>
          <reference field="6" count="1" selected="0">
            <x v="14"/>
          </reference>
          <reference field="9" count="1" selected="0">
            <x v="0"/>
          </reference>
          <reference field="10" count="1">
            <x v="2"/>
          </reference>
        </references>
      </pivotArea>
    </format>
    <format dxfId="669">
      <pivotArea dataOnly="0" labelOnly="1" outline="0" fieldPosition="0">
        <references count="4">
          <reference field="5" count="1" selected="0">
            <x v="103"/>
          </reference>
          <reference field="6" count="1" selected="0">
            <x v="15"/>
          </reference>
          <reference field="9" count="1" selected="0">
            <x v="0"/>
          </reference>
          <reference field="10" count="1">
            <x v="1"/>
          </reference>
        </references>
      </pivotArea>
    </format>
    <format dxfId="668">
      <pivotArea dataOnly="0" labelOnly="1" outline="0" fieldPosition="0">
        <references count="4">
          <reference field="5" count="1" selected="0">
            <x v="88"/>
          </reference>
          <reference field="6" count="1" selected="0">
            <x v="18"/>
          </reference>
          <reference field="9" count="1" selected="0">
            <x v="0"/>
          </reference>
          <reference field="10" count="1">
            <x v="1"/>
          </reference>
        </references>
      </pivotArea>
    </format>
    <format dxfId="667">
      <pivotArea dataOnly="0" labelOnly="1" outline="0" fieldPosition="0">
        <references count="4">
          <reference field="5" count="1" selected="0">
            <x v="204"/>
          </reference>
          <reference field="6" count="1" selected="0">
            <x v="19"/>
          </reference>
          <reference field="9" count="1" selected="0">
            <x v="0"/>
          </reference>
          <reference field="10" count="1">
            <x v="0"/>
          </reference>
        </references>
      </pivotArea>
    </format>
    <format dxfId="666">
      <pivotArea dataOnly="0" labelOnly="1" outline="0" fieldPosition="0">
        <references count="4">
          <reference field="5" count="1" selected="0">
            <x v="129"/>
          </reference>
          <reference field="6" count="1" selected="0">
            <x v="20"/>
          </reference>
          <reference field="9" count="1" selected="0">
            <x v="0"/>
          </reference>
          <reference field="10" count="1">
            <x v="2"/>
          </reference>
        </references>
      </pivotArea>
    </format>
    <format dxfId="665">
      <pivotArea dataOnly="0" labelOnly="1" outline="0" fieldPosition="0">
        <references count="4">
          <reference field="5" count="1" selected="0">
            <x v="26"/>
          </reference>
          <reference field="6" count="1" selected="0">
            <x v="21"/>
          </reference>
          <reference field="9" count="1" selected="0">
            <x v="0"/>
          </reference>
          <reference field="10" count="1">
            <x v="1"/>
          </reference>
        </references>
      </pivotArea>
    </format>
    <format dxfId="664">
      <pivotArea dataOnly="0" labelOnly="1" outline="0" fieldPosition="0">
        <references count="4">
          <reference field="5" count="1" selected="0">
            <x v="216"/>
          </reference>
          <reference field="6" count="1" selected="0">
            <x v="22"/>
          </reference>
          <reference field="9" count="1" selected="0">
            <x v="0"/>
          </reference>
          <reference field="10" count="1">
            <x v="1"/>
          </reference>
        </references>
      </pivotArea>
    </format>
    <format dxfId="663">
      <pivotArea dataOnly="0" labelOnly="1" outline="0" fieldPosition="0">
        <references count="4">
          <reference field="5" count="1" selected="0">
            <x v="157"/>
          </reference>
          <reference field="6" count="1" selected="0">
            <x v="23"/>
          </reference>
          <reference field="9" count="1" selected="0">
            <x v="0"/>
          </reference>
          <reference field="10" count="1">
            <x v="1"/>
          </reference>
        </references>
      </pivotArea>
    </format>
    <format dxfId="662">
      <pivotArea dataOnly="0" labelOnly="1" outline="0" fieldPosition="0">
        <references count="4">
          <reference field="5" count="1" selected="0">
            <x v="201"/>
          </reference>
          <reference field="6" count="1" selected="0">
            <x v="24"/>
          </reference>
          <reference field="9" count="1" selected="0">
            <x v="0"/>
          </reference>
          <reference field="10" count="1">
            <x v="2"/>
          </reference>
        </references>
      </pivotArea>
    </format>
    <format dxfId="661">
      <pivotArea dataOnly="0" labelOnly="1" outline="0" fieldPosition="0">
        <references count="4">
          <reference field="5" count="1" selected="0">
            <x v="26"/>
          </reference>
          <reference field="6" count="1" selected="0">
            <x v="26"/>
          </reference>
          <reference field="9" count="1" selected="0">
            <x v="0"/>
          </reference>
          <reference field="10" count="1">
            <x v="1"/>
          </reference>
        </references>
      </pivotArea>
    </format>
    <format dxfId="660">
      <pivotArea dataOnly="0" labelOnly="1" outline="0" fieldPosition="0">
        <references count="4">
          <reference field="5" count="1" selected="0">
            <x v="216"/>
          </reference>
          <reference field="6" count="1" selected="0">
            <x v="27"/>
          </reference>
          <reference field="9" count="1" selected="0">
            <x v="0"/>
          </reference>
          <reference field="10" count="1">
            <x v="1"/>
          </reference>
        </references>
      </pivotArea>
    </format>
    <format dxfId="659">
      <pivotArea dataOnly="0" labelOnly="1" outline="0" fieldPosition="0">
        <references count="4">
          <reference field="5" count="1" selected="0">
            <x v="157"/>
          </reference>
          <reference field="6" count="1" selected="0">
            <x v="28"/>
          </reference>
          <reference field="9" count="1" selected="0">
            <x v="0"/>
          </reference>
          <reference field="10" count="1">
            <x v="1"/>
          </reference>
        </references>
      </pivotArea>
    </format>
    <format dxfId="658">
      <pivotArea dataOnly="0" labelOnly="1" outline="0" fieldPosition="0">
        <references count="4">
          <reference field="5" count="1" selected="0">
            <x v="169"/>
          </reference>
          <reference field="6" count="1" selected="0">
            <x v="32"/>
          </reference>
          <reference field="9" count="1" selected="0">
            <x v="0"/>
          </reference>
          <reference field="10" count="1">
            <x v="0"/>
          </reference>
        </references>
      </pivotArea>
    </format>
    <format dxfId="657">
      <pivotArea dataOnly="0" labelOnly="1" outline="0" fieldPosition="0">
        <references count="4">
          <reference field="5" count="1" selected="0">
            <x v="7"/>
          </reference>
          <reference field="6" count="1" selected="0">
            <x v="33"/>
          </reference>
          <reference field="9" count="1" selected="0">
            <x v="0"/>
          </reference>
          <reference field="10" count="1">
            <x v="2"/>
          </reference>
        </references>
      </pivotArea>
    </format>
    <format dxfId="656">
      <pivotArea dataOnly="0" labelOnly="1" outline="0" fieldPosition="0">
        <references count="4">
          <reference field="5" count="1" selected="0">
            <x v="98"/>
          </reference>
          <reference field="6" count="1" selected="0">
            <x v="50"/>
          </reference>
          <reference field="9" count="1" selected="0">
            <x v="0"/>
          </reference>
          <reference field="10" count="1">
            <x v="2"/>
          </reference>
        </references>
      </pivotArea>
    </format>
    <format dxfId="655">
      <pivotArea dataOnly="0" labelOnly="1" outline="0" fieldPosition="0">
        <references count="4">
          <reference field="5" count="1" selected="0">
            <x v="180"/>
          </reference>
          <reference field="6" count="1" selected="0">
            <x v="67"/>
          </reference>
          <reference field="9" count="1" selected="0">
            <x v="0"/>
          </reference>
          <reference field="10" count="1">
            <x v="2"/>
          </reference>
        </references>
      </pivotArea>
    </format>
    <format dxfId="654">
      <pivotArea dataOnly="0" labelOnly="1" outline="0" fieldPosition="0">
        <references count="4">
          <reference field="5" count="1" selected="0">
            <x v="75"/>
          </reference>
          <reference field="6" count="1" selected="0">
            <x v="72"/>
          </reference>
          <reference field="9" count="1" selected="0">
            <x v="0"/>
          </reference>
          <reference field="10" count="1">
            <x v="1"/>
          </reference>
        </references>
      </pivotArea>
    </format>
    <format dxfId="653">
      <pivotArea dataOnly="0" labelOnly="1" outline="0" fieldPosition="0">
        <references count="4">
          <reference field="5" count="1" selected="0">
            <x v="78"/>
          </reference>
          <reference field="6" count="1" selected="0">
            <x v="73"/>
          </reference>
          <reference field="9" count="1" selected="0">
            <x v="0"/>
          </reference>
          <reference field="10" count="1">
            <x v="1"/>
          </reference>
        </references>
      </pivotArea>
    </format>
    <format dxfId="652">
      <pivotArea dataOnly="0" labelOnly="1" outline="0" fieldPosition="0">
        <references count="4">
          <reference field="5" count="1" selected="0">
            <x v="81"/>
          </reference>
          <reference field="6" count="1" selected="0">
            <x v="74"/>
          </reference>
          <reference field="9" count="1" selected="0">
            <x v="0"/>
          </reference>
          <reference field="10" count="1">
            <x v="1"/>
          </reference>
        </references>
      </pivotArea>
    </format>
    <format dxfId="651">
      <pivotArea dataOnly="0" labelOnly="1" outline="0" fieldPosition="0">
        <references count="4">
          <reference field="5" count="1" selected="0">
            <x v="74"/>
          </reference>
          <reference field="6" count="1" selected="0">
            <x v="80"/>
          </reference>
          <reference field="9" count="1" selected="0">
            <x v="0"/>
          </reference>
          <reference field="10" count="1">
            <x v="1"/>
          </reference>
        </references>
      </pivotArea>
    </format>
    <format dxfId="650">
      <pivotArea dataOnly="0" labelOnly="1" outline="0" fieldPosition="0">
        <references count="4">
          <reference field="5" count="1" selected="0">
            <x v="77"/>
          </reference>
          <reference field="6" count="1" selected="0">
            <x v="81"/>
          </reference>
          <reference field="9" count="1" selected="0">
            <x v="0"/>
          </reference>
          <reference field="10" count="1">
            <x v="1"/>
          </reference>
        </references>
      </pivotArea>
    </format>
    <format dxfId="649">
      <pivotArea dataOnly="0" labelOnly="1" outline="0" fieldPosition="0">
        <references count="4">
          <reference field="5" count="1" selected="0">
            <x v="80"/>
          </reference>
          <reference field="6" count="1" selected="0">
            <x v="82"/>
          </reference>
          <reference field="9" count="1" selected="0">
            <x v="0"/>
          </reference>
          <reference field="10" count="1">
            <x v="1"/>
          </reference>
        </references>
      </pivotArea>
    </format>
    <format dxfId="648">
      <pivotArea dataOnly="0" labelOnly="1" outline="0" fieldPosition="0">
        <references count="4">
          <reference field="5" count="1" selected="0">
            <x v="73"/>
          </reference>
          <reference field="6" count="1" selected="0">
            <x v="89"/>
          </reference>
          <reference field="9" count="1" selected="0">
            <x v="0"/>
          </reference>
          <reference field="10" count="1">
            <x v="1"/>
          </reference>
        </references>
      </pivotArea>
    </format>
    <format dxfId="647">
      <pivotArea dataOnly="0" labelOnly="1" outline="0" fieldPosition="0">
        <references count="4">
          <reference field="5" count="1" selected="0">
            <x v="76"/>
          </reference>
          <reference field="6" count="1" selected="0">
            <x v="90"/>
          </reference>
          <reference field="9" count="1" selected="0">
            <x v="0"/>
          </reference>
          <reference field="10" count="1">
            <x v="1"/>
          </reference>
        </references>
      </pivotArea>
    </format>
    <format dxfId="646">
      <pivotArea dataOnly="0" labelOnly="1" outline="0" fieldPosition="0">
        <references count="4">
          <reference field="5" count="1" selected="0">
            <x v="79"/>
          </reference>
          <reference field="6" count="1" selected="0">
            <x v="91"/>
          </reference>
          <reference field="9" count="1" selected="0">
            <x v="0"/>
          </reference>
          <reference field="10" count="1">
            <x v="1"/>
          </reference>
        </references>
      </pivotArea>
    </format>
    <format dxfId="645">
      <pivotArea dataOnly="0" labelOnly="1" outline="0" fieldPosition="0">
        <references count="4">
          <reference field="5" count="1" selected="0">
            <x v="84"/>
          </reference>
          <reference field="6" count="1" selected="0">
            <x v="93"/>
          </reference>
          <reference field="9" count="1" selected="0">
            <x v="0"/>
          </reference>
          <reference field="10" count="1">
            <x v="2"/>
          </reference>
        </references>
      </pivotArea>
    </format>
    <format dxfId="644">
      <pivotArea dataOnly="0" labelOnly="1" outline="0" fieldPosition="0">
        <references count="4">
          <reference field="5" count="1" selected="0">
            <x v="112"/>
          </reference>
          <reference field="6" count="1" selected="0">
            <x v="94"/>
          </reference>
          <reference field="9" count="1" selected="0">
            <x v="0"/>
          </reference>
          <reference field="10" count="1">
            <x v="1"/>
          </reference>
        </references>
      </pivotArea>
    </format>
    <format dxfId="643">
      <pivotArea dataOnly="0" labelOnly="1" outline="0" fieldPosition="0">
        <references count="4">
          <reference field="5" count="1" selected="0">
            <x v="316"/>
          </reference>
          <reference field="6" count="1" selected="0">
            <x v="96"/>
          </reference>
          <reference field="9" count="1" selected="0">
            <x v="0"/>
          </reference>
          <reference field="10" count="1">
            <x v="1"/>
          </reference>
        </references>
      </pivotArea>
    </format>
    <format dxfId="642">
      <pivotArea dataOnly="0" labelOnly="1" outline="0" fieldPosition="0">
        <references count="4">
          <reference field="5" count="1" selected="0">
            <x v="219"/>
          </reference>
          <reference field="6" count="1" selected="0">
            <x v="98"/>
          </reference>
          <reference field="9" count="1" selected="0">
            <x v="0"/>
          </reference>
          <reference field="10" count="1">
            <x v="1"/>
          </reference>
        </references>
      </pivotArea>
    </format>
    <format dxfId="641">
      <pivotArea dataOnly="0" labelOnly="1" outline="0" fieldPosition="0">
        <references count="4">
          <reference field="5" count="1" selected="0">
            <x v="4"/>
          </reference>
          <reference field="6" count="1" selected="0">
            <x v="554"/>
          </reference>
          <reference field="9" count="1" selected="0">
            <x v="0"/>
          </reference>
          <reference field="10" count="1">
            <x v="1"/>
          </reference>
        </references>
      </pivotArea>
    </format>
    <format dxfId="640">
      <pivotArea dataOnly="0" labelOnly="1" outline="0" fieldPosition="0">
        <references count="4">
          <reference field="5" count="1" selected="0">
            <x v="89"/>
          </reference>
          <reference field="6" count="1" selected="0">
            <x v="557"/>
          </reference>
          <reference field="9" count="1" selected="0">
            <x v="0"/>
          </reference>
          <reference field="10" count="1">
            <x v="2"/>
          </reference>
        </references>
      </pivotArea>
    </format>
    <format dxfId="639">
      <pivotArea dataOnly="0" labelOnly="1" outline="0" fieldPosition="0">
        <references count="4">
          <reference field="5" count="1" selected="0">
            <x v="89"/>
          </reference>
          <reference field="6" count="1" selected="0">
            <x v="558"/>
          </reference>
          <reference field="9" count="1" selected="0">
            <x v="0"/>
          </reference>
          <reference field="10" count="1">
            <x v="1"/>
          </reference>
        </references>
      </pivotArea>
    </format>
    <format dxfId="638">
      <pivotArea dataOnly="0" labelOnly="1" outline="0" fieldPosition="0">
        <references count="4">
          <reference field="5" count="1" selected="0">
            <x v="68"/>
          </reference>
          <reference field="6" count="1" selected="0">
            <x v="561"/>
          </reference>
          <reference field="9" count="1" selected="0">
            <x v="0"/>
          </reference>
          <reference field="10" count="1">
            <x v="0"/>
          </reference>
        </references>
      </pivotArea>
    </format>
    <format dxfId="637">
      <pivotArea dataOnly="0" labelOnly="1" outline="0" fieldPosition="0">
        <references count="4">
          <reference field="5" count="1" selected="0">
            <x v="160"/>
          </reference>
          <reference field="6" count="1" selected="0">
            <x v="562"/>
          </reference>
          <reference field="9" count="1" selected="0">
            <x v="0"/>
          </reference>
          <reference field="10" count="1">
            <x v="2"/>
          </reference>
        </references>
      </pivotArea>
    </format>
    <format dxfId="636">
      <pivotArea dataOnly="0" labelOnly="1" outline="0" fieldPosition="0">
        <references count="4">
          <reference field="5" count="1" selected="0">
            <x v="168"/>
          </reference>
          <reference field="6" count="1" selected="0">
            <x v="563"/>
          </reference>
          <reference field="9" count="1" selected="0">
            <x v="0"/>
          </reference>
          <reference field="10" count="1">
            <x v="1"/>
          </reference>
        </references>
      </pivotArea>
    </format>
    <format dxfId="635">
      <pivotArea dataOnly="0" labelOnly="1" outline="0" fieldPosition="0">
        <references count="4">
          <reference field="5" count="1" selected="0">
            <x v="201"/>
          </reference>
          <reference field="6" count="1" selected="0">
            <x v="564"/>
          </reference>
          <reference field="9" count="1" selected="0">
            <x v="0"/>
          </reference>
          <reference field="10" count="1">
            <x v="1"/>
          </reference>
        </references>
      </pivotArea>
    </format>
    <format dxfId="634">
      <pivotArea dataOnly="0" labelOnly="1" outline="0" fieldPosition="0">
        <references count="4">
          <reference field="5" count="1" selected="0">
            <x v="161"/>
          </reference>
          <reference field="6" count="1" selected="0">
            <x v="565"/>
          </reference>
          <reference field="9" count="1" selected="0">
            <x v="0"/>
          </reference>
          <reference field="10" count="1">
            <x v="2"/>
          </reference>
        </references>
      </pivotArea>
    </format>
    <format dxfId="633">
      <pivotArea dataOnly="0" labelOnly="1" outline="0" fieldPosition="0">
        <references count="4">
          <reference field="5" count="1" selected="0">
            <x v="6"/>
          </reference>
          <reference field="6" count="1" selected="0">
            <x v="566"/>
          </reference>
          <reference field="9" count="1" selected="0">
            <x v="0"/>
          </reference>
          <reference field="10" count="1">
            <x v="1"/>
          </reference>
        </references>
      </pivotArea>
    </format>
    <format dxfId="632">
      <pivotArea dataOnly="0" labelOnly="1" outline="0" fieldPosition="0">
        <references count="4">
          <reference field="5" count="1" selected="0">
            <x v="97"/>
          </reference>
          <reference field="6" count="1" selected="0">
            <x v="567"/>
          </reference>
          <reference field="9" count="1" selected="0">
            <x v="0"/>
          </reference>
          <reference field="10" count="1">
            <x v="1"/>
          </reference>
        </references>
      </pivotArea>
    </format>
    <format dxfId="631">
      <pivotArea dataOnly="0" labelOnly="1" outline="0" fieldPosition="0">
        <references count="4">
          <reference field="5" count="1" selected="0">
            <x v="179"/>
          </reference>
          <reference field="6" count="1" selected="0">
            <x v="568"/>
          </reference>
          <reference field="9" count="1" selected="0">
            <x v="0"/>
          </reference>
          <reference field="10" count="1">
            <x v="1"/>
          </reference>
        </references>
      </pivotArea>
    </format>
    <format dxfId="630">
      <pivotArea dataOnly="0" labelOnly="1" outline="0" fieldPosition="0">
        <references count="4">
          <reference field="5" count="1" selected="0">
            <x v="84"/>
          </reference>
          <reference field="6" count="1" selected="0">
            <x v="569"/>
          </reference>
          <reference field="9" count="1" selected="0">
            <x v="0"/>
          </reference>
          <reference field="10" count="1">
            <x v="1"/>
          </reference>
        </references>
      </pivotArea>
    </format>
    <format dxfId="629">
      <pivotArea dataOnly="0" labelOnly="1" outline="0" fieldPosition="0">
        <references count="4">
          <reference field="5" count="1" selected="0">
            <x v="229"/>
          </reference>
          <reference field="6" count="1" selected="0">
            <x v="581"/>
          </reference>
          <reference field="9" count="1" selected="0">
            <x v="0"/>
          </reference>
          <reference field="10" count="1">
            <x v="2"/>
          </reference>
        </references>
      </pivotArea>
    </format>
    <format dxfId="628">
      <pivotArea dataOnly="0" labelOnly="1" outline="0" fieldPosition="0">
        <references count="4">
          <reference field="5" count="1" selected="0">
            <x v="55"/>
          </reference>
          <reference field="6" count="1" selected="0">
            <x v="582"/>
          </reference>
          <reference field="9" count="1" selected="0">
            <x v="0"/>
          </reference>
          <reference field="10" count="1">
            <x v="2"/>
          </reference>
        </references>
      </pivotArea>
    </format>
    <format dxfId="627">
      <pivotArea dataOnly="0" labelOnly="1" outline="0" fieldPosition="0">
        <references count="4">
          <reference field="5" count="1" selected="0">
            <x v="198"/>
          </reference>
          <reference field="6" count="1" selected="0">
            <x v="585"/>
          </reference>
          <reference field="9" count="1" selected="0">
            <x v="0"/>
          </reference>
          <reference field="10" count="1">
            <x v="1"/>
          </reference>
        </references>
      </pivotArea>
    </format>
    <format dxfId="626">
      <pivotArea dataOnly="0" labelOnly="1" outline="0" fieldPosition="0">
        <references count="4">
          <reference field="5" count="1" selected="0">
            <x v="209"/>
          </reference>
          <reference field="6" count="1" selected="0">
            <x v="586"/>
          </reference>
          <reference field="9" count="1" selected="0">
            <x v="0"/>
          </reference>
          <reference field="10" count="1">
            <x v="1"/>
          </reference>
        </references>
      </pivotArea>
    </format>
    <format dxfId="625">
      <pivotArea dataOnly="0" labelOnly="1" outline="0" fieldPosition="0">
        <references count="4">
          <reference field="5" count="1" selected="0">
            <x v="259"/>
          </reference>
          <reference field="6" count="1" selected="0">
            <x v="587"/>
          </reference>
          <reference field="9" count="1" selected="0">
            <x v="0"/>
          </reference>
          <reference field="10" count="1">
            <x v="2"/>
          </reference>
        </references>
      </pivotArea>
    </format>
    <format dxfId="624">
      <pivotArea dataOnly="0" labelOnly="1" outline="0" fieldPosition="0">
        <references count="4">
          <reference field="5" count="1" selected="0">
            <x v="176"/>
          </reference>
          <reference field="6" count="1" selected="0">
            <x v="589"/>
          </reference>
          <reference field="9" count="1" selected="0">
            <x v="0"/>
          </reference>
          <reference field="10" count="1">
            <x v="2"/>
          </reference>
        </references>
      </pivotArea>
    </format>
    <format dxfId="623">
      <pivotArea dataOnly="0" labelOnly="1" outline="0" fieldPosition="0">
        <references count="4">
          <reference field="5" count="1" selected="0">
            <x v="235"/>
          </reference>
          <reference field="6" count="1" selected="0">
            <x v="590"/>
          </reference>
          <reference field="9" count="1" selected="0">
            <x v="0"/>
          </reference>
          <reference field="10" count="1">
            <x v="2"/>
          </reference>
        </references>
      </pivotArea>
    </format>
    <format dxfId="622">
      <pivotArea dataOnly="0" labelOnly="1" outline="0" fieldPosition="0">
        <references count="4">
          <reference field="5" count="1" selected="0">
            <x v="158"/>
          </reference>
          <reference field="6" count="1" selected="0">
            <x v="591"/>
          </reference>
          <reference field="9" count="1" selected="0">
            <x v="0"/>
          </reference>
          <reference field="10" count="1">
            <x v="1"/>
          </reference>
        </references>
      </pivotArea>
    </format>
    <format dxfId="621">
      <pivotArea dataOnly="0" labelOnly="1" outline="0" fieldPosition="0">
        <references count="4">
          <reference field="5" count="1" selected="0">
            <x v="52"/>
          </reference>
          <reference field="6" count="1" selected="0">
            <x v="592"/>
          </reference>
          <reference field="9" count="1" selected="0">
            <x v="0"/>
          </reference>
          <reference field="10" count="1">
            <x v="1"/>
          </reference>
        </references>
      </pivotArea>
    </format>
    <format dxfId="620">
      <pivotArea dataOnly="0" labelOnly="1" outline="0" fieldPosition="0">
        <references count="4">
          <reference field="5" count="1" selected="0">
            <x v="135"/>
          </reference>
          <reference field="6" count="1" selected="0">
            <x v="593"/>
          </reference>
          <reference field="9" count="1" selected="0">
            <x v="0"/>
          </reference>
          <reference field="10" count="1">
            <x v="1"/>
          </reference>
        </references>
      </pivotArea>
    </format>
    <format dxfId="619">
      <pivotArea dataOnly="0" labelOnly="1" outline="0" fieldPosition="0">
        <references count="4">
          <reference field="5" count="1" selected="0">
            <x v="269"/>
          </reference>
          <reference field="6" count="1" selected="0">
            <x v="594"/>
          </reference>
          <reference field="9" count="1" selected="0">
            <x v="0"/>
          </reference>
          <reference field="10" count="1">
            <x v="1"/>
          </reference>
        </references>
      </pivotArea>
    </format>
    <format dxfId="618">
      <pivotArea dataOnly="0" labelOnly="1" outline="0" fieldPosition="0">
        <references count="4">
          <reference field="5" count="1" selected="0">
            <x v="145"/>
          </reference>
          <reference field="6" count="1" selected="0">
            <x v="595"/>
          </reference>
          <reference field="9" count="1" selected="0">
            <x v="0"/>
          </reference>
          <reference field="10" count="1">
            <x v="1"/>
          </reference>
        </references>
      </pivotArea>
    </format>
    <format dxfId="617">
      <pivotArea dataOnly="0" labelOnly="1" outline="0" fieldPosition="0">
        <references count="4">
          <reference field="5" count="1" selected="0">
            <x v="134"/>
          </reference>
          <reference field="6" count="1" selected="0">
            <x v="596"/>
          </reference>
          <reference field="9" count="1" selected="0">
            <x v="0"/>
          </reference>
          <reference field="10" count="1">
            <x v="1"/>
          </reference>
        </references>
      </pivotArea>
    </format>
    <format dxfId="616">
      <pivotArea dataOnly="0" labelOnly="1" outline="0" fieldPosition="0">
        <references count="4">
          <reference field="5" count="1" selected="0">
            <x v="219"/>
          </reference>
          <reference field="6" count="1" selected="0">
            <x v="597"/>
          </reference>
          <reference field="9" count="1" selected="0">
            <x v="0"/>
          </reference>
          <reference field="10" count="1">
            <x v="1"/>
          </reference>
        </references>
      </pivotArea>
    </format>
    <format dxfId="615">
      <pivotArea dataOnly="0" labelOnly="1" outline="0" fieldPosition="0">
        <references count="4">
          <reference field="5" count="1" selected="0">
            <x v="163"/>
          </reference>
          <reference field="6" count="1" selected="0">
            <x v="598"/>
          </reference>
          <reference field="9" count="1" selected="0">
            <x v="0"/>
          </reference>
          <reference field="10" count="1">
            <x v="2"/>
          </reference>
        </references>
      </pivotArea>
    </format>
    <format dxfId="614">
      <pivotArea dataOnly="0" labelOnly="1" outline="0" fieldPosition="0">
        <references count="4">
          <reference field="5" count="1" selected="0">
            <x v="69"/>
          </reference>
          <reference field="6" count="1" selected="0">
            <x v="608"/>
          </reference>
          <reference field="9" count="1" selected="0">
            <x v="0"/>
          </reference>
          <reference field="10" count="1">
            <x v="2"/>
          </reference>
        </references>
      </pivotArea>
    </format>
    <format dxfId="613">
      <pivotArea dataOnly="0" labelOnly="1" outline="0" fieldPosition="0">
        <references count="4">
          <reference field="5" count="1" selected="0">
            <x v="15"/>
          </reference>
          <reference field="6" count="1" selected="0">
            <x v="609"/>
          </reference>
          <reference field="9" count="1" selected="0">
            <x v="0"/>
          </reference>
          <reference field="10" count="1">
            <x v="1"/>
          </reference>
        </references>
      </pivotArea>
    </format>
    <format dxfId="612">
      <pivotArea dataOnly="0" labelOnly="1" outline="0" fieldPosition="0">
        <references count="4">
          <reference field="5" count="1" selected="0">
            <x v="48"/>
          </reference>
          <reference field="6" count="1" selected="0">
            <x v="611"/>
          </reference>
          <reference field="9" count="1" selected="0">
            <x v="0"/>
          </reference>
          <reference field="10" count="1">
            <x v="1"/>
          </reference>
        </references>
      </pivotArea>
    </format>
    <format dxfId="611">
      <pivotArea dataOnly="0" labelOnly="1" outline="0" fieldPosition="0">
        <references count="4">
          <reference field="5" count="1" selected="0">
            <x v="22"/>
          </reference>
          <reference field="6" count="1" selected="0">
            <x v="612"/>
          </reference>
          <reference field="9" count="1" selected="0">
            <x v="0"/>
          </reference>
          <reference field="10" count="1">
            <x v="1"/>
          </reference>
        </references>
      </pivotArea>
    </format>
    <format dxfId="610">
      <pivotArea dataOnly="0" labelOnly="1" outline="0" fieldPosition="0">
        <references count="4">
          <reference field="5" count="1" selected="0">
            <x v="116"/>
          </reference>
          <reference field="6" count="1" selected="0">
            <x v="613"/>
          </reference>
          <reference field="9" count="1" selected="0">
            <x v="0"/>
          </reference>
          <reference field="10" count="1">
            <x v="1"/>
          </reference>
        </references>
      </pivotArea>
    </format>
    <format dxfId="609">
      <pivotArea dataOnly="0" labelOnly="1" outline="0" fieldPosition="0">
        <references count="4">
          <reference field="5" count="1" selected="0">
            <x v="245"/>
          </reference>
          <reference field="6" count="1" selected="0">
            <x v="614"/>
          </reference>
          <reference field="9" count="1" selected="0">
            <x v="0"/>
          </reference>
          <reference field="10" count="1">
            <x v="1"/>
          </reference>
        </references>
      </pivotArea>
    </format>
    <format dxfId="608">
      <pivotArea dataOnly="0" labelOnly="1" outline="0" fieldPosition="0">
        <references count="4">
          <reference field="5" count="1" selected="0">
            <x v="177"/>
          </reference>
          <reference field="6" count="1" selected="0">
            <x v="615"/>
          </reference>
          <reference field="9" count="1" selected="0">
            <x v="0"/>
          </reference>
          <reference field="10" count="1">
            <x v="1"/>
          </reference>
        </references>
      </pivotArea>
    </format>
    <format dxfId="607">
      <pivotArea dataOnly="0" labelOnly="1" outline="0" fieldPosition="0">
        <references count="4">
          <reference field="5" count="1" selected="0">
            <x v="209"/>
          </reference>
          <reference field="6" count="1" selected="0">
            <x v="617"/>
          </reference>
          <reference field="9" count="1" selected="0">
            <x v="0"/>
          </reference>
          <reference field="10" count="1">
            <x v="1"/>
          </reference>
        </references>
      </pivotArea>
    </format>
    <format dxfId="606">
      <pivotArea dataOnly="0" labelOnly="1" outline="0" fieldPosition="0">
        <references count="4">
          <reference field="5" count="1" selected="0">
            <x v="323"/>
          </reference>
          <reference field="6" count="1" selected="0">
            <x v="622"/>
          </reference>
          <reference field="9" count="1" selected="0">
            <x v="0"/>
          </reference>
          <reference field="10" count="1">
            <x v="2"/>
          </reference>
        </references>
      </pivotArea>
    </format>
    <format dxfId="605">
      <pivotArea dataOnly="0" labelOnly="1" outline="0" fieldPosition="0">
        <references count="4">
          <reference field="5" count="1" selected="0">
            <x v="276"/>
          </reference>
          <reference field="6" count="1" selected="0">
            <x v="623"/>
          </reference>
          <reference field="9" count="1" selected="0">
            <x v="0"/>
          </reference>
          <reference field="10" count="1">
            <x v="1"/>
          </reference>
        </references>
      </pivotArea>
    </format>
    <format dxfId="604">
      <pivotArea dataOnly="0" labelOnly="1" outline="0" fieldPosition="0">
        <references count="4">
          <reference field="5" count="1" selected="0">
            <x v="324"/>
          </reference>
          <reference field="6" count="1" selected="0">
            <x v="624"/>
          </reference>
          <reference field="9" count="1" selected="0">
            <x v="0"/>
          </reference>
          <reference field="10" count="1">
            <x v="1"/>
          </reference>
        </references>
      </pivotArea>
    </format>
    <format dxfId="603">
      <pivotArea dataOnly="0" labelOnly="1" outline="0" fieldPosition="0">
        <references count="4">
          <reference field="5" count="1" selected="0">
            <x v="317"/>
          </reference>
          <reference field="6" count="1" selected="0">
            <x v="625"/>
          </reference>
          <reference field="9" count="1" selected="0">
            <x v="0"/>
          </reference>
          <reference field="10" count="1">
            <x v="1"/>
          </reference>
        </references>
      </pivotArea>
    </format>
    <format dxfId="602">
      <pivotArea dataOnly="0" labelOnly="1" outline="0" fieldPosition="0">
        <references count="4">
          <reference field="5" count="1" selected="0">
            <x v="322"/>
          </reference>
          <reference field="6" count="1" selected="0">
            <x v="626"/>
          </reference>
          <reference field="9" count="1" selected="0">
            <x v="0"/>
          </reference>
          <reference field="10" count="1">
            <x v="1"/>
          </reference>
        </references>
      </pivotArea>
    </format>
    <format dxfId="601">
      <pivotArea dataOnly="0" labelOnly="1" outline="0" fieldPosition="0">
        <references count="4">
          <reference field="5" count="1" selected="0">
            <x v="32"/>
          </reference>
          <reference field="6" count="1" selected="0">
            <x v="627"/>
          </reference>
          <reference field="9" count="1" selected="0">
            <x v="0"/>
          </reference>
          <reference field="10" count="1">
            <x v="2"/>
          </reference>
        </references>
      </pivotArea>
    </format>
    <format dxfId="600">
      <pivotArea dataOnly="0" labelOnly="1" outline="0" fieldPosition="0">
        <references count="4">
          <reference field="5" count="1" selected="0">
            <x v="276"/>
          </reference>
          <reference field="6" count="1" selected="0">
            <x v="628"/>
          </reference>
          <reference field="9" count="1" selected="0">
            <x v="0"/>
          </reference>
          <reference field="10" count="1">
            <x v="1"/>
          </reference>
        </references>
      </pivotArea>
    </format>
    <format dxfId="599">
      <pivotArea dataOnly="0" labelOnly="1" outline="0" fieldPosition="0">
        <references count="4">
          <reference field="5" count="1" selected="0">
            <x v="101"/>
          </reference>
          <reference field="6" count="1" selected="0">
            <x v="629"/>
          </reference>
          <reference field="9" count="1" selected="0">
            <x v="0"/>
          </reference>
          <reference field="10" count="1">
            <x v="1"/>
          </reference>
        </references>
      </pivotArea>
    </format>
    <format dxfId="598">
      <pivotArea dataOnly="0" labelOnly="1" outline="0" fieldPosition="0">
        <references count="4">
          <reference field="5" count="1" selected="0">
            <x v="182"/>
          </reference>
          <reference field="6" count="1" selected="0">
            <x v="630"/>
          </reference>
          <reference field="9" count="1" selected="0">
            <x v="0"/>
          </reference>
          <reference field="10" count="1">
            <x v="1"/>
          </reference>
        </references>
      </pivotArea>
    </format>
    <format dxfId="597">
      <pivotArea dataOnly="0" labelOnly="1" outline="0" fieldPosition="0">
        <references count="4">
          <reference field="5" count="1" selected="0">
            <x v="278"/>
          </reference>
          <reference field="6" count="1" selected="0">
            <x v="631"/>
          </reference>
          <reference field="9" count="1" selected="0">
            <x v="0"/>
          </reference>
          <reference field="10" count="1">
            <x v="1"/>
          </reference>
        </references>
      </pivotArea>
    </format>
    <format dxfId="596">
      <pivotArea dataOnly="0" labelOnly="1" outline="0" fieldPosition="0">
        <references count="4">
          <reference field="5" count="1" selected="0">
            <x v="91"/>
          </reference>
          <reference field="6" count="1" selected="0">
            <x v="632"/>
          </reference>
          <reference field="9" count="1" selected="0">
            <x v="0"/>
          </reference>
          <reference field="10" count="1">
            <x v="1"/>
          </reference>
        </references>
      </pivotArea>
    </format>
    <format dxfId="595">
      <pivotArea dataOnly="0" labelOnly="1" outline="0" fieldPosition="0">
        <references count="4">
          <reference field="5" count="1" selected="0">
            <x v="219"/>
          </reference>
          <reference field="6" count="1" selected="0">
            <x v="633"/>
          </reference>
          <reference field="9" count="1" selected="0">
            <x v="0"/>
          </reference>
          <reference field="10" count="1">
            <x v="1"/>
          </reference>
        </references>
      </pivotArea>
    </format>
    <format dxfId="594">
      <pivotArea dataOnly="0" labelOnly="1" outline="0" fieldPosition="0">
        <references count="4">
          <reference field="5" count="1" selected="0">
            <x v="321"/>
          </reference>
          <reference field="6" count="1" selected="0">
            <x v="634"/>
          </reference>
          <reference field="9" count="1" selected="0">
            <x v="0"/>
          </reference>
          <reference field="10" count="1">
            <x v="2"/>
          </reference>
        </references>
      </pivotArea>
    </format>
    <format dxfId="593">
      <pivotArea dataOnly="0" labelOnly="1" outline="0" fieldPosition="0">
        <references count="4">
          <reference field="5" count="1" selected="0">
            <x v="318"/>
          </reference>
          <reference field="6" count="1" selected="0">
            <x v="635"/>
          </reference>
          <reference field="9" count="1" selected="0">
            <x v="0"/>
          </reference>
          <reference field="10" count="1">
            <x v="1"/>
          </reference>
        </references>
      </pivotArea>
    </format>
    <format dxfId="592">
      <pivotArea dataOnly="0" labelOnly="1" outline="0" fieldPosition="0">
        <references count="4">
          <reference field="5" count="1" selected="0">
            <x v="319"/>
          </reference>
          <reference field="6" count="1" selected="0">
            <x v="636"/>
          </reference>
          <reference field="9" count="1" selected="0">
            <x v="0"/>
          </reference>
          <reference field="10" count="1">
            <x v="1"/>
          </reference>
        </references>
      </pivotArea>
    </format>
    <format dxfId="591">
      <pivotArea dataOnly="0" labelOnly="1" outline="0" fieldPosition="0">
        <references count="4">
          <reference field="5" count="1" selected="0">
            <x v="320"/>
          </reference>
          <reference field="6" count="1" selected="0">
            <x v="637"/>
          </reference>
          <reference field="9" count="1" selected="0">
            <x v="0"/>
          </reference>
          <reference field="10" count="1">
            <x v="2"/>
          </reference>
        </references>
      </pivotArea>
    </format>
    <format dxfId="590">
      <pivotArea dataOnly="0" labelOnly="1" outline="0" fieldPosition="0">
        <references count="4">
          <reference field="5" count="1" selected="0">
            <x v="156"/>
          </reference>
          <reference field="6" count="1" selected="0">
            <x v="638"/>
          </reference>
          <reference field="9" count="1" selected="0">
            <x v="0"/>
          </reference>
          <reference field="10" count="1">
            <x v="1"/>
          </reference>
        </references>
      </pivotArea>
    </format>
    <format dxfId="589">
      <pivotArea dataOnly="0" labelOnly="1" outline="0" fieldPosition="0">
        <references count="4">
          <reference field="5" count="1" selected="0">
            <x v="183"/>
          </reference>
          <reference field="6" count="1" selected="0">
            <x v="639"/>
          </reference>
          <reference field="9" count="1" selected="0">
            <x v="0"/>
          </reference>
          <reference field="10" count="1">
            <x v="1"/>
          </reference>
        </references>
      </pivotArea>
    </format>
    <format dxfId="588">
      <pivotArea dataOnly="0" labelOnly="1" outline="0" fieldPosition="0">
        <references count="4">
          <reference field="5" count="1" selected="0">
            <x v="113"/>
          </reference>
          <reference field="6" count="1" selected="0">
            <x v="640"/>
          </reference>
          <reference field="9" count="1" selected="0">
            <x v="0"/>
          </reference>
          <reference field="10" count="1">
            <x v="1"/>
          </reference>
        </references>
      </pivotArea>
    </format>
    <format dxfId="587">
      <pivotArea dataOnly="0" labelOnly="1" outline="0" fieldPosition="0">
        <references count="4">
          <reference field="5" count="1" selected="0">
            <x v="278"/>
          </reference>
          <reference field="6" count="1" selected="0">
            <x v="641"/>
          </reference>
          <reference field="9" count="1" selected="0">
            <x v="0"/>
          </reference>
          <reference field="10" count="1">
            <x v="1"/>
          </reference>
        </references>
      </pivotArea>
    </format>
    <format dxfId="586">
      <pivotArea dataOnly="0" labelOnly="1" outline="0" fieldPosition="0">
        <references count="4">
          <reference field="5" count="1" selected="0">
            <x v="114"/>
          </reference>
          <reference field="6" count="1" selected="0">
            <x v="642"/>
          </reference>
          <reference field="9" count="1" selected="0">
            <x v="0"/>
          </reference>
          <reference field="10" count="1">
            <x v="1"/>
          </reference>
        </references>
      </pivotArea>
    </format>
    <format dxfId="585">
      <pivotArea dataOnly="0" labelOnly="1" outline="0" fieldPosition="0">
        <references count="4">
          <reference field="5" count="1" selected="0">
            <x v="219"/>
          </reference>
          <reference field="6" count="1" selected="0">
            <x v="643"/>
          </reference>
          <reference field="9" count="1" selected="0">
            <x v="0"/>
          </reference>
          <reference field="10" count="1">
            <x v="1"/>
          </reference>
        </references>
      </pivotArea>
    </format>
    <format dxfId="584">
      <pivotArea dataOnly="0" labelOnly="1" outline="0" fieldPosition="0">
        <references count="4">
          <reference field="5" count="1" selected="0">
            <x v="33"/>
          </reference>
          <reference field="6" count="1" selected="0">
            <x v="644"/>
          </reference>
          <reference field="9" count="1" selected="0">
            <x v="0"/>
          </reference>
          <reference field="10" count="1">
            <x v="2"/>
          </reference>
        </references>
      </pivotArea>
    </format>
    <format dxfId="583">
      <pivotArea dataOnly="0" labelOnly="1" outline="0" fieldPosition="0">
        <references count="4">
          <reference field="5" count="1" selected="0">
            <x v="156"/>
          </reference>
          <reference field="6" count="1" selected="0">
            <x v="645"/>
          </reference>
          <reference field="9" count="1" selected="0">
            <x v="0"/>
          </reference>
          <reference field="10" count="1">
            <x v="1"/>
          </reference>
        </references>
      </pivotArea>
    </format>
    <format dxfId="582">
      <pivotArea dataOnly="0" labelOnly="1" outline="0" fieldPosition="0">
        <references count="4">
          <reference field="5" count="1" selected="0">
            <x v="183"/>
          </reference>
          <reference field="6" count="1" selected="0">
            <x v="646"/>
          </reference>
          <reference field="9" count="1" selected="0">
            <x v="0"/>
          </reference>
          <reference field="10" count="1">
            <x v="1"/>
          </reference>
        </references>
      </pivotArea>
    </format>
    <format dxfId="581">
      <pivotArea dataOnly="0" labelOnly="1" outline="0" fieldPosition="0">
        <references count="4">
          <reference field="5" count="1" selected="0">
            <x v="278"/>
          </reference>
          <reference field="6" count="1" selected="0">
            <x v="648"/>
          </reference>
          <reference field="9" count="1" selected="0">
            <x v="0"/>
          </reference>
          <reference field="10" count="1">
            <x v="1"/>
          </reference>
        </references>
      </pivotArea>
    </format>
    <format dxfId="580">
      <pivotArea dataOnly="0" labelOnly="1" outline="0" fieldPosition="0">
        <references count="4">
          <reference field="5" count="1" selected="0">
            <x v="114"/>
          </reference>
          <reference field="6" count="1" selected="0">
            <x v="649"/>
          </reference>
          <reference field="9" count="1" selected="0">
            <x v="0"/>
          </reference>
          <reference field="10" count="1">
            <x v="1"/>
          </reference>
        </references>
      </pivotArea>
    </format>
    <format dxfId="579">
      <pivotArea dataOnly="0" labelOnly="1" outline="0" fieldPosition="0">
        <references count="4">
          <reference field="5" count="1" selected="0">
            <x v="219"/>
          </reference>
          <reference field="6" count="1" selected="0">
            <x v="650"/>
          </reference>
          <reference field="9" count="1" selected="0">
            <x v="0"/>
          </reference>
          <reference field="10" count="1">
            <x v="1"/>
          </reference>
        </references>
      </pivotArea>
    </format>
    <format dxfId="578">
      <pivotArea dataOnly="0" labelOnly="1" outline="0" fieldPosition="0">
        <references count="4">
          <reference field="5" count="1" selected="0">
            <x v="276"/>
          </reference>
          <reference field="6" count="1" selected="0">
            <x v="653"/>
          </reference>
          <reference field="9" count="1" selected="0">
            <x v="0"/>
          </reference>
          <reference field="10" count="1">
            <x v="1"/>
          </reference>
        </references>
      </pivotArea>
    </format>
    <format dxfId="577">
      <pivotArea dataOnly="0" labelOnly="1" outline="0" fieldPosition="0">
        <references count="4">
          <reference field="5" count="1" selected="0">
            <x v="100"/>
          </reference>
          <reference field="6" count="1" selected="0">
            <x v="654"/>
          </reference>
          <reference field="9" count="1" selected="0">
            <x v="0"/>
          </reference>
          <reference field="10" count="1">
            <x v="1"/>
          </reference>
        </references>
      </pivotArea>
    </format>
    <format dxfId="576">
      <pivotArea dataOnly="0" labelOnly="1" outline="0" fieldPosition="0">
        <references count="4">
          <reference field="5" count="1" selected="0">
            <x v="231"/>
          </reference>
          <reference field="6" count="1" selected="0">
            <x v="655"/>
          </reference>
          <reference field="9" count="1" selected="0">
            <x v="0"/>
          </reference>
          <reference field="10" count="1">
            <x v="1"/>
          </reference>
        </references>
      </pivotArea>
    </format>
    <format dxfId="575">
      <pivotArea dataOnly="0" labelOnly="1" outline="0" fieldPosition="0">
        <references count="4">
          <reference field="5" count="1" selected="0">
            <x v="256"/>
          </reference>
          <reference field="6" count="1" selected="0">
            <x v="656"/>
          </reference>
          <reference field="9" count="1" selected="0">
            <x v="0"/>
          </reference>
          <reference field="10" count="1">
            <x v="1"/>
          </reference>
        </references>
      </pivotArea>
    </format>
    <format dxfId="574">
      <pivotArea dataOnly="0" labelOnly="1" outline="0" fieldPosition="0">
        <references count="4">
          <reference field="5" count="1" selected="0">
            <x v="219"/>
          </reference>
          <reference field="6" count="1" selected="0">
            <x v="657"/>
          </reference>
          <reference field="9" count="1" selected="0">
            <x v="0"/>
          </reference>
          <reference field="10" count="1">
            <x v="1"/>
          </reference>
        </references>
      </pivotArea>
    </format>
    <format dxfId="573">
      <pivotArea dataOnly="0" labelOnly="1" outline="0" fieldPosition="0">
        <references count="4">
          <reference field="5" count="1" selected="0">
            <x v="326"/>
          </reference>
          <reference field="6" count="1" selected="0">
            <x v="660"/>
          </reference>
          <reference field="9" count="1" selected="0">
            <x v="0"/>
          </reference>
          <reference field="10" count="1">
            <x v="1"/>
          </reference>
        </references>
      </pivotArea>
    </format>
    <format dxfId="572">
      <pivotArea dataOnly="0" labelOnly="1" outline="0" fieldPosition="0">
        <references count="4">
          <reference field="5" count="1" selected="0">
            <x v="325"/>
          </reference>
          <reference field="6" count="1" selected="0">
            <x v="663"/>
          </reference>
          <reference field="9" count="1" selected="0">
            <x v="0"/>
          </reference>
          <reference field="10" count="1">
            <x v="1"/>
          </reference>
        </references>
      </pivotArea>
    </format>
    <format dxfId="571">
      <pivotArea dataOnly="0" labelOnly="1" outline="0" fieldPosition="0">
        <references count="4">
          <reference field="5" count="1" selected="0">
            <x v="247"/>
          </reference>
          <reference field="6" count="1" selected="0">
            <x v="664"/>
          </reference>
          <reference field="9" count="1" selected="0">
            <x v="0"/>
          </reference>
          <reference field="10" count="1">
            <x v="0"/>
          </reference>
        </references>
      </pivotArea>
    </format>
    <format dxfId="570">
      <pivotArea dataOnly="0" labelOnly="1" outline="0" fieldPosition="0">
        <references count="4">
          <reference field="5" count="1" selected="0">
            <x v="276"/>
          </reference>
          <reference field="6" count="1" selected="0">
            <x v="665"/>
          </reference>
          <reference field="9" count="1" selected="0">
            <x v="0"/>
          </reference>
          <reference field="10" count="1">
            <x v="2"/>
          </reference>
        </references>
      </pivotArea>
    </format>
    <format dxfId="569">
      <pivotArea dataOnly="0" labelOnly="1" outline="0" fieldPosition="0">
        <references count="4">
          <reference field="5" count="1" selected="0">
            <x v="100"/>
          </reference>
          <reference field="6" count="1" selected="0">
            <x v="666"/>
          </reference>
          <reference field="9" count="1" selected="0">
            <x v="0"/>
          </reference>
          <reference field="10" count="1">
            <x v="2"/>
          </reference>
        </references>
      </pivotArea>
    </format>
    <format dxfId="568">
      <pivotArea dataOnly="0" labelOnly="1" outline="0" fieldPosition="0">
        <references count="4">
          <reference field="5" count="1" selected="0">
            <x v="59"/>
          </reference>
          <reference field="6" count="1" selected="0">
            <x v="667"/>
          </reference>
          <reference field="9" count="1" selected="0">
            <x v="0"/>
          </reference>
          <reference field="10" count="1">
            <x v="2"/>
          </reference>
        </references>
      </pivotArea>
    </format>
    <format dxfId="567">
      <pivotArea dataOnly="0" labelOnly="1" outline="0" fieldPosition="0">
        <references count="4">
          <reference field="5" count="1" selected="0">
            <x v="231"/>
          </reference>
          <reference field="6" count="1" selected="0">
            <x v="668"/>
          </reference>
          <reference field="9" count="1" selected="0">
            <x v="0"/>
          </reference>
          <reference field="10" count="1">
            <x v="2"/>
          </reference>
        </references>
      </pivotArea>
    </format>
    <format dxfId="566">
      <pivotArea dataOnly="0" labelOnly="1" outline="0" fieldPosition="0">
        <references count="4">
          <reference field="5" count="1" selected="0">
            <x v="183"/>
          </reference>
          <reference field="6" count="1" selected="0">
            <x v="669"/>
          </reference>
          <reference field="9" count="1" selected="0">
            <x v="0"/>
          </reference>
          <reference field="10" count="1">
            <x v="2"/>
          </reference>
        </references>
      </pivotArea>
    </format>
    <format dxfId="565">
      <pivotArea dataOnly="0" labelOnly="1" outline="0" fieldPosition="0">
        <references count="4">
          <reference field="5" count="1" selected="0">
            <x v="278"/>
          </reference>
          <reference field="6" count="1" selected="0">
            <x v="671"/>
          </reference>
          <reference field="9" count="1" selected="0">
            <x v="0"/>
          </reference>
          <reference field="10" count="1">
            <x v="2"/>
          </reference>
        </references>
      </pivotArea>
    </format>
    <format dxfId="564">
      <pivotArea dataOnly="0" labelOnly="1" outline="0" fieldPosition="0">
        <references count="4">
          <reference field="5" count="1" selected="0">
            <x v="219"/>
          </reference>
          <reference field="6" count="1" selected="0">
            <x v="673"/>
          </reference>
          <reference field="9" count="1" selected="0">
            <x v="0"/>
          </reference>
          <reference field="10" count="1">
            <x v="2"/>
          </reference>
        </references>
      </pivotArea>
    </format>
    <format dxfId="563">
      <pivotArea dataOnly="0" labelOnly="1" outline="0" fieldPosition="0">
        <references count="4">
          <reference field="5" count="1" selected="0">
            <x v="0"/>
          </reference>
          <reference field="6" count="1" selected="0">
            <x v="675"/>
          </reference>
          <reference field="9" count="1" selected="0">
            <x v="0"/>
          </reference>
          <reference field="10" count="1">
            <x v="1"/>
          </reference>
        </references>
      </pivotArea>
    </format>
    <format dxfId="562">
      <pivotArea dataOnly="0" labelOnly="1" outline="0" fieldPosition="0">
        <references count="4">
          <reference field="5" count="1" selected="0">
            <x v="2"/>
          </reference>
          <reference field="6" count="1" selected="0">
            <x v="676"/>
          </reference>
          <reference field="9" count="1" selected="0">
            <x v="0"/>
          </reference>
          <reference field="10" count="1">
            <x v="1"/>
          </reference>
        </references>
      </pivotArea>
    </format>
    <format dxfId="561">
      <pivotArea dataOnly="0" labelOnly="1" outline="0" fieldPosition="0">
        <references count="4">
          <reference field="5" count="1" selected="0">
            <x v="1"/>
          </reference>
          <reference field="6" count="1" selected="0">
            <x v="677"/>
          </reference>
          <reference field="9" count="1" selected="0">
            <x v="0"/>
          </reference>
          <reference field="10" count="1">
            <x v="1"/>
          </reference>
        </references>
      </pivotArea>
    </format>
    <format dxfId="560">
      <pivotArea dataOnly="0" labelOnly="1" outline="0" fieldPosition="0">
        <references count="4">
          <reference field="5" count="1" selected="0">
            <x v="5"/>
          </reference>
          <reference field="6" count="1" selected="0">
            <x v="679"/>
          </reference>
          <reference field="9" count="1" selected="0">
            <x v="0"/>
          </reference>
          <reference field="10" count="1">
            <x v="1"/>
          </reference>
        </references>
      </pivotArea>
    </format>
    <format dxfId="559">
      <pivotArea dataOnly="0" labelOnly="1" outline="0" fieldPosition="0">
        <references count="4">
          <reference field="5" count="1" selected="0">
            <x v="3"/>
          </reference>
          <reference field="6" count="1" selected="0">
            <x v="681"/>
          </reference>
          <reference field="9" count="1" selected="0">
            <x v="0"/>
          </reference>
          <reference field="10" count="1">
            <x v="1"/>
          </reference>
        </references>
      </pivotArea>
    </format>
    <format dxfId="558">
      <pivotArea dataOnly="0" labelOnly="1" outline="0" fieldPosition="0">
        <references count="4">
          <reference field="5" count="1" selected="0">
            <x v="220"/>
          </reference>
          <reference field="6" count="1" selected="0">
            <x v="682"/>
          </reference>
          <reference field="9" count="1" selected="0">
            <x v="0"/>
          </reference>
          <reference field="10" count="1">
            <x v="0"/>
          </reference>
        </references>
      </pivotArea>
    </format>
    <format dxfId="557">
      <pivotArea dataOnly="0" labelOnly="1" outline="0" fieldPosition="0">
        <references count="4">
          <reference field="5" count="1" selected="0">
            <x v="174"/>
          </reference>
          <reference field="6" count="1" selected="0">
            <x v="683"/>
          </reference>
          <reference field="9" count="1" selected="0">
            <x v="0"/>
          </reference>
          <reference field="10" count="1">
            <x v="2"/>
          </reference>
        </references>
      </pivotArea>
    </format>
    <format dxfId="556">
      <pivotArea dataOnly="0" labelOnly="1" outline="0" fieldPosition="0">
        <references count="4">
          <reference field="5" count="1" selected="0">
            <x v="109"/>
          </reference>
          <reference field="6" count="1" selected="0">
            <x v="684"/>
          </reference>
          <reference field="9" count="1" selected="0">
            <x v="0"/>
          </reference>
          <reference field="10" count="1">
            <x v="1"/>
          </reference>
        </references>
      </pivotArea>
    </format>
    <format dxfId="555">
      <pivotArea dataOnly="0" labelOnly="1" outline="0" fieldPosition="0">
        <references count="4">
          <reference field="5" count="1" selected="0">
            <x v="108"/>
          </reference>
          <reference field="6" count="1" selected="0">
            <x v="685"/>
          </reference>
          <reference field="9" count="1" selected="0">
            <x v="0"/>
          </reference>
          <reference field="10" count="1">
            <x v="1"/>
          </reference>
        </references>
      </pivotArea>
    </format>
    <format dxfId="554">
      <pivotArea dataOnly="0" labelOnly="1" outline="0" fieldPosition="0">
        <references count="4">
          <reference field="5" count="1" selected="0">
            <x v="91"/>
          </reference>
          <reference field="6" count="1" selected="0">
            <x v="688"/>
          </reference>
          <reference field="9" count="1" selected="0">
            <x v="0"/>
          </reference>
          <reference field="10" count="1">
            <x v="2"/>
          </reference>
        </references>
      </pivotArea>
    </format>
    <format dxfId="553">
      <pivotArea dataOnly="0" labelOnly="1" outline="0" fieldPosition="0">
        <references count="4">
          <reference field="5" count="1" selected="0">
            <x v="169"/>
          </reference>
          <reference field="6" count="1" selected="0">
            <x v="689"/>
          </reference>
          <reference field="9" count="1" selected="0">
            <x v="0"/>
          </reference>
          <reference field="10" count="1">
            <x v="1"/>
          </reference>
        </references>
      </pivotArea>
    </format>
    <format dxfId="552">
      <pivotArea dataOnly="0" labelOnly="1" outline="0" fieldPosition="0">
        <references count="4">
          <reference field="5" count="1" selected="0">
            <x v="68"/>
          </reference>
          <reference field="6" count="1" selected="0">
            <x v="700"/>
          </reference>
          <reference field="9" count="1" selected="0">
            <x v="0"/>
          </reference>
          <reference field="10" count="1">
            <x v="1"/>
          </reference>
        </references>
      </pivotArea>
    </format>
    <format dxfId="551">
      <pivotArea dataOnly="0" labelOnly="1" outline="0" fieldPosition="0">
        <references count="4">
          <reference field="5" count="1" selected="0">
            <x v="323"/>
          </reference>
          <reference field="6" count="1" selected="0">
            <x v="701"/>
          </reference>
          <reference field="9" count="1" selected="0">
            <x v="0"/>
          </reference>
          <reference field="10" count="1">
            <x v="1"/>
          </reference>
        </references>
      </pivotArea>
    </format>
    <format dxfId="550">
      <pivotArea dataOnly="0" labelOnly="1" outline="0" fieldPosition="0">
        <references count="4">
          <reference field="5" count="1" selected="0">
            <x v="32"/>
          </reference>
          <reference field="6" count="1" selected="0">
            <x v="702"/>
          </reference>
          <reference field="9" count="1" selected="0">
            <x v="0"/>
          </reference>
          <reference field="10" count="1">
            <x v="1"/>
          </reference>
        </references>
      </pivotArea>
    </format>
    <format dxfId="549">
      <pivotArea dataOnly="0" labelOnly="1" outline="0" fieldPosition="0">
        <references count="4">
          <reference field="5" count="1" selected="0">
            <x v="320"/>
          </reference>
          <reference field="6" count="1" selected="0">
            <x v="703"/>
          </reference>
          <reference field="9" count="1" selected="0">
            <x v="0"/>
          </reference>
          <reference field="10" count="1">
            <x v="1"/>
          </reference>
        </references>
      </pivotArea>
    </format>
    <format dxfId="548">
      <pivotArea dataOnly="0" labelOnly="1" outline="0" fieldPosition="0">
        <references count="4">
          <reference field="5" count="1" selected="0">
            <x v="247"/>
          </reference>
          <reference field="6" count="1" selected="0">
            <x v="705"/>
          </reference>
          <reference field="9" count="1" selected="0">
            <x v="0"/>
          </reference>
          <reference field="10" count="1">
            <x v="1"/>
          </reference>
        </references>
      </pivotArea>
    </format>
    <format dxfId="547">
      <pivotArea dataOnly="0" labelOnly="1" outline="0" fieldPosition="0">
        <references count="4">
          <reference field="5" count="1" selected="0">
            <x v="220"/>
          </reference>
          <reference field="6" count="1" selected="0">
            <x v="706"/>
          </reference>
          <reference field="9" count="1" selected="0">
            <x v="0"/>
          </reference>
          <reference field="10" count="1">
            <x v="1"/>
          </reference>
        </references>
      </pivotArea>
    </format>
    <format dxfId="546">
      <pivotArea dataOnly="0" labelOnly="1" outline="0" fieldPosition="0">
        <references count="4">
          <reference field="5" count="1" selected="0">
            <x v="174"/>
          </reference>
          <reference field="6" count="1" selected="0">
            <x v="707"/>
          </reference>
          <reference field="9" count="1" selected="0">
            <x v="0"/>
          </reference>
          <reference field="10" count="1">
            <x v="1"/>
          </reference>
        </references>
      </pivotArea>
    </format>
    <format dxfId="545">
      <pivotArea dataOnly="0" labelOnly="1" outline="0" fieldPosition="0">
        <references count="4">
          <reference field="5" count="1" selected="0">
            <x v="125"/>
          </reference>
          <reference field="6" count="1" selected="0">
            <x v="708"/>
          </reference>
          <reference field="9" count="1" selected="0">
            <x v="0"/>
          </reference>
          <reference field="10" count="1">
            <x v="1"/>
          </reference>
        </references>
      </pivotArea>
    </format>
    <format dxfId="544">
      <pivotArea dataOnly="0" labelOnly="1" outline="0" fieldPosition="0">
        <references count="4">
          <reference field="5" count="1" selected="0">
            <x v="123"/>
          </reference>
          <reference field="6" count="1" selected="0">
            <x v="709"/>
          </reference>
          <reference field="9" count="1" selected="0">
            <x v="0"/>
          </reference>
          <reference field="10" count="1">
            <x v="1"/>
          </reference>
        </references>
      </pivotArea>
    </format>
    <format dxfId="543">
      <pivotArea dataOnly="0" labelOnly="1" outline="0" fieldPosition="0">
        <references count="4">
          <reference field="5" count="1" selected="0">
            <x v="327"/>
          </reference>
          <reference field="6" count="1" selected="0">
            <x v="710"/>
          </reference>
          <reference field="9" count="1" selected="0">
            <x v="0"/>
          </reference>
          <reference field="10" count="1">
            <x v="2"/>
          </reference>
        </references>
      </pivotArea>
    </format>
    <format dxfId="542">
      <pivotArea dataOnly="0" labelOnly="1" outline="0" fieldPosition="0">
        <references count="4">
          <reference field="5" count="1" selected="0">
            <x v="328"/>
          </reference>
          <reference field="6" count="1" selected="0">
            <x v="711"/>
          </reference>
          <reference field="9" count="1" selected="0">
            <x v="0"/>
          </reference>
          <reference field="10" count="1">
            <x v="1"/>
          </reference>
        </references>
      </pivotArea>
    </format>
    <format dxfId="541">
      <pivotArea dataOnly="0" labelOnly="1" outline="0" fieldPosition="0">
        <references count="4">
          <reference field="5" count="1" selected="0">
            <x v="329"/>
          </reference>
          <reference field="6" count="1" selected="0">
            <x v="712"/>
          </reference>
          <reference field="9" count="1" selected="0">
            <x v="0"/>
          </reference>
          <reference field="10" count="1">
            <x v="1"/>
          </reference>
        </references>
      </pivotArea>
    </format>
    <format dxfId="540">
      <pivotArea dataOnly="0" labelOnly="1" outline="0" fieldPosition="0">
        <references count="4">
          <reference field="5" count="1" selected="0">
            <x v="136"/>
          </reference>
          <reference field="6" count="1" selected="0">
            <x v="713"/>
          </reference>
          <reference field="9" count="1" selected="0">
            <x v="0"/>
          </reference>
          <reference field="10" count="1">
            <x v="2"/>
          </reference>
        </references>
      </pivotArea>
    </format>
    <format dxfId="539">
      <pivotArea dataOnly="0" labelOnly="1" outline="0" fieldPosition="0">
        <references count="4">
          <reference field="5" count="1" selected="0">
            <x v="158"/>
          </reference>
          <reference field="6" count="1" selected="0">
            <x v="714"/>
          </reference>
          <reference field="9" count="1" selected="0">
            <x v="0"/>
          </reference>
          <reference field="10" count="1">
            <x v="1"/>
          </reference>
        </references>
      </pivotArea>
    </format>
    <format dxfId="538">
      <pivotArea dataOnly="0" labelOnly="1" outline="0" fieldPosition="0">
        <references count="4">
          <reference field="5" count="1" selected="0">
            <x v="14"/>
          </reference>
          <reference field="6" count="1" selected="0">
            <x v="715"/>
          </reference>
          <reference field="9" count="1" selected="0">
            <x v="0"/>
          </reference>
          <reference field="10" count="1">
            <x v="1"/>
          </reference>
        </references>
      </pivotArea>
    </format>
    <format dxfId="537">
      <pivotArea dataOnly="0" labelOnly="1" outline="0" fieldPosition="0">
        <references count="4">
          <reference field="5" count="1" selected="0">
            <x v="219"/>
          </reference>
          <reference field="6" count="1" selected="0">
            <x v="716"/>
          </reference>
          <reference field="9" count="1" selected="0">
            <x v="0"/>
          </reference>
          <reference field="10" count="1">
            <x v="1"/>
          </reference>
        </references>
      </pivotArea>
    </format>
    <format dxfId="536">
      <pivotArea dataOnly="0" labelOnly="1" outline="0" fieldPosition="0">
        <references count="4">
          <reference field="5" count="1" selected="0">
            <x v="133"/>
          </reference>
          <reference field="6" count="1" selected="0">
            <x v="718"/>
          </reference>
          <reference field="9" count="1" selected="0">
            <x v="0"/>
          </reference>
          <reference field="10" count="1">
            <x v="2"/>
          </reference>
        </references>
      </pivotArea>
    </format>
    <format dxfId="535">
      <pivotArea dataOnly="0" labelOnly="1" outline="0" fieldPosition="0">
        <references count="4">
          <reference field="5" count="1" selected="0">
            <x v="117"/>
          </reference>
          <reference field="6" count="1" selected="0">
            <x v="721"/>
          </reference>
          <reference field="9" count="1" selected="0">
            <x v="0"/>
          </reference>
          <reference field="10" count="1">
            <x v="1"/>
          </reference>
        </references>
      </pivotArea>
    </format>
    <format dxfId="534">
      <pivotArea dataOnly="0" labelOnly="1" outline="0" fieldPosition="0">
        <references count="4">
          <reference field="5" count="1" selected="0">
            <x v="219"/>
          </reference>
          <reference field="6" count="1" selected="0">
            <x v="725"/>
          </reference>
          <reference field="9" count="1" selected="0">
            <x v="0"/>
          </reference>
          <reference field="10" count="1">
            <x v="1"/>
          </reference>
        </references>
      </pivotArea>
    </format>
    <format dxfId="533">
      <pivotArea dataOnly="0" labelOnly="1" outline="0" fieldPosition="0">
        <references count="4">
          <reference field="5" count="1" selected="0">
            <x v="330"/>
          </reference>
          <reference field="6" count="1" selected="0">
            <x v="728"/>
          </reference>
          <reference field="9" count="1" selected="0">
            <x v="0"/>
          </reference>
          <reference field="10" count="1">
            <x v="1"/>
          </reference>
        </references>
      </pivotArea>
    </format>
    <format dxfId="532">
      <pivotArea dataOnly="0" labelOnly="1" outline="0" fieldPosition="0">
        <references count="4">
          <reference field="5" count="1" selected="0">
            <x v="277"/>
          </reference>
          <reference field="6" count="1" selected="0">
            <x v="730"/>
          </reference>
          <reference field="9" count="1" selected="0">
            <x v="0"/>
          </reference>
          <reference field="10" count="1">
            <x v="2"/>
          </reference>
        </references>
      </pivotArea>
    </format>
    <format dxfId="531">
      <pivotArea dataOnly="0" labelOnly="1" outline="0" fieldPosition="0">
        <references count="4">
          <reference field="5" count="1" selected="0">
            <x v="83"/>
          </reference>
          <reference field="6" count="1" selected="0">
            <x v="732"/>
          </reference>
          <reference field="9" count="1" selected="0">
            <x v="0"/>
          </reference>
          <reference field="10" count="1">
            <x v="1"/>
          </reference>
        </references>
      </pivotArea>
    </format>
    <format dxfId="530">
      <pivotArea dataOnly="0" labelOnly="1" outline="0" fieldPosition="0">
        <references count="4">
          <reference field="5" count="1" selected="0">
            <x v="86"/>
          </reference>
          <reference field="6" count="1" selected="0">
            <x v="733"/>
          </reference>
          <reference field="9" count="1" selected="0">
            <x v="0"/>
          </reference>
          <reference field="10" count="1">
            <x v="1"/>
          </reference>
        </references>
      </pivotArea>
    </format>
    <format dxfId="529">
      <pivotArea dataOnly="0" labelOnly="1" outline="0" fieldPosition="0">
        <references count="4">
          <reference field="5" count="1" selected="0">
            <x v="219"/>
          </reference>
          <reference field="6" count="1" selected="0">
            <x v="734"/>
          </reference>
          <reference field="9" count="1" selected="0">
            <x v="0"/>
          </reference>
          <reference field="10" count="1">
            <x v="2"/>
          </reference>
        </references>
      </pivotArea>
    </format>
    <format dxfId="528">
      <pivotArea dataOnly="0" labelOnly="1" outline="0" fieldPosition="0">
        <references count="4">
          <reference field="5" count="1" selected="0">
            <x v="144"/>
          </reference>
          <reference field="6" count="1" selected="0">
            <x v="735"/>
          </reference>
          <reference field="9" count="1" selected="0">
            <x v="0"/>
          </reference>
          <reference field="10" count="1">
            <x v="1"/>
          </reference>
        </references>
      </pivotArea>
    </format>
    <format dxfId="527">
      <pivotArea dataOnly="0" labelOnly="1" outline="0" fieldPosition="0">
        <references count="4">
          <reference field="5" count="1" selected="0">
            <x v="225"/>
          </reference>
          <reference field="6" count="1" selected="0">
            <x v="736"/>
          </reference>
          <reference field="9" count="1" selected="0">
            <x v="0"/>
          </reference>
          <reference field="10" count="1">
            <x v="1"/>
          </reference>
        </references>
      </pivotArea>
    </format>
    <format dxfId="526">
      <pivotArea dataOnly="0" labelOnly="1" outline="0" fieldPosition="0">
        <references count="4">
          <reference field="5" count="1" selected="0">
            <x v="119"/>
          </reference>
          <reference field="6" count="1" selected="0">
            <x v="738"/>
          </reference>
          <reference field="9" count="1" selected="0">
            <x v="0"/>
          </reference>
          <reference field="10" count="1">
            <x v="1"/>
          </reference>
        </references>
      </pivotArea>
    </format>
    <format dxfId="525">
      <pivotArea dataOnly="0" labelOnly="1" outline="0" fieldPosition="0">
        <references count="4">
          <reference field="5" count="1" selected="0">
            <x v="289"/>
          </reference>
          <reference field="6" count="1" selected="0">
            <x v="739"/>
          </reference>
          <reference field="9" count="1" selected="0">
            <x v="0"/>
          </reference>
          <reference field="10" count="1">
            <x v="1"/>
          </reference>
        </references>
      </pivotArea>
    </format>
    <format dxfId="524">
      <pivotArea dataOnly="0" labelOnly="1" outline="0" fieldPosition="0">
        <references count="4">
          <reference field="5" count="1" selected="0">
            <x v="236"/>
          </reference>
          <reference field="6" count="1" selected="0">
            <x v="744"/>
          </reference>
          <reference field="9" count="1" selected="0">
            <x v="1"/>
          </reference>
          <reference field="10" count="1">
            <x v="3"/>
          </reference>
        </references>
      </pivotArea>
    </format>
    <format dxfId="523">
      <pivotArea dataOnly="0" labelOnly="1" outline="0" fieldPosition="0">
        <references count="4">
          <reference field="5" count="1" selected="0">
            <x v="124"/>
          </reference>
          <reference field="6" count="1" selected="0">
            <x v="749"/>
          </reference>
          <reference field="9" count="1" selected="0">
            <x v="1"/>
          </reference>
          <reference field="10" count="1">
            <x v="1"/>
          </reference>
        </references>
      </pivotArea>
    </format>
    <format dxfId="522">
      <pivotArea dataOnly="0" labelOnly="1" outline="0" fieldPosition="0">
        <references count="4">
          <reference field="5" count="1" selected="0">
            <x v="200"/>
          </reference>
          <reference field="6" count="1" selected="0">
            <x v="752"/>
          </reference>
          <reference field="9" count="1" selected="0">
            <x v="1"/>
          </reference>
          <reference field="10" count="1">
            <x v="2"/>
          </reference>
        </references>
      </pivotArea>
    </format>
    <format dxfId="521">
      <pivotArea dataOnly="0" labelOnly="1" outline="0" fieldPosition="0">
        <references count="4">
          <reference field="5" count="1" selected="0">
            <x v="202"/>
          </reference>
          <reference field="6" count="1" selected="0">
            <x v="753"/>
          </reference>
          <reference field="9" count="1" selected="0">
            <x v="1"/>
          </reference>
          <reference field="10" count="1">
            <x v="1"/>
          </reference>
        </references>
      </pivotArea>
    </format>
    <format dxfId="520">
      <pivotArea dataOnly="0" labelOnly="1" outline="0" fieldPosition="0">
        <references count="4">
          <reference field="5" count="1" selected="0">
            <x v="203"/>
          </reference>
          <reference field="6" count="1" selected="0">
            <x v="754"/>
          </reference>
          <reference field="9" count="1" selected="0">
            <x v="1"/>
          </reference>
          <reference field="10" count="1">
            <x v="1"/>
          </reference>
        </references>
      </pivotArea>
    </format>
    <format dxfId="519">
      <pivotArea dataOnly="0" labelOnly="1" outline="0" fieldPosition="0">
        <references count="4">
          <reference field="5" count="1" selected="0">
            <x v="204"/>
          </reference>
          <reference field="6" count="1" selected="0">
            <x v="765"/>
          </reference>
          <reference field="9" count="1" selected="0">
            <x v="1"/>
          </reference>
          <reference field="10" count="1">
            <x v="0"/>
          </reference>
        </references>
      </pivotArea>
    </format>
    <format dxfId="518">
      <pivotArea dataOnly="0" labelOnly="1" outline="0" fieldPosition="0">
        <references count="4">
          <reference field="5" count="1" selected="0">
            <x v="128"/>
          </reference>
          <reference field="6" count="1" selected="0">
            <x v="766"/>
          </reference>
          <reference field="9" count="1" selected="0">
            <x v="1"/>
          </reference>
          <reference field="10" count="1">
            <x v="2"/>
          </reference>
        </references>
      </pivotArea>
    </format>
    <format dxfId="517">
      <pivotArea dataOnly="0" labelOnly="1" outline="0" fieldPosition="0">
        <references count="4">
          <reference field="5" count="1" selected="0">
            <x v="26"/>
          </reference>
          <reference field="6" count="1" selected="0">
            <x v="767"/>
          </reference>
          <reference field="9" count="1" selected="0">
            <x v="1"/>
          </reference>
          <reference field="10" count="1">
            <x v="1"/>
          </reference>
        </references>
      </pivotArea>
    </format>
    <format dxfId="516">
      <pivotArea dataOnly="0" labelOnly="1" outline="0" fieldPosition="0">
        <references count="4">
          <reference field="5" count="1" selected="0">
            <x v="216"/>
          </reference>
          <reference field="6" count="1" selected="0">
            <x v="768"/>
          </reference>
          <reference field="9" count="1" selected="0">
            <x v="1"/>
          </reference>
          <reference field="10" count="1">
            <x v="1"/>
          </reference>
        </references>
      </pivotArea>
    </format>
    <format dxfId="515">
      <pivotArea dataOnly="0" labelOnly="1" outline="0" fieldPosition="0">
        <references count="4">
          <reference field="5" count="1" selected="0">
            <x v="157"/>
          </reference>
          <reference field="6" count="1" selected="0">
            <x v="769"/>
          </reference>
          <reference field="9" count="1" selected="0">
            <x v="1"/>
          </reference>
          <reference field="10" count="1">
            <x v="1"/>
          </reference>
        </references>
      </pivotArea>
    </format>
    <format dxfId="514">
      <pivotArea dataOnly="0" labelOnly="1" outline="0" fieldPosition="0">
        <references count="4">
          <reference field="5" count="1" selected="0">
            <x v="201"/>
          </reference>
          <reference field="6" count="1" selected="0">
            <x v="770"/>
          </reference>
          <reference field="9" count="1" selected="0">
            <x v="1"/>
          </reference>
          <reference field="10" count="1">
            <x v="2"/>
          </reference>
        </references>
      </pivotArea>
    </format>
    <format dxfId="513">
      <pivotArea dataOnly="0" labelOnly="1" outline="0" fieldPosition="0">
        <references count="4">
          <reference field="5" count="1" selected="0">
            <x v="26"/>
          </reference>
          <reference field="6" count="1" selected="0">
            <x v="772"/>
          </reference>
          <reference field="9" count="1" selected="0">
            <x v="1"/>
          </reference>
          <reference field="10" count="1">
            <x v="1"/>
          </reference>
        </references>
      </pivotArea>
    </format>
    <format dxfId="512">
      <pivotArea dataOnly="0" labelOnly="1" outline="0" fieldPosition="0">
        <references count="4">
          <reference field="5" count="1" selected="0">
            <x v="216"/>
          </reference>
          <reference field="6" count="1" selected="0">
            <x v="773"/>
          </reference>
          <reference field="9" count="1" selected="0">
            <x v="1"/>
          </reference>
          <reference field="10" count="1">
            <x v="1"/>
          </reference>
        </references>
      </pivotArea>
    </format>
    <format dxfId="511">
      <pivotArea dataOnly="0" labelOnly="1" outline="0" fieldPosition="0">
        <references count="4">
          <reference field="5" count="1" selected="0">
            <x v="157"/>
          </reference>
          <reference field="6" count="1" selected="0">
            <x v="774"/>
          </reference>
          <reference field="9" count="1" selected="0">
            <x v="1"/>
          </reference>
          <reference field="10" count="1">
            <x v="1"/>
          </reference>
        </references>
      </pivotArea>
    </format>
    <format dxfId="510">
      <pivotArea dataOnly="0" labelOnly="1" outline="0" fieldPosition="0">
        <references count="4">
          <reference field="5" count="1" selected="0">
            <x v="208"/>
          </reference>
          <reference field="6" count="1" selected="0">
            <x v="775"/>
          </reference>
          <reference field="9" count="1" selected="0">
            <x v="1"/>
          </reference>
          <reference field="10" count="1">
            <x v="2"/>
          </reference>
        </references>
      </pivotArea>
    </format>
    <format dxfId="509">
      <pivotArea dataOnly="0" labelOnly="1" outline="0" fieldPosition="0">
        <references count="4">
          <reference field="5" count="1" selected="0">
            <x v="192"/>
          </reference>
          <reference field="6" count="1" selected="0">
            <x v="776"/>
          </reference>
          <reference field="9" count="1" selected="0">
            <x v="1"/>
          </reference>
          <reference field="10" count="1">
            <x v="0"/>
          </reference>
        </references>
      </pivotArea>
    </format>
    <format dxfId="508">
      <pivotArea dataOnly="0" labelOnly="1" outline="0" fieldPosition="0">
        <references count="4">
          <reference field="5" count="1" selected="0">
            <x v="139"/>
          </reference>
          <reference field="6" count="1" selected="0">
            <x v="777"/>
          </reference>
          <reference field="9" count="1" selected="0">
            <x v="1"/>
          </reference>
          <reference field="10" count="1">
            <x v="2"/>
          </reference>
        </references>
      </pivotArea>
    </format>
    <format dxfId="507">
      <pivotArea dataOnly="0" labelOnly="1" outline="0" fieldPosition="0">
        <references count="4">
          <reference field="5" count="1" selected="0">
            <x v="138"/>
          </reference>
          <reference field="6" count="1" selected="0">
            <x v="778"/>
          </reference>
          <reference field="9" count="1" selected="0">
            <x v="1"/>
          </reference>
          <reference field="10" count="1">
            <x v="1"/>
          </reference>
        </references>
      </pivotArea>
    </format>
    <format dxfId="506">
      <pivotArea dataOnly="0" labelOnly="1" outline="0" fieldPosition="0">
        <references count="4">
          <reference field="5" count="1" selected="0">
            <x v="50"/>
          </reference>
          <reference field="6" count="1" selected="0">
            <x v="779"/>
          </reference>
          <reference field="9" count="1" selected="0">
            <x v="1"/>
          </reference>
          <reference field="10" count="1">
            <x v="1"/>
          </reference>
        </references>
      </pivotArea>
    </format>
    <format dxfId="505">
      <pivotArea dataOnly="0" labelOnly="1" outline="0" fieldPosition="0">
        <references count="4">
          <reference field="5" count="1" selected="0">
            <x v="37"/>
          </reference>
          <reference field="6" count="1" selected="0">
            <x v="781"/>
          </reference>
          <reference field="9" count="1" selected="0">
            <x v="1"/>
          </reference>
          <reference field="10" count="1">
            <x v="1"/>
          </reference>
        </references>
      </pivotArea>
    </format>
    <format dxfId="504">
      <pivotArea dataOnly="0" labelOnly="1" outline="0" fieldPosition="0">
        <references count="4">
          <reference field="5" count="1" selected="0">
            <x v="187"/>
          </reference>
          <reference field="6" count="1" selected="0">
            <x v="782"/>
          </reference>
          <reference field="9" count="1" selected="0">
            <x v="1"/>
          </reference>
          <reference field="10" count="1">
            <x v="1"/>
          </reference>
        </references>
      </pivotArea>
    </format>
    <format dxfId="503">
      <pivotArea dataOnly="0" labelOnly="1" outline="0" fieldPosition="0">
        <references count="4">
          <reference field="5" count="1" selected="0">
            <x v="89"/>
          </reference>
          <reference field="6" count="1" selected="0">
            <x v="785"/>
          </reference>
          <reference field="9" count="1" selected="0">
            <x v="1"/>
          </reference>
          <reference field="10" count="1">
            <x v="2"/>
          </reference>
        </references>
      </pivotArea>
    </format>
    <format dxfId="502">
      <pivotArea dataOnly="0" labelOnly="1" outline="0" fieldPosition="0">
        <references count="4">
          <reference field="5" count="1" selected="0">
            <x v="70"/>
          </reference>
          <reference field="6" count="1" selected="0">
            <x v="787"/>
          </reference>
          <reference field="9" count="1" selected="0">
            <x v="1"/>
          </reference>
          <reference field="10" count="1">
            <x v="0"/>
          </reference>
        </references>
      </pivotArea>
    </format>
    <format dxfId="501">
      <pivotArea dataOnly="0" labelOnly="1" outline="0" fieldPosition="0">
        <references count="4">
          <reference field="5" count="1" selected="0">
            <x v="162"/>
          </reference>
          <reference field="6" count="1" selected="0">
            <x v="788"/>
          </reference>
          <reference field="9" count="1" selected="0">
            <x v="1"/>
          </reference>
          <reference field="10" count="1">
            <x v="2"/>
          </reference>
        </references>
      </pivotArea>
    </format>
    <format dxfId="500">
      <pivotArea dataOnly="0" labelOnly="1" outline="0" fieldPosition="0">
        <references count="4">
          <reference field="5" count="1" selected="0">
            <x v="200"/>
          </reference>
          <reference field="6" count="1" selected="0">
            <x v="790"/>
          </reference>
          <reference field="9" count="1" selected="0">
            <x v="1"/>
          </reference>
          <reference field="10" count="1">
            <x v="1"/>
          </reference>
        </references>
      </pivotArea>
    </format>
    <format dxfId="499">
      <pivotArea dataOnly="0" labelOnly="1" outline="0" fieldPosition="0">
        <references count="4">
          <reference field="5" count="1" selected="0">
            <x v="128"/>
          </reference>
          <reference field="6" count="1" selected="0">
            <x v="793"/>
          </reference>
          <reference field="9" count="1" selected="0">
            <x v="1"/>
          </reference>
          <reference field="10" count="1">
            <x v="1"/>
          </reference>
        </references>
      </pivotArea>
    </format>
    <format dxfId="498">
      <pivotArea dataOnly="0" labelOnly="1" outline="0" fieldPosition="0">
        <references count="4">
          <reference field="5" count="1" selected="0">
            <x v="201"/>
          </reference>
          <reference field="6" count="1" selected="0">
            <x v="794"/>
          </reference>
          <reference field="9" count="1" selected="0">
            <x v="1"/>
          </reference>
          <reference field="10" count="1">
            <x v="1"/>
          </reference>
        </references>
      </pivotArea>
    </format>
    <format dxfId="497">
      <pivotArea dataOnly="0" labelOnly="1" outline="0" fieldPosition="0">
        <references count="4">
          <reference field="5" count="1" selected="0">
            <x v="191"/>
          </reference>
          <reference field="6" count="1" selected="0">
            <x v="795"/>
          </reference>
          <reference field="9" count="1" selected="0">
            <x v="1"/>
          </reference>
          <reference field="10" count="1">
            <x v="1"/>
          </reference>
        </references>
      </pivotArea>
    </format>
    <format dxfId="496">
      <pivotArea dataOnly="0" labelOnly="1" outline="0" fieldPosition="0">
        <references count="4">
          <reference field="5" count="1" selected="0">
            <x v="37"/>
          </reference>
          <reference field="6" count="1" selected="0">
            <x v="796"/>
          </reference>
          <reference field="9" count="1" selected="0">
            <x v="1"/>
          </reference>
          <reference field="10" count="1">
            <x v="1"/>
          </reference>
        </references>
      </pivotArea>
    </format>
    <format dxfId="495">
      <pivotArea dataOnly="0" labelOnly="1" outline="0" fieldPosition="0">
        <references count="4">
          <reference field="5" count="1" selected="0">
            <x v="187"/>
          </reference>
          <reference field="6" count="1" selected="0">
            <x v="797"/>
          </reference>
          <reference field="9" count="1" selected="0">
            <x v="1"/>
          </reference>
          <reference field="10" count="1">
            <x v="1"/>
          </reference>
        </references>
      </pivotArea>
    </format>
    <format dxfId="494">
      <pivotArea dataOnly="0" labelOnly="1" outline="0" fieldPosition="0">
        <references count="4">
          <reference field="5" count="1" selected="0">
            <x v="219"/>
          </reference>
          <reference field="6" count="1" selected="0">
            <x v="799"/>
          </reference>
          <reference field="9" count="1" selected="0">
            <x v="1"/>
          </reference>
          <reference field="10" count="1">
            <x v="1"/>
          </reference>
        </references>
      </pivotArea>
    </format>
    <format dxfId="493">
      <pivotArea dataOnly="0" labelOnly="1" outline="0" fieldPosition="0">
        <references count="4">
          <reference field="5" count="1" selected="0">
            <x v="56"/>
          </reference>
          <reference field="6" count="1" selected="0">
            <x v="800"/>
          </reference>
          <reference field="9" count="1" selected="0">
            <x v="1"/>
          </reference>
          <reference field="10" count="1">
            <x v="2"/>
          </reference>
        </references>
      </pivotArea>
    </format>
    <format dxfId="492">
      <pivotArea dataOnly="0" labelOnly="1" outline="0" fieldPosition="0">
        <references count="4">
          <reference field="5" count="1" selected="0">
            <x v="194"/>
          </reference>
          <reference field="6" count="1" selected="0">
            <x v="801"/>
          </reference>
          <reference field="9" count="1" selected="0">
            <x v="1"/>
          </reference>
          <reference field="10" count="1">
            <x v="2"/>
          </reference>
        </references>
      </pivotArea>
    </format>
    <format dxfId="491">
      <pivotArea dataOnly="0" labelOnly="1" outline="0" fieldPosition="0">
        <references count="4">
          <reference field="5" count="1" selected="0">
            <x v="257"/>
          </reference>
          <reference field="6" count="1" selected="0">
            <x v="802"/>
          </reference>
          <reference field="9" count="1" selected="0">
            <x v="1"/>
          </reference>
          <reference field="10" count="1">
            <x v="1"/>
          </reference>
        </references>
      </pivotArea>
    </format>
    <format dxfId="490">
      <pivotArea dataOnly="0" labelOnly="1" outline="0" fieldPosition="0">
        <references count="4">
          <reference field="5" count="1" selected="0">
            <x v="30"/>
          </reference>
          <reference field="6" count="1" selected="0">
            <x v="803"/>
          </reference>
          <reference field="9" count="1" selected="0">
            <x v="1"/>
          </reference>
          <reference field="10" count="1">
            <x v="1"/>
          </reference>
        </references>
      </pivotArea>
    </format>
    <format dxfId="489">
      <pivotArea dataOnly="0" labelOnly="1" outline="0" fieldPosition="0">
        <references count="4">
          <reference field="5" count="1" selected="0">
            <x v="19"/>
          </reference>
          <reference field="6" count="1" selected="0">
            <x v="804"/>
          </reference>
          <reference field="9" count="1" selected="0">
            <x v="1"/>
          </reference>
          <reference field="10" count="1">
            <x v="1"/>
          </reference>
        </references>
      </pivotArea>
    </format>
    <format dxfId="488">
      <pivotArea dataOnly="0" labelOnly="1" outline="0" fieldPosition="0">
        <references count="4">
          <reference field="5" count="1" selected="0">
            <x v="121"/>
          </reference>
          <reference field="6" count="1" selected="0">
            <x v="805"/>
          </reference>
          <reference field="9" count="1" selected="0">
            <x v="1"/>
          </reference>
          <reference field="10" count="1">
            <x v="1"/>
          </reference>
        </references>
      </pivotArea>
    </format>
    <format dxfId="487">
      <pivotArea dataOnly="0" labelOnly="1" outline="0" fieldPosition="0">
        <references count="4">
          <reference field="5" count="1" selected="0">
            <x v="209"/>
          </reference>
          <reference field="6" count="1" selected="0">
            <x v="808"/>
          </reference>
          <reference field="9" count="1" selected="0">
            <x v="1"/>
          </reference>
          <reference field="10" count="1">
            <x v="1"/>
          </reference>
        </references>
      </pivotArea>
    </format>
    <format dxfId="486">
      <pivotArea dataOnly="0" labelOnly="1" outline="0" fieldPosition="0">
        <references count="4">
          <reference field="5" count="1" selected="0">
            <x v="265"/>
          </reference>
          <reference field="6" count="1" selected="0">
            <x v="809"/>
          </reference>
          <reference field="9" count="1" selected="0">
            <x v="1"/>
          </reference>
          <reference field="10" count="1">
            <x v="2"/>
          </reference>
        </references>
      </pivotArea>
    </format>
    <format dxfId="485">
      <pivotArea dataOnly="0" labelOnly="1" outline="0" fieldPosition="0">
        <references count="4">
          <reference field="5" count="1" selected="0">
            <x v="266"/>
          </reference>
          <reference field="6" count="1" selected="0">
            <x v="810"/>
          </reference>
          <reference field="9" count="1" selected="0">
            <x v="1"/>
          </reference>
          <reference field="10" count="1">
            <x v="1"/>
          </reference>
        </references>
      </pivotArea>
    </format>
    <format dxfId="484">
      <pivotArea dataOnly="0" labelOnly="1" outline="0" fieldPosition="0">
        <references count="4">
          <reference field="5" count="1" selected="0">
            <x v="218"/>
          </reference>
          <reference field="6" count="1" selected="0">
            <x v="811"/>
          </reference>
          <reference field="9" count="1" selected="0">
            <x v="1"/>
          </reference>
          <reference field="10" count="1">
            <x v="1"/>
          </reference>
        </references>
      </pivotArea>
    </format>
    <format dxfId="483">
      <pivotArea dataOnly="0" labelOnly="1" outline="0" fieldPosition="0">
        <references count="4">
          <reference field="5" count="1" selected="0">
            <x v="63"/>
          </reference>
          <reference field="6" count="1" selected="0">
            <x v="812"/>
          </reference>
          <reference field="9" count="1" selected="0">
            <x v="1"/>
          </reference>
          <reference field="10" count="1">
            <x v="2"/>
          </reference>
        </references>
      </pivotArea>
    </format>
    <format dxfId="482">
      <pivotArea dataOnly="0" labelOnly="1" outline="0" fieldPosition="0">
        <references count="4">
          <reference field="5" count="1" selected="0">
            <x v="142"/>
          </reference>
          <reference field="6" count="1" selected="0">
            <x v="813"/>
          </reference>
          <reference field="9" count="1" selected="0">
            <x v="1"/>
          </reference>
          <reference field="10" count="1">
            <x v="1"/>
          </reference>
        </references>
      </pivotArea>
    </format>
    <format dxfId="481">
      <pivotArea dataOnly="0" labelOnly="1" outline="0" fieldPosition="0">
        <references count="4">
          <reference field="5" count="1" selected="0">
            <x v="184"/>
          </reference>
          <reference field="6" count="1" selected="0">
            <x v="814"/>
          </reference>
          <reference field="9" count="1" selected="0">
            <x v="1"/>
          </reference>
          <reference field="10" count="1">
            <x v="1"/>
          </reference>
        </references>
      </pivotArea>
    </format>
    <format dxfId="480">
      <pivotArea dataOnly="0" labelOnly="1" outline="0" fieldPosition="0">
        <references count="4">
          <reference field="5" count="1" selected="0">
            <x v="210"/>
          </reference>
          <reference field="6" count="1" selected="0">
            <x v="815"/>
          </reference>
          <reference field="9" count="1" selected="0">
            <x v="1"/>
          </reference>
          <reference field="10" count="1">
            <x v="1"/>
          </reference>
        </references>
      </pivotArea>
    </format>
    <format dxfId="479">
      <pivotArea dataOnly="0" labelOnly="1" outline="0" fieldPosition="0">
        <references count="4">
          <reference field="5" count="1" selected="0">
            <x v="248"/>
          </reference>
          <reference field="6" count="1" selected="0">
            <x v="816"/>
          </reference>
          <reference field="9" count="1" selected="0">
            <x v="1"/>
          </reference>
          <reference field="10" count="1">
            <x v="2"/>
          </reference>
        </references>
      </pivotArea>
    </format>
    <format dxfId="478">
      <pivotArea dataOnly="0" labelOnly="1" outline="0" fieldPosition="0">
        <references count="4">
          <reference field="5" count="1" selected="0">
            <x v="195"/>
          </reference>
          <reference field="6" count="1" selected="0">
            <x v="817"/>
          </reference>
          <reference field="9" count="1" selected="0">
            <x v="1"/>
          </reference>
          <reference field="10" count="1">
            <x v="2"/>
          </reference>
        </references>
      </pivotArea>
    </format>
    <format dxfId="477">
      <pivotArea dataOnly="0" labelOnly="1" outline="0" fieldPosition="0">
        <references count="4">
          <reference field="5" count="1" selected="0">
            <x v="61"/>
          </reference>
          <reference field="6" count="1" selected="0">
            <x v="820"/>
          </reference>
          <reference field="9" count="1" selected="0">
            <x v="1"/>
          </reference>
          <reference field="10" count="1">
            <x v="1"/>
          </reference>
        </references>
      </pivotArea>
    </format>
    <format dxfId="476">
      <pivotArea dataOnly="0" labelOnly="1" outline="0" fieldPosition="0">
        <references count="4">
          <reference field="5" count="1" selected="0">
            <x v="71"/>
          </reference>
          <reference field="6" count="1" selected="0">
            <x v="821"/>
          </reference>
          <reference field="9" count="1" selected="0">
            <x v="1"/>
          </reference>
          <reference field="10" count="1">
            <x v="2"/>
          </reference>
        </references>
      </pivotArea>
    </format>
    <format dxfId="475">
      <pivotArea dataOnly="0" labelOnly="1" outline="0" fieldPosition="0">
        <references count="4">
          <reference field="5" count="1" selected="0">
            <x v="251"/>
          </reference>
          <reference field="6" count="1" selected="0">
            <x v="822"/>
          </reference>
          <reference field="9" count="1" selected="0">
            <x v="1"/>
          </reference>
          <reference field="10" count="1">
            <x v="2"/>
          </reference>
        </references>
      </pivotArea>
    </format>
    <format dxfId="474">
      <pivotArea dataOnly="0" labelOnly="1" outline="0" fieldPosition="0">
        <references count="4">
          <reference field="5" count="1" selected="0">
            <x v="72"/>
          </reference>
          <reference field="6" count="1" selected="0">
            <x v="823"/>
          </reference>
          <reference field="9" count="1" selected="0">
            <x v="1"/>
          </reference>
          <reference field="10" count="1">
            <x v="2"/>
          </reference>
        </references>
      </pivotArea>
    </format>
    <format dxfId="473">
      <pivotArea dataOnly="0" labelOnly="1" outline="0" fieldPosition="0">
        <references count="4">
          <reference field="5" count="1" selected="0">
            <x v="118"/>
          </reference>
          <reference field="6" count="1" selected="0">
            <x v="824"/>
          </reference>
          <reference field="9" count="1" selected="0">
            <x v="1"/>
          </reference>
          <reference field="10" count="1">
            <x v="1"/>
          </reference>
        </references>
      </pivotArea>
    </format>
    <format dxfId="472">
      <pivotArea dataOnly="0" labelOnly="1" outline="0" fieldPosition="0">
        <references count="4">
          <reference field="5" count="1" selected="0">
            <x v="47"/>
          </reference>
          <reference field="6" count="1" selected="0">
            <x v="825"/>
          </reference>
          <reference field="9" count="1" selected="0">
            <x v="1"/>
          </reference>
          <reference field="10" count="1">
            <x v="1"/>
          </reference>
        </references>
      </pivotArea>
    </format>
    <format dxfId="471">
      <pivotArea dataOnly="0" labelOnly="1" outline="0" fieldPosition="0">
        <references count="4">
          <reference field="5" count="1" selected="0">
            <x v="215"/>
          </reference>
          <reference field="6" count="1" selected="0">
            <x v="826"/>
          </reference>
          <reference field="9" count="1" selected="0">
            <x v="1"/>
          </reference>
          <reference field="10" count="1">
            <x v="1"/>
          </reference>
        </references>
      </pivotArea>
    </format>
    <format dxfId="470">
      <pivotArea dataOnly="0" labelOnly="1" outline="0" fieldPosition="0">
        <references count="4">
          <reference field="5" count="1" selected="0">
            <x v="191"/>
          </reference>
          <reference field="6" count="1" selected="0">
            <x v="827"/>
          </reference>
          <reference field="9" count="1" selected="0">
            <x v="1"/>
          </reference>
          <reference field="10" count="1">
            <x v="0"/>
          </reference>
        </references>
      </pivotArea>
    </format>
    <format dxfId="469">
      <pivotArea dataOnly="0" labelOnly="1" outline="0" fieldPosition="0">
        <references count="4">
          <reference field="5" count="1" selected="0">
            <x v="273"/>
          </reference>
          <reference field="6" count="1" selected="0">
            <x v="828"/>
          </reference>
          <reference field="9" count="1" selected="0">
            <x v="1"/>
          </reference>
          <reference field="10" count="1">
            <x v="2"/>
          </reference>
        </references>
      </pivotArea>
    </format>
    <format dxfId="468">
      <pivotArea dataOnly="0" labelOnly="1" outline="0" fieldPosition="0">
        <references count="4">
          <reference field="5" count="1" selected="0">
            <x v="189"/>
          </reference>
          <reference field="6" count="1" selected="0">
            <x v="835"/>
          </reference>
          <reference field="9" count="1" selected="0">
            <x v="1"/>
          </reference>
          <reference field="10" count="1">
            <x v="2"/>
          </reference>
        </references>
      </pivotArea>
    </format>
    <format dxfId="467">
      <pivotArea dataOnly="0" labelOnly="1" outline="0" fieldPosition="0">
        <references count="4">
          <reference field="5" count="1" selected="0">
            <x v="190"/>
          </reference>
          <reference field="6" count="1" selected="0">
            <x v="847"/>
          </reference>
          <reference field="9" count="1" selected="0">
            <x v="1"/>
          </reference>
          <reference field="10" count="1">
            <x v="2"/>
          </reference>
        </references>
      </pivotArea>
    </format>
    <format dxfId="466">
      <pivotArea dataOnly="0" labelOnly="1" outline="0" fieldPosition="0">
        <references count="4">
          <reference field="5" count="1" selected="0">
            <x v="188"/>
          </reference>
          <reference field="6" count="1" selected="0">
            <x v="859"/>
          </reference>
          <reference field="9" count="1" selected="0">
            <x v="1"/>
          </reference>
          <reference field="10" count="1">
            <x v="2"/>
          </reference>
        </references>
      </pivotArea>
    </format>
    <format dxfId="465">
      <pivotArea dataOnly="0" labelOnly="1" outline="0" fieldPosition="0">
        <references count="4">
          <reference field="5" count="1" selected="0">
            <x v="241"/>
          </reference>
          <reference field="6" count="1" selected="0">
            <x v="861"/>
          </reference>
          <reference field="9" count="1" selected="0">
            <x v="1"/>
          </reference>
          <reference field="10" count="1">
            <x v="1"/>
          </reference>
        </references>
      </pivotArea>
    </format>
    <format dxfId="464">
      <pivotArea dataOnly="0" labelOnly="1" outline="0" fieldPosition="0">
        <references count="4">
          <reference field="5" count="1" selected="0">
            <x v="331"/>
          </reference>
          <reference field="6" count="1" selected="0">
            <x v="862"/>
          </reference>
          <reference field="9" count="1" selected="0">
            <x v="1"/>
          </reference>
          <reference field="10" count="1">
            <x v="1"/>
          </reference>
        </references>
      </pivotArea>
    </format>
    <format dxfId="463">
      <pivotArea dataOnly="0" labelOnly="1" outline="0" fieldPosition="0">
        <references count="4">
          <reference field="5" count="1" selected="0">
            <x v="217"/>
          </reference>
          <reference field="6" count="1" selected="0">
            <x v="863"/>
          </reference>
          <reference field="9" count="1" selected="0">
            <x v="1"/>
          </reference>
          <reference field="10" count="1">
            <x v="2"/>
          </reference>
        </references>
      </pivotArea>
    </format>
    <format dxfId="462">
      <pivotArea dataOnly="0" labelOnly="1" outline="0" fieldPosition="0">
        <references count="4">
          <reference field="5" count="1" selected="0">
            <x v="37"/>
          </reference>
          <reference field="6" count="1" selected="0">
            <x v="870"/>
          </reference>
          <reference field="9" count="1" selected="0">
            <x v="1"/>
          </reference>
          <reference field="10" count="1">
            <x v="2"/>
          </reference>
        </references>
      </pivotArea>
    </format>
    <format dxfId="461">
      <pivotArea dataOnly="0" labelOnly="1" outline="0" fieldPosition="0">
        <references count="4">
          <reference field="5" count="1" selected="0">
            <x v="187"/>
          </reference>
          <reference field="6" count="1" selected="0">
            <x v="872"/>
          </reference>
          <reference field="9" count="1" selected="0">
            <x v="1"/>
          </reference>
          <reference field="10" count="1">
            <x v="2"/>
          </reference>
        </references>
      </pivotArea>
    </format>
    <format dxfId="460">
      <pivotArea dataOnly="0" labelOnly="1" outline="0" fieldPosition="0">
        <references count="4">
          <reference field="5" count="1" selected="0">
            <x v="104"/>
          </reference>
          <reference field="6" count="1" selected="0">
            <x v="873"/>
          </reference>
          <reference field="9" count="1" selected="0">
            <x v="1"/>
          </reference>
          <reference field="10" count="1">
            <x v="1"/>
          </reference>
        </references>
      </pivotArea>
    </format>
    <format dxfId="459">
      <pivotArea dataOnly="0" labelOnly="1" outline="0" fieldPosition="0">
        <references count="4">
          <reference field="5" count="1" selected="0">
            <x v="232"/>
          </reference>
          <reference field="6" count="1" selected="0">
            <x v="877"/>
          </reference>
          <reference field="9" count="1" selected="0">
            <x v="1"/>
          </reference>
          <reference field="10" count="1">
            <x v="0"/>
          </reference>
        </references>
      </pivotArea>
    </format>
    <format dxfId="458">
      <pivotArea dataOnly="0" labelOnly="1" outline="0" fieldPosition="0">
        <references count="4">
          <reference field="5" count="1" selected="0">
            <x v="153"/>
          </reference>
          <reference field="6" count="1" selected="0">
            <x v="878"/>
          </reference>
          <reference field="9" count="1" selected="0">
            <x v="1"/>
          </reference>
          <reference field="10" count="1">
            <x v="2"/>
          </reference>
        </references>
      </pivotArea>
    </format>
    <format dxfId="457">
      <pivotArea dataOnly="0" labelOnly="1" outline="0" fieldPosition="0">
        <references count="4">
          <reference field="5" count="1" selected="0">
            <x v="261"/>
          </reference>
          <reference field="6" count="1" selected="0">
            <x v="879"/>
          </reference>
          <reference field="9" count="1" selected="0">
            <x v="1"/>
          </reference>
          <reference field="10" count="1">
            <x v="1"/>
          </reference>
        </references>
      </pivotArea>
    </format>
    <format dxfId="456">
      <pivotArea dataOnly="0" labelOnly="1" outline="0" fieldPosition="0">
        <references count="4">
          <reference field="5" count="1" selected="0">
            <x v="12"/>
          </reference>
          <reference field="6" count="1" selected="0">
            <x v="880"/>
          </reference>
          <reference field="9" count="1" selected="0">
            <x v="1"/>
          </reference>
          <reference field="10" count="1">
            <x v="1"/>
          </reference>
        </references>
      </pivotArea>
    </format>
    <format dxfId="455">
      <pivotArea dataOnly="0" labelOnly="1" outline="0" fieldPosition="0">
        <references count="4">
          <reference field="5" count="1" selected="0">
            <x v="219"/>
          </reference>
          <reference field="6" count="1" selected="0">
            <x v="881"/>
          </reference>
          <reference field="9" count="1" selected="0">
            <x v="1"/>
          </reference>
          <reference field="10" count="1">
            <x v="1"/>
          </reference>
        </references>
      </pivotArea>
    </format>
    <format dxfId="454">
      <pivotArea dataOnly="0" labelOnly="1" outline="0" fieldPosition="0">
        <references count="4">
          <reference field="5" count="1" selected="0">
            <x v="332"/>
          </reference>
          <reference field="6" count="1" selected="0">
            <x v="883"/>
          </reference>
          <reference field="9" count="1" selected="0">
            <x v="1"/>
          </reference>
          <reference field="10" count="1">
            <x v="2"/>
          </reference>
        </references>
      </pivotArea>
    </format>
    <format dxfId="453">
      <pivotArea dataOnly="0" labelOnly="1" outline="0" fieldPosition="0">
        <references count="4">
          <reference field="5" count="1" selected="0">
            <x v="277"/>
          </reference>
          <reference field="6" count="1" selected="0">
            <x v="884"/>
          </reference>
          <reference field="9" count="1" selected="0">
            <x v="1"/>
          </reference>
          <reference field="10" count="1">
            <x v="2"/>
          </reference>
        </references>
      </pivotArea>
    </format>
    <format dxfId="452">
      <pivotArea dataOnly="0" labelOnly="1" outline="0" fieldPosition="0">
        <references count="4">
          <reference field="5" count="1" selected="0">
            <x v="219"/>
          </reference>
          <reference field="6" count="1" selected="0">
            <x v="886"/>
          </reference>
          <reference field="9" count="1" selected="0">
            <x v="1"/>
          </reference>
          <reference field="10" count="1">
            <x v="2"/>
          </reference>
        </references>
      </pivotArea>
    </format>
    <format dxfId="451">
      <pivotArea dataOnly="0" labelOnly="1" outline="0" fieldPosition="0">
        <references count="4">
          <reference field="5" count="1" selected="0">
            <x v="272"/>
          </reference>
          <reference field="6" count="1" selected="0">
            <x v="887"/>
          </reference>
          <reference field="9" count="1" selected="0">
            <x v="1"/>
          </reference>
          <reference field="10" count="1">
            <x v="1"/>
          </reference>
        </references>
      </pivotArea>
    </format>
    <format dxfId="450">
      <pivotArea dataOnly="0" labelOnly="1" outline="0" fieldPosition="0">
        <references count="4">
          <reference field="5" count="1" selected="0">
            <x v="290"/>
          </reference>
          <reference field="6" count="1" selected="0">
            <x v="888"/>
          </reference>
          <reference field="9" count="1" selected="0">
            <x v="1"/>
          </reference>
          <reference field="10" count="1">
            <x v="1"/>
          </reference>
        </references>
      </pivotArea>
    </format>
    <format dxfId="449">
      <pivotArea dataOnly="0" labelOnly="1" outline="0" fieldPosition="0">
        <references count="4">
          <reference field="5" count="1" selected="0">
            <x v="239"/>
          </reference>
          <reference field="6" count="1" selected="0">
            <x v="889"/>
          </reference>
          <reference field="9" count="1" selected="0">
            <x v="2"/>
          </reference>
          <reference field="10" count="1">
            <x v="3"/>
          </reference>
        </references>
      </pivotArea>
    </format>
    <format dxfId="448">
      <pivotArea dataOnly="0" labelOnly="1" outline="0" fieldPosition="0">
        <references count="4">
          <reference field="5" count="1" selected="0">
            <x v="41"/>
          </reference>
          <reference field="6" count="1" selected="0">
            <x v="890"/>
          </reference>
          <reference field="9" count="1" selected="0">
            <x v="2"/>
          </reference>
          <reference field="10" count="1">
            <x v="0"/>
          </reference>
        </references>
      </pivotArea>
    </format>
    <format dxfId="447">
      <pivotArea dataOnly="0" labelOnly="1" outline="0" fieldPosition="0">
        <references count="4">
          <reference field="5" count="1" selected="0">
            <x v="20"/>
          </reference>
          <reference field="6" count="1" selected="0">
            <x v="891"/>
          </reference>
          <reference field="9" count="1" selected="0">
            <x v="2"/>
          </reference>
          <reference field="10" count="1">
            <x v="2"/>
          </reference>
        </references>
      </pivotArea>
    </format>
    <format dxfId="446">
      <pivotArea dataOnly="0" labelOnly="1" outline="0" fieldPosition="0">
        <references count="4">
          <reference field="5" count="1" selected="0">
            <x v="333"/>
          </reference>
          <reference field="6" count="1" selected="0">
            <x v="892"/>
          </reference>
          <reference field="9" count="1" selected="0">
            <x v="2"/>
          </reference>
          <reference field="10" count="1">
            <x v="0"/>
          </reference>
        </references>
      </pivotArea>
    </format>
    <format dxfId="445">
      <pivotArea dataOnly="0" labelOnly="1" outline="0" fieldPosition="0">
        <references count="4">
          <reference field="5" count="1" selected="0">
            <x v="263"/>
          </reference>
          <reference field="6" count="1" selected="0">
            <x v="894"/>
          </reference>
          <reference field="9" count="1" selected="0">
            <x v="2"/>
          </reference>
          <reference field="10" count="1">
            <x v="0"/>
          </reference>
        </references>
      </pivotArea>
    </format>
    <format dxfId="444">
      <pivotArea dataOnly="0" labelOnly="1" outline="0" fieldPosition="0">
        <references count="4">
          <reference field="5" count="1" selected="0">
            <x v="122"/>
          </reference>
          <reference field="6" count="1" selected="0">
            <x v="895"/>
          </reference>
          <reference field="9" count="1" selected="0">
            <x v="2"/>
          </reference>
          <reference field="10" count="1">
            <x v="2"/>
          </reference>
        </references>
      </pivotArea>
    </format>
    <format dxfId="443">
      <pivotArea dataOnly="0" labelOnly="1" outline="0" fieldPosition="0">
        <references count="4">
          <reference field="5" count="1" selected="0">
            <x v="262"/>
          </reference>
          <reference field="6" count="1" selected="0">
            <x v="896"/>
          </reference>
          <reference field="9" count="1" selected="0">
            <x v="2"/>
          </reference>
          <reference field="10" count="1">
            <x v="1"/>
          </reference>
        </references>
      </pivotArea>
    </format>
    <format dxfId="442">
      <pivotArea dataOnly="0" labelOnly="1" outline="0" fieldPosition="0">
        <references count="4">
          <reference field="5" count="1" selected="0">
            <x v="99"/>
          </reference>
          <reference field="6" count="1" selected="0">
            <x v="897"/>
          </reference>
          <reference field="9" count="1" selected="0">
            <x v="2"/>
          </reference>
          <reference field="10" count="1">
            <x v="1"/>
          </reference>
        </references>
      </pivotArea>
    </format>
    <format dxfId="441">
      <pivotArea dataOnly="0" labelOnly="1" outline="0" fieldPosition="0">
        <references count="4">
          <reference field="5" count="1" selected="0">
            <x v="334"/>
          </reference>
          <reference field="6" count="1" selected="0">
            <x v="898"/>
          </reference>
          <reference field="9" count="1" selected="0">
            <x v="2"/>
          </reference>
          <reference field="10" count="1">
            <x v="1"/>
          </reference>
        </references>
      </pivotArea>
    </format>
    <format dxfId="440">
      <pivotArea dataOnly="0" labelOnly="1" outline="0" fieldPosition="0">
        <references count="4">
          <reference field="5" count="1" selected="0">
            <x v="137"/>
          </reference>
          <reference field="6" count="1" selected="0">
            <x v="899"/>
          </reference>
          <reference field="9" count="1" selected="0">
            <x v="2"/>
          </reference>
          <reference field="10" count="1">
            <x v="2"/>
          </reference>
        </references>
      </pivotArea>
    </format>
    <format dxfId="439">
      <pivotArea dataOnly="0" labelOnly="1" outline="0" fieldPosition="0">
        <references count="4">
          <reference field="5" count="1" selected="0">
            <x v="115"/>
          </reference>
          <reference field="6" count="1" selected="0">
            <x v="900"/>
          </reference>
          <reference field="9" count="1" selected="0">
            <x v="2"/>
          </reference>
          <reference field="10" count="1">
            <x v="2"/>
          </reference>
        </references>
      </pivotArea>
    </format>
    <format dxfId="438">
      <pivotArea dataOnly="0" labelOnly="1" outline="0" fieldPosition="0">
        <references count="4">
          <reference field="5" count="1" selected="0">
            <x v="244"/>
          </reference>
          <reference field="6" count="1" selected="0">
            <x v="902"/>
          </reference>
          <reference field="9" count="1" selected="0">
            <x v="2"/>
          </reference>
          <reference field="10" count="1">
            <x v="2"/>
          </reference>
        </references>
      </pivotArea>
    </format>
    <format dxfId="437">
      <pivotArea dataOnly="0" labelOnly="1" outline="0" fieldPosition="0">
        <references count="4">
          <reference field="5" count="1" selected="0">
            <x v="221"/>
          </reference>
          <reference field="6" count="1" selected="0">
            <x v="903"/>
          </reference>
          <reference field="9" count="1" selected="0">
            <x v="2"/>
          </reference>
          <reference field="10" count="1">
            <x v="0"/>
          </reference>
        </references>
      </pivotArea>
    </format>
    <format dxfId="436">
      <pivotArea dataOnly="0" labelOnly="1" outline="0" fieldPosition="0">
        <references count="4">
          <reference field="5" count="1" selected="0">
            <x v="221"/>
          </reference>
          <reference field="6" count="1" selected="0">
            <x v="904"/>
          </reference>
          <reference field="9" count="1" selected="0">
            <x v="2"/>
          </reference>
          <reference field="10" count="1">
            <x v="2"/>
          </reference>
        </references>
      </pivotArea>
    </format>
    <format dxfId="435">
      <pivotArea dataOnly="0" labelOnly="1" outline="0" fieldPosition="0">
        <references count="4">
          <reference field="5" count="1" selected="0">
            <x v="264"/>
          </reference>
          <reference field="6" count="1" selected="0">
            <x v="909"/>
          </reference>
          <reference field="9" count="1" selected="0">
            <x v="2"/>
          </reference>
          <reference field="10" count="1">
            <x v="0"/>
          </reference>
        </references>
      </pivotArea>
    </format>
    <format dxfId="434">
      <pivotArea dataOnly="0" labelOnly="1" outline="0" fieldPosition="0">
        <references count="4">
          <reference field="5" count="1" selected="0">
            <x v="285"/>
          </reference>
          <reference field="6" count="1" selected="0">
            <x v="910"/>
          </reference>
          <reference field="9" count="1" selected="0">
            <x v="2"/>
          </reference>
          <reference field="10" count="1">
            <x v="2"/>
          </reference>
        </references>
      </pivotArea>
    </format>
    <format dxfId="433">
      <pivotArea dataOnly="0" labelOnly="1" outline="0" fieldPosition="0">
        <references count="4">
          <reference field="5" count="1" selected="0">
            <x v="282"/>
          </reference>
          <reference field="6" count="1" selected="0">
            <x v="912"/>
          </reference>
          <reference field="9" count="1" selected="0">
            <x v="2"/>
          </reference>
          <reference field="10" count="1">
            <x v="2"/>
          </reference>
        </references>
      </pivotArea>
    </format>
    <format dxfId="432">
      <pivotArea dataOnly="0" labelOnly="1" outline="0" fieldPosition="0">
        <references count="4">
          <reference field="5" count="1" selected="0">
            <x v="130"/>
          </reference>
          <reference field="6" count="1" selected="0">
            <x v="914"/>
          </reference>
          <reference field="9" count="1" selected="0">
            <x v="3"/>
          </reference>
          <reference field="10" count="1">
            <x v="3"/>
          </reference>
        </references>
      </pivotArea>
    </format>
    <format dxfId="431">
      <pivotArea dataOnly="0" labelOnly="1" outline="0" fieldPosition="0">
        <references count="4">
          <reference field="5" count="1" selected="0">
            <x v="159"/>
          </reference>
          <reference field="6" count="1" selected="0">
            <x v="915"/>
          </reference>
          <reference field="9" count="1" selected="0">
            <x v="3"/>
          </reference>
          <reference field="10" count="1">
            <x v="0"/>
          </reference>
        </references>
      </pivotArea>
    </format>
    <format dxfId="430">
      <pivotArea dataOnly="0" labelOnly="1" outline="0" fieldPosition="0">
        <references count="4">
          <reference field="5" count="1" selected="0">
            <x v="124"/>
          </reference>
          <reference field="6" count="1" selected="0">
            <x v="918"/>
          </reference>
          <reference field="9" count="1" selected="0">
            <x v="3"/>
          </reference>
          <reference field="10" count="1">
            <x v="1"/>
          </reference>
        </references>
      </pivotArea>
    </format>
    <format dxfId="429">
      <pivotArea dataOnly="0" labelOnly="1" outline="0" fieldPosition="0">
        <references count="4">
          <reference field="5" count="1" selected="0">
            <x v="200"/>
          </reference>
          <reference field="6" count="1" selected="0">
            <x v="919"/>
          </reference>
          <reference field="9" count="1" selected="0">
            <x v="3"/>
          </reference>
          <reference field="10" count="1">
            <x v="1"/>
          </reference>
        </references>
      </pivotArea>
    </format>
    <format dxfId="428">
      <pivotArea dataOnly="0" labelOnly="1" outline="0" fieldPosition="0">
        <references count="4">
          <reference field="5" count="1" selected="0">
            <x v="219"/>
          </reference>
          <reference field="6" count="1" selected="0">
            <x v="923"/>
          </reference>
          <reference field="9" count="1" selected="0">
            <x v="3"/>
          </reference>
          <reference field="10" count="1">
            <x v="1"/>
          </reference>
        </references>
      </pivotArea>
    </format>
    <format dxfId="427">
      <pivotArea dataOnly="0" labelOnly="1" outline="0" fieldPosition="0">
        <references count="4">
          <reference field="5" count="1" selected="0">
            <x v="204"/>
          </reference>
          <reference field="6" count="1" selected="0">
            <x v="924"/>
          </reference>
          <reference field="9" count="1" selected="0">
            <x v="3"/>
          </reference>
          <reference field="10" count="1">
            <x v="2"/>
          </reference>
        </references>
      </pivotArea>
    </format>
    <format dxfId="426">
      <pivotArea dataOnly="0" labelOnly="1" outline="0" fieldPosition="0">
        <references count="4">
          <reference field="5" count="1" selected="0">
            <x v="126"/>
          </reference>
          <reference field="6" count="1" selected="0">
            <x v="925"/>
          </reference>
          <reference field="9" count="1" selected="0">
            <x v="3"/>
          </reference>
          <reference field="10" count="1">
            <x v="1"/>
          </reference>
        </references>
      </pivotArea>
    </format>
    <format dxfId="425">
      <pivotArea dataOnly="0" labelOnly="1" outline="0" fieldPosition="0">
        <references count="4">
          <reference field="5" count="1" selected="0">
            <x v="201"/>
          </reference>
          <reference field="6" count="1" selected="0">
            <x v="926"/>
          </reference>
          <reference field="9" count="1" selected="0">
            <x v="3"/>
          </reference>
          <reference field="10" count="1">
            <x v="1"/>
          </reference>
        </references>
      </pivotArea>
    </format>
    <format dxfId="424">
      <pivotArea dataOnly="0" labelOnly="1" outline="0" fieldPosition="0">
        <references count="4">
          <reference field="5" count="1" selected="0">
            <x v="191"/>
          </reference>
          <reference field="6" count="1" selected="0">
            <x v="927"/>
          </reference>
          <reference field="9" count="1" selected="0">
            <x v="3"/>
          </reference>
          <reference field="10" count="1">
            <x v="2"/>
          </reference>
        </references>
      </pivotArea>
    </format>
    <format dxfId="423">
      <pivotArea dataOnly="0" labelOnly="1" outline="0" fieldPosition="0">
        <references count="4">
          <reference field="5" count="1" selected="0">
            <x v="273"/>
          </reference>
          <reference field="6" count="1" selected="0">
            <x v="928"/>
          </reference>
          <reference field="9" count="1" selected="0">
            <x v="3"/>
          </reference>
          <reference field="10" count="1">
            <x v="1"/>
          </reference>
        </references>
      </pivotArea>
    </format>
    <format dxfId="422">
      <pivotArea dataOnly="0" labelOnly="1" outline="0" fieldPosition="0">
        <references count="4">
          <reference field="5" count="1" selected="0">
            <x v="189"/>
          </reference>
          <reference field="6" count="1" selected="0">
            <x v="930"/>
          </reference>
          <reference field="9" count="1" selected="0">
            <x v="3"/>
          </reference>
          <reference field="10" count="1">
            <x v="1"/>
          </reference>
        </references>
      </pivotArea>
    </format>
    <format dxfId="421">
      <pivotArea dataOnly="0" labelOnly="1" outline="0" fieldPosition="0">
        <references count="4">
          <reference field="5" count="1" selected="0">
            <x v="190"/>
          </reference>
          <reference field="6" count="1" selected="0">
            <x v="932"/>
          </reference>
          <reference field="9" count="1" selected="0">
            <x v="3"/>
          </reference>
          <reference field="10" count="1">
            <x v="1"/>
          </reference>
        </references>
      </pivotArea>
    </format>
    <format dxfId="420">
      <pivotArea dataOnly="0" labelOnly="1" outline="0" fieldPosition="0">
        <references count="4">
          <reference field="5" count="1" selected="0">
            <x v="217"/>
          </reference>
          <reference field="6" count="1" selected="0">
            <x v="934"/>
          </reference>
          <reference field="9" count="1" selected="0">
            <x v="3"/>
          </reference>
          <reference field="10" count="1">
            <x v="1"/>
          </reference>
        </references>
      </pivotArea>
    </format>
    <format dxfId="419">
      <pivotArea dataOnly="0" labelOnly="1" outline="0" fieldPosition="0">
        <references count="4">
          <reference field="5" count="1" selected="0">
            <x v="37"/>
          </reference>
          <reference field="6" count="1" selected="0">
            <x v="936"/>
          </reference>
          <reference field="9" count="1" selected="0">
            <x v="3"/>
          </reference>
          <reference field="10" count="1">
            <x v="1"/>
          </reference>
        </references>
      </pivotArea>
    </format>
    <format dxfId="418">
      <pivotArea dataOnly="0" labelOnly="1" outline="0" fieldPosition="0">
        <references count="4">
          <reference field="5" count="1" selected="0">
            <x v="187"/>
          </reference>
          <reference field="6" count="1" selected="0">
            <x v="937"/>
          </reference>
          <reference field="9" count="1" selected="0">
            <x v="3"/>
          </reference>
          <reference field="10" count="1">
            <x v="1"/>
          </reference>
        </references>
      </pivotArea>
    </format>
    <format dxfId="417">
      <pivotArea dataOnly="0" labelOnly="1" outline="0" fieldPosition="0">
        <references count="4">
          <reference field="5" count="1" selected="0">
            <x v="228"/>
          </reference>
          <reference field="6" count="1" selected="0">
            <x v="939"/>
          </reference>
          <reference field="9" count="1" selected="0">
            <x v="3"/>
          </reference>
          <reference field="10" count="1">
            <x v="2"/>
          </reference>
        </references>
      </pivotArea>
    </format>
    <format dxfId="416">
      <pivotArea dataOnly="0" labelOnly="1" outline="0" fieldPosition="0">
        <references count="4">
          <reference field="5" count="1" selected="0">
            <x v="219"/>
          </reference>
          <reference field="6" count="1" selected="0">
            <x v="940"/>
          </reference>
          <reference field="9" count="1" selected="0">
            <x v="3"/>
          </reference>
          <reference field="10" count="1">
            <x v="1"/>
          </reference>
        </references>
      </pivotArea>
    </format>
    <format dxfId="415">
      <pivotArea dataOnly="0" labelOnly="1" outline="0" fieldPosition="0">
        <references count="4">
          <reference field="5" count="1" selected="0">
            <x v="53"/>
          </reference>
          <reference field="6" count="1" selected="0">
            <x v="941"/>
          </reference>
          <reference field="9" count="1" selected="0">
            <x v="3"/>
          </reference>
          <reference field="10" count="1">
            <x v="0"/>
          </reference>
        </references>
      </pivotArea>
    </format>
    <format dxfId="414">
      <pivotArea dataOnly="0" labelOnly="1" outline="0" fieldPosition="0">
        <references count="4">
          <reference field="5" count="1" selected="0">
            <x v="191"/>
          </reference>
          <reference field="6" count="1" selected="0">
            <x v="942"/>
          </reference>
          <reference field="9" count="1" selected="0">
            <x v="3"/>
          </reference>
          <reference field="10" count="1">
            <x v="2"/>
          </reference>
        </references>
      </pivotArea>
    </format>
    <format dxfId="413">
      <pivotArea dataOnly="0" labelOnly="1" outline="0" fieldPosition="0">
        <references count="4">
          <reference field="5" count="1" selected="0">
            <x v="198"/>
          </reference>
          <reference field="6" count="1" selected="0">
            <x v="943"/>
          </reference>
          <reference field="9" count="1" selected="0">
            <x v="3"/>
          </reference>
          <reference field="10" count="1">
            <x v="2"/>
          </reference>
        </references>
      </pivotArea>
    </format>
    <format dxfId="412">
      <pivotArea dataOnly="0" labelOnly="1" outline="0" fieldPosition="0">
        <references count="4">
          <reference field="5" count="1" selected="0">
            <x v="50"/>
          </reference>
          <reference field="6" count="1" selected="0">
            <x v="944"/>
          </reference>
          <reference field="9" count="1" selected="0">
            <x v="3"/>
          </reference>
          <reference field="10" count="1">
            <x v="2"/>
          </reference>
        </references>
      </pivotArea>
    </format>
    <format dxfId="411">
      <pivotArea dataOnly="0" labelOnly="1" outline="0" fieldPosition="0">
        <references count="4">
          <reference field="5" count="1" selected="0">
            <x v="242"/>
          </reference>
          <reference field="6" count="1" selected="0">
            <x v="945"/>
          </reference>
          <reference field="9" count="1" selected="0">
            <x v="3"/>
          </reference>
          <reference field="10" count="1">
            <x v="2"/>
          </reference>
        </references>
      </pivotArea>
    </format>
    <format dxfId="410">
      <pivotArea dataOnly="0" labelOnly="1" outline="0" fieldPosition="0">
        <references count="4">
          <reference field="5" count="1" selected="0">
            <x v="270"/>
          </reference>
          <reference field="6" count="1" selected="0">
            <x v="946"/>
          </reference>
          <reference field="9" count="1" selected="0">
            <x v="3"/>
          </reference>
          <reference field="10" count="1">
            <x v="2"/>
          </reference>
        </references>
      </pivotArea>
    </format>
    <format dxfId="409">
      <pivotArea dataOnly="0" labelOnly="1" outline="0" fieldPosition="0">
        <references count="4">
          <reference field="5" count="1" selected="0">
            <x v="289"/>
          </reference>
          <reference field="6" count="1" selected="0">
            <x v="947"/>
          </reference>
          <reference field="9" count="1" selected="0">
            <x v="3"/>
          </reference>
          <reference field="10" count="1">
            <x v="2"/>
          </reference>
        </references>
      </pivotArea>
    </format>
    <format dxfId="408">
      <pivotArea dataOnly="0" labelOnly="1" outline="0" fieldPosition="0">
        <references count="4">
          <reference field="5" count="1" selected="0">
            <x v="110"/>
          </reference>
          <reference field="6" count="1" selected="0">
            <x v="950"/>
          </reference>
          <reference field="9" count="1" selected="0">
            <x v="3"/>
          </reference>
          <reference field="10" count="1">
            <x v="2"/>
          </reference>
        </references>
      </pivotArea>
    </format>
    <format dxfId="407">
      <pivotArea dataOnly="0" labelOnly="1" outline="0" fieldPosition="0">
        <references count="4">
          <reference field="5" count="1" selected="0">
            <x v="111"/>
          </reference>
          <reference field="6" count="1" selected="0">
            <x v="951"/>
          </reference>
          <reference field="9" count="1" selected="0">
            <x v="3"/>
          </reference>
          <reference field="10" count="1">
            <x v="1"/>
          </reference>
        </references>
      </pivotArea>
    </format>
    <format dxfId="406">
      <pivotArea dataOnly="0" labelOnly="1" outline="0" fieldPosition="0">
        <references count="4">
          <reference field="5" count="1" selected="0">
            <x v="209"/>
          </reference>
          <reference field="6" count="1" selected="0">
            <x v="953"/>
          </reference>
          <reference field="9" count="1" selected="0">
            <x v="3"/>
          </reference>
          <reference field="10" count="1">
            <x v="1"/>
          </reference>
        </references>
      </pivotArea>
    </format>
    <format dxfId="405">
      <pivotArea dataOnly="0" labelOnly="1" outline="0" fieldPosition="0">
        <references count="4">
          <reference field="5" count="1" selected="0">
            <x v="246"/>
          </reference>
          <reference field="6" count="1" selected="0">
            <x v="956"/>
          </reference>
          <reference field="9" count="1" selected="0">
            <x v="3"/>
          </reference>
          <reference field="10" count="1">
            <x v="2"/>
          </reference>
        </references>
      </pivotArea>
    </format>
    <format dxfId="404">
      <pivotArea dataOnly="0" labelOnly="1" outline="0" fieldPosition="0">
        <references count="4">
          <reference field="5" count="1" selected="0">
            <x v="249"/>
          </reference>
          <reference field="6" count="1" selected="0">
            <x v="957"/>
          </reference>
          <reference field="9" count="1" selected="0">
            <x v="3"/>
          </reference>
          <reference field="10" count="1">
            <x v="0"/>
          </reference>
        </references>
      </pivotArea>
    </format>
    <format dxfId="403">
      <pivotArea dataOnly="0" labelOnly="1" outline="0" fieldPosition="0">
        <references count="4">
          <reference field="5" count="1" selected="0">
            <x v="169"/>
          </reference>
          <reference field="6" count="1" selected="0">
            <x v="958"/>
          </reference>
          <reference field="9" count="1" selected="0">
            <x v="3"/>
          </reference>
          <reference field="10" count="1">
            <x v="2"/>
          </reference>
        </references>
      </pivotArea>
    </format>
    <format dxfId="402">
      <pivotArea dataOnly="0" labelOnly="1" outline="0" fieldPosition="0">
        <references count="4">
          <reference field="5" count="1" selected="0">
            <x v="68"/>
          </reference>
          <reference field="6" count="1" selected="0">
            <x v="968"/>
          </reference>
          <reference field="9" count="1" selected="0">
            <x v="3"/>
          </reference>
          <reference field="10" count="1">
            <x v="2"/>
          </reference>
        </references>
      </pivotArea>
    </format>
    <format dxfId="401">
      <pivotArea dataOnly="0" labelOnly="1" outline="0" fieldPosition="0">
        <references count="4">
          <reference field="5" count="1" selected="0">
            <x v="36"/>
          </reference>
          <reference field="6" count="1" selected="0">
            <x v="969"/>
          </reference>
          <reference field="9" count="1" selected="0">
            <x v="3"/>
          </reference>
          <reference field="10" count="1">
            <x v="2"/>
          </reference>
        </references>
      </pivotArea>
    </format>
    <format dxfId="400">
      <pivotArea dataOnly="0" labelOnly="1" outline="0" fieldPosition="0">
        <references count="4">
          <reference field="5" count="1" selected="0">
            <x v="220"/>
          </reference>
          <reference field="6" count="1" selected="0">
            <x v="970"/>
          </reference>
          <reference field="9" count="1" selected="0">
            <x v="3"/>
          </reference>
          <reference field="10" count="1">
            <x v="2"/>
          </reference>
        </references>
      </pivotArea>
    </format>
    <format dxfId="399">
      <pivotArea dataOnly="0" labelOnly="1" outline="0" fieldPosition="0">
        <references count="4">
          <reference field="5" count="1" selected="0">
            <x v="198"/>
          </reference>
          <reference field="6" count="1" selected="0">
            <x v="971"/>
          </reference>
          <reference field="9" count="1" selected="0">
            <x v="3"/>
          </reference>
          <reference field="10" count="1">
            <x v="2"/>
          </reference>
        </references>
      </pivotArea>
    </format>
    <format dxfId="398">
      <pivotArea dataOnly="0" labelOnly="1" outline="0" fieldPosition="0">
        <references count="4">
          <reference field="5" count="1" selected="0">
            <x v="205"/>
          </reference>
          <reference field="6" count="1" selected="0">
            <x v="972"/>
          </reference>
          <reference field="9" count="1" selected="0">
            <x v="3"/>
          </reference>
          <reference field="10" count="1">
            <x v="2"/>
          </reference>
        </references>
      </pivotArea>
    </format>
    <format dxfId="397">
      <pivotArea dataOnly="0" labelOnly="1" outline="0" fieldPosition="0">
        <references count="4">
          <reference field="5" count="1" selected="0">
            <x v="132"/>
          </reference>
          <reference field="6" count="1" selected="0">
            <x v="974"/>
          </reference>
          <reference field="9" count="1" selected="0">
            <x v="3"/>
          </reference>
          <reference field="10" count="1">
            <x v="2"/>
          </reference>
        </references>
      </pivotArea>
    </format>
    <format dxfId="396">
      <pivotArea dataOnly="0" labelOnly="1" outline="0" fieldPosition="0">
        <references count="4">
          <reference field="5" count="1" selected="0">
            <x v="258"/>
          </reference>
          <reference field="6" count="1" selected="0">
            <x v="975"/>
          </reference>
          <reference field="9" count="1" selected="0">
            <x v="3"/>
          </reference>
          <reference field="10" count="1">
            <x v="1"/>
          </reference>
        </references>
      </pivotArea>
    </format>
    <format dxfId="395">
      <pivotArea dataOnly="0" labelOnly="1" outline="0" fieldPosition="0">
        <references count="4">
          <reference field="5" count="1" selected="0">
            <x v="30"/>
          </reference>
          <reference field="6" count="1" selected="0">
            <x v="976"/>
          </reference>
          <reference field="9" count="1" selected="0">
            <x v="3"/>
          </reference>
          <reference field="10" count="1">
            <x v="1"/>
          </reference>
        </references>
      </pivotArea>
    </format>
    <format dxfId="394">
      <pivotArea dataOnly="0" labelOnly="1" outline="0" fieldPosition="0">
        <references count="4">
          <reference field="5" count="1" selected="0">
            <x v="19"/>
          </reference>
          <reference field="6" count="1" selected="0">
            <x v="978"/>
          </reference>
          <reference field="9" count="1" selected="0">
            <x v="3"/>
          </reference>
          <reference field="10" count="1">
            <x v="1"/>
          </reference>
        </references>
      </pivotArea>
    </format>
    <format dxfId="393">
      <pivotArea dataOnly="0" labelOnly="1" outline="0" fieldPosition="0">
        <references count="4">
          <reference field="5" count="1" selected="0">
            <x v="143"/>
          </reference>
          <reference field="6" count="1" selected="0">
            <x v="979"/>
          </reference>
          <reference field="9" count="1" selected="0">
            <x v="3"/>
          </reference>
          <reference field="10" count="1">
            <x v="1"/>
          </reference>
        </references>
      </pivotArea>
    </format>
    <format dxfId="392">
      <pivotArea dataOnly="0" labelOnly="1" outline="0" fieldPosition="0">
        <references count="4">
          <reference field="5" count="1" selected="0">
            <x v="240"/>
          </reference>
          <reference field="6" count="1" selected="0">
            <x v="980"/>
          </reference>
          <reference field="9" count="1" selected="0">
            <x v="3"/>
          </reference>
          <reference field="10" count="1">
            <x v="1"/>
          </reference>
        </references>
      </pivotArea>
    </format>
    <format dxfId="391">
      <pivotArea dataOnly="0" labelOnly="1" outline="0" fieldPosition="0">
        <references count="4">
          <reference field="5" count="1" selected="0">
            <x v="121"/>
          </reference>
          <reference field="6" count="1" selected="0">
            <x v="981"/>
          </reference>
          <reference field="9" count="1" selected="0">
            <x v="3"/>
          </reference>
          <reference field="10" count="1">
            <x v="1"/>
          </reference>
        </references>
      </pivotArea>
    </format>
    <format dxfId="390">
      <pivotArea dataOnly="0" labelOnly="1" outline="0" fieldPosition="0">
        <references count="4">
          <reference field="5" count="1" selected="0">
            <x v="219"/>
          </reference>
          <reference field="6" count="1" selected="0">
            <x v="982"/>
          </reference>
          <reference field="9" count="1" selected="0">
            <x v="3"/>
          </reference>
          <reference field="10" count="1">
            <x v="1"/>
          </reference>
        </references>
      </pivotArea>
    </format>
    <format dxfId="389">
      <pivotArea dataOnly="0" labelOnly="1" outline="0" fieldPosition="0">
        <references count="4">
          <reference field="5" count="1" selected="0">
            <x v="140"/>
          </reference>
          <reference field="6" count="1" selected="0">
            <x v="983"/>
          </reference>
          <reference field="9" count="1" selected="0">
            <x v="3"/>
          </reference>
          <reference field="10" count="1">
            <x v="2"/>
          </reference>
        </references>
      </pivotArea>
    </format>
    <format dxfId="388">
      <pivotArea dataOnly="0" labelOnly="1" outline="0" fieldPosition="0">
        <references count="4">
          <reference field="5" count="1" selected="0">
            <x v="96"/>
          </reference>
          <reference field="6" count="1" selected="0">
            <x v="984"/>
          </reference>
          <reference field="9" count="1" selected="0">
            <x v="3"/>
          </reference>
          <reference field="10" count="1">
            <x v="1"/>
          </reference>
        </references>
      </pivotArea>
    </format>
    <format dxfId="387">
      <pivotArea dataOnly="0" labelOnly="1" outline="0" fieldPosition="0">
        <references count="4">
          <reference field="5" count="1" selected="0">
            <x v="141"/>
          </reference>
          <reference field="6" count="1" selected="0">
            <x v="985"/>
          </reference>
          <reference field="9" count="1" selected="0">
            <x v="3"/>
          </reference>
          <reference field="10" count="1">
            <x v="1"/>
          </reference>
        </references>
      </pivotArea>
    </format>
    <format dxfId="386">
      <pivotArea dataOnly="0" labelOnly="1" outline="0" fieldPosition="0">
        <references count="4">
          <reference field="5" count="1" selected="0">
            <x v="271"/>
          </reference>
          <reference field="6" count="1" selected="0">
            <x v="986"/>
          </reference>
          <reference field="9" count="1" selected="0">
            <x v="3"/>
          </reference>
          <reference field="10" count="1">
            <x v="2"/>
          </reference>
        </references>
      </pivotArea>
    </format>
    <format dxfId="385">
      <pivotArea dataOnly="0" labelOnly="1" outline="0" fieldPosition="0">
        <references count="4">
          <reference field="5" count="1" selected="0">
            <x v="252"/>
          </reference>
          <reference field="6" count="1" selected="0">
            <x v="989"/>
          </reference>
          <reference field="9" count="1" selected="0">
            <x v="3"/>
          </reference>
          <reference field="10" count="1">
            <x v="1"/>
          </reference>
        </references>
      </pivotArea>
    </format>
    <format dxfId="384">
      <pivotArea dataOnly="0" labelOnly="1" outline="0" fieldPosition="0">
        <references count="4">
          <reference field="5" count="1" selected="0">
            <x v="269"/>
          </reference>
          <reference field="6" count="1" selected="0">
            <x v="991"/>
          </reference>
          <reference field="9" count="1" selected="0">
            <x v="3"/>
          </reference>
          <reference field="10" count="1">
            <x v="1"/>
          </reference>
        </references>
      </pivotArea>
    </format>
    <format dxfId="383">
      <pivotArea dataOnly="0" labelOnly="1" outline="0" fieldPosition="0">
        <references count="4">
          <reference field="5" count="1" selected="0">
            <x v="22"/>
          </reference>
          <reference field="6" count="1" selected="0">
            <x v="992"/>
          </reference>
          <reference field="9" count="1" selected="0">
            <x v="3"/>
          </reference>
          <reference field="10" count="1">
            <x v="1"/>
          </reference>
        </references>
      </pivotArea>
    </format>
    <format dxfId="382">
      <pivotArea dataOnly="0" labelOnly="1" outline="0" fieldPosition="0">
        <references count="4">
          <reference field="5" count="1" selected="0">
            <x v="233"/>
          </reference>
          <reference field="6" count="1" selected="0">
            <x v="993"/>
          </reference>
          <reference field="9" count="1" selected="0">
            <x v="3"/>
          </reference>
          <reference field="10" count="1">
            <x v="1"/>
          </reference>
        </references>
      </pivotArea>
    </format>
    <format dxfId="381">
      <pivotArea dataOnly="0" labelOnly="1" outline="0" fieldPosition="0">
        <references count="4">
          <reference field="5" count="1" selected="0">
            <x v="149"/>
          </reference>
          <reference field="6" count="1" selected="0">
            <x v="994"/>
          </reference>
          <reference field="9" count="1" selected="0">
            <x v="3"/>
          </reference>
          <reference field="10" count="1">
            <x v="2"/>
          </reference>
        </references>
      </pivotArea>
    </format>
    <format dxfId="380">
      <pivotArea dataOnly="0" labelOnly="1" outline="0" fieldPosition="0">
        <references count="4">
          <reference field="5" count="1" selected="0">
            <x v="146"/>
          </reference>
          <reference field="6" count="1" selected="0">
            <x v="995"/>
          </reference>
          <reference field="9" count="1" selected="0">
            <x v="3"/>
          </reference>
          <reference field="10" count="1">
            <x v="1"/>
          </reference>
        </references>
      </pivotArea>
    </format>
    <format dxfId="379">
      <pivotArea dataOnly="0" labelOnly="1" outline="0" fieldPosition="0">
        <references count="4">
          <reference field="5" count="1" selected="0">
            <x v="147"/>
          </reference>
          <reference field="6" count="1" selected="0">
            <x v="996"/>
          </reference>
          <reference field="9" count="1" selected="0">
            <x v="3"/>
          </reference>
          <reference field="10" count="1">
            <x v="1"/>
          </reference>
        </references>
      </pivotArea>
    </format>
    <format dxfId="378">
      <pivotArea dataOnly="0" labelOnly="1" outline="0" fieldPosition="0">
        <references count="4">
          <reference field="5" count="1" selected="0">
            <x v="16"/>
          </reference>
          <reference field="6" count="1" selected="0">
            <x v="997"/>
          </reference>
          <reference field="9" count="1" selected="0">
            <x v="3"/>
          </reference>
          <reference field="10" count="1">
            <x v="1"/>
          </reference>
        </references>
      </pivotArea>
    </format>
    <format dxfId="377">
      <pivotArea dataOnly="0" labelOnly="1" outline="0" fieldPosition="0">
        <references count="4">
          <reference field="5" count="1" selected="0">
            <x v="17"/>
          </reference>
          <reference field="6" count="1" selected="0">
            <x v="998"/>
          </reference>
          <reference field="9" count="1" selected="0">
            <x v="3"/>
          </reference>
          <reference field="10" count="1">
            <x v="1"/>
          </reference>
        </references>
      </pivotArea>
    </format>
    <format dxfId="376">
      <pivotArea dataOnly="0" labelOnly="1" outline="0" fieldPosition="0">
        <references count="4">
          <reference field="5" count="1" selected="0">
            <x v="18"/>
          </reference>
          <reference field="6" count="1" selected="0">
            <x v="999"/>
          </reference>
          <reference field="9" count="1" selected="0">
            <x v="3"/>
          </reference>
          <reference field="10" count="1">
            <x v="1"/>
          </reference>
        </references>
      </pivotArea>
    </format>
    <format dxfId="375">
      <pivotArea dataOnly="0" labelOnly="1" outline="0" fieldPosition="0">
        <references count="4">
          <reference field="5" count="1" selected="0">
            <x v="186"/>
          </reference>
          <reference field="6" count="1" selected="0">
            <x v="1000"/>
          </reference>
          <reference field="9" count="1" selected="0">
            <x v="3"/>
          </reference>
          <reference field="10" count="1">
            <x v="1"/>
          </reference>
        </references>
      </pivotArea>
    </format>
    <format dxfId="374">
      <pivotArea dataOnly="0" labelOnly="1" outline="0" fieldPosition="0">
        <references count="4">
          <reference field="5" count="1" selected="0">
            <x v="148"/>
          </reference>
          <reference field="6" count="1" selected="0">
            <x v="1001"/>
          </reference>
          <reference field="9" count="1" selected="0">
            <x v="3"/>
          </reference>
          <reference field="10" count="1">
            <x v="1"/>
          </reference>
        </references>
      </pivotArea>
    </format>
    <format dxfId="373">
      <pivotArea dataOnly="0" labelOnly="1" outline="0" fieldPosition="0">
        <references count="4">
          <reference field="5" count="1" selected="0">
            <x v="90"/>
          </reference>
          <reference field="6" count="1" selected="0">
            <x v="1002"/>
          </reference>
          <reference field="9" count="1" selected="0">
            <x v="3"/>
          </reference>
          <reference field="10" count="1">
            <x v="2"/>
          </reference>
        </references>
      </pivotArea>
    </format>
    <format dxfId="372">
      <pivotArea dataOnly="0" labelOnly="1" outline="0" fieldPosition="0">
        <references count="4">
          <reference field="5" count="1" selected="0">
            <x v="33"/>
          </reference>
          <reference field="6" count="1" selected="0">
            <x v="1003"/>
          </reference>
          <reference field="9" count="1" selected="0">
            <x v="3"/>
          </reference>
          <reference field="10" count="1">
            <x v="1"/>
          </reference>
        </references>
      </pivotArea>
    </format>
    <format dxfId="371">
      <pivotArea dataOnly="0" labelOnly="1" outline="0" fieldPosition="0">
        <references count="4">
          <reference field="5" count="1" selected="0">
            <x v="100"/>
          </reference>
          <reference field="6" count="1" selected="0">
            <x v="1005"/>
          </reference>
          <reference field="9" count="1" selected="0">
            <x v="3"/>
          </reference>
          <reference field="10" count="1">
            <x v="1"/>
          </reference>
        </references>
      </pivotArea>
    </format>
    <format dxfId="370">
      <pivotArea dataOnly="0" labelOnly="1" outline="0" fieldPosition="0">
        <references count="4">
          <reference field="5" count="1" selected="0">
            <x v="231"/>
          </reference>
          <reference field="6" count="1" selected="0">
            <x v="1006"/>
          </reference>
          <reference field="9" count="1" selected="0">
            <x v="3"/>
          </reference>
          <reference field="10" count="1">
            <x v="1"/>
          </reference>
        </references>
      </pivotArea>
    </format>
    <format dxfId="369">
      <pivotArea dataOnly="0" labelOnly="1" outline="0" fieldPosition="0">
        <references count="4">
          <reference field="5" count="1" selected="0">
            <x v="183"/>
          </reference>
          <reference field="6" count="1" selected="0">
            <x v="1007"/>
          </reference>
          <reference field="9" count="1" selected="0">
            <x v="3"/>
          </reference>
          <reference field="10" count="1">
            <x v="1"/>
          </reference>
        </references>
      </pivotArea>
    </format>
    <format dxfId="368">
      <pivotArea dataOnly="0" labelOnly="1" outline="0" fieldPosition="0">
        <references count="4">
          <reference field="5" count="1" selected="0">
            <x v="278"/>
          </reference>
          <reference field="6" count="1" selected="0">
            <x v="1009"/>
          </reference>
          <reference field="9" count="1" selected="0">
            <x v="3"/>
          </reference>
          <reference field="10" count="1">
            <x v="1"/>
          </reference>
        </references>
      </pivotArea>
    </format>
    <format dxfId="367">
      <pivotArea dataOnly="0" labelOnly="1" outline="0" fieldPosition="0">
        <references count="4">
          <reference field="5" count="1" selected="0">
            <x v="219"/>
          </reference>
          <reference field="6" count="1" selected="0">
            <x v="1011"/>
          </reference>
          <reference field="9" count="1" selected="0">
            <x v="3"/>
          </reference>
          <reference field="10" count="1">
            <x v="1"/>
          </reference>
        </references>
      </pivotArea>
    </format>
    <format dxfId="366">
      <pivotArea dataOnly="0" labelOnly="1" outline="0" fieldPosition="0">
        <references count="4">
          <reference field="5" count="1" selected="0">
            <x v="13"/>
          </reference>
          <reference field="6" count="1" selected="0">
            <x v="1012"/>
          </reference>
          <reference field="9" count="1" selected="0">
            <x v="3"/>
          </reference>
          <reference field="10" count="1">
            <x v="2"/>
          </reference>
        </references>
      </pivotArea>
    </format>
    <format dxfId="365">
      <pivotArea dataOnly="0" labelOnly="1" outline="0" fieldPosition="0">
        <references count="4">
          <reference field="5" count="1" selected="0">
            <x v="131"/>
          </reference>
          <reference field="6" count="1" selected="0">
            <x v="1013"/>
          </reference>
          <reference field="9" count="1" selected="0">
            <x v="3"/>
          </reference>
          <reference field="10" count="1">
            <x v="1"/>
          </reference>
        </references>
      </pivotArea>
    </format>
    <format dxfId="364">
      <pivotArea dataOnly="0" labelOnly="1" outline="0" fieldPosition="0">
        <references count="4">
          <reference field="5" count="1" selected="0">
            <x v="117"/>
          </reference>
          <reference field="6" count="1" selected="0">
            <x v="1016"/>
          </reference>
          <reference field="9" count="1" selected="0">
            <x v="3"/>
          </reference>
          <reference field="10" count="1">
            <x v="1"/>
          </reference>
        </references>
      </pivotArea>
    </format>
    <format dxfId="363">
      <pivotArea dataOnly="0" labelOnly="1" outline="0" fieldPosition="0">
        <references count="4">
          <reference field="5" count="1" selected="0">
            <x v="219"/>
          </reference>
          <reference field="6" count="1" selected="0">
            <x v="1020"/>
          </reference>
          <reference field="9" count="1" selected="0">
            <x v="3"/>
          </reference>
          <reference field="10" count="1">
            <x v="1"/>
          </reference>
        </references>
      </pivotArea>
    </format>
    <format dxfId="362">
      <pivotArea dataOnly="0" labelOnly="1" outline="0" fieldPosition="0">
        <references count="4">
          <reference field="5" count="1" selected="0">
            <x v="223"/>
          </reference>
          <reference field="6" count="1" selected="0">
            <x v="1021"/>
          </reference>
          <reference field="9" count="1" selected="0">
            <x v="3"/>
          </reference>
          <reference field="10" count="1">
            <x v="2"/>
          </reference>
        </references>
      </pivotArea>
    </format>
    <format dxfId="361">
      <pivotArea dataOnly="0" labelOnly="1" outline="0" fieldPosition="0">
        <references count="4">
          <reference field="5" count="1" selected="0">
            <x v="274"/>
          </reference>
          <reference field="6" count="1" selected="0">
            <x v="1022"/>
          </reference>
          <reference field="9" count="1" selected="0">
            <x v="3"/>
          </reference>
          <reference field="10" count="1">
            <x v="1"/>
          </reference>
        </references>
      </pivotArea>
    </format>
    <format dxfId="360">
      <pivotArea dataOnly="0" labelOnly="1" outline="0" fieldPosition="0">
        <references count="4">
          <reference field="5" count="1" selected="0">
            <x v="99"/>
          </reference>
          <reference field="6" count="1" selected="0">
            <x v="1023"/>
          </reference>
          <reference field="9" count="1" selected="0">
            <x v="3"/>
          </reference>
          <reference field="10" count="1">
            <x v="1"/>
          </reference>
        </references>
      </pivotArea>
    </format>
    <format dxfId="359">
      <pivotArea dataOnly="0" labelOnly="1" outline="0" fieldPosition="0">
        <references count="4">
          <reference field="5" count="1" selected="0">
            <x v="181"/>
          </reference>
          <reference field="6" count="1" selected="0">
            <x v="1024"/>
          </reference>
          <reference field="9" count="1" selected="0">
            <x v="3"/>
          </reference>
          <reference field="10" count="1">
            <x v="1"/>
          </reference>
        </references>
      </pivotArea>
    </format>
    <format dxfId="358">
      <pivotArea dataOnly="0" labelOnly="1" outline="0" fieldPosition="0">
        <references count="4">
          <reference field="5" count="1" selected="0">
            <x v="219"/>
          </reference>
          <reference field="6" count="1" selected="0">
            <x v="1025"/>
          </reference>
          <reference field="9" count="1" selected="0">
            <x v="3"/>
          </reference>
          <reference field="10" count="1">
            <x v="1"/>
          </reference>
        </references>
      </pivotArea>
    </format>
    <format dxfId="357">
      <pivotArea dataOnly="0" labelOnly="1" outline="0" fieldPosition="0">
        <references count="4">
          <reference field="5" count="1" selected="0">
            <x v="209"/>
          </reference>
          <reference field="6" count="1" selected="0">
            <x v="1029"/>
          </reference>
          <reference field="9" count="1" selected="0">
            <x v="3"/>
          </reference>
          <reference field="10" count="1">
            <x v="2"/>
          </reference>
        </references>
      </pivotArea>
    </format>
    <format dxfId="356">
      <pivotArea dataOnly="0" labelOnly="1" outline="0" fieldPosition="0">
        <references count="4">
          <reference field="5" count="1" selected="0">
            <x v="224"/>
          </reference>
          <reference field="6" count="1" selected="0">
            <x v="1030"/>
          </reference>
          <reference field="9" count="1" selected="0">
            <x v="3"/>
          </reference>
          <reference field="10" count="1">
            <x v="0"/>
          </reference>
        </references>
      </pivotArea>
    </format>
    <format dxfId="355">
      <pivotArea dataOnly="0" labelOnly="1" outline="0" fieldPosition="0">
        <references count="4">
          <reference field="5" count="1" selected="0">
            <x v="165"/>
          </reference>
          <reference field="6" count="1" selected="0">
            <x v="1033"/>
          </reference>
          <reference field="9" count="1" selected="0">
            <x v="3"/>
          </reference>
          <reference field="10" count="1">
            <x v="2"/>
          </reference>
        </references>
      </pivotArea>
    </format>
    <format dxfId="354">
      <pivotArea dataOnly="0" labelOnly="1" outline="0" fieldPosition="0">
        <references count="4">
          <reference field="5" count="1" selected="0">
            <x v="219"/>
          </reference>
          <reference field="6" count="1" selected="0">
            <x v="1034"/>
          </reference>
          <reference field="9" count="1" selected="0">
            <x v="3"/>
          </reference>
          <reference field="10" count="1">
            <x v="2"/>
          </reference>
        </references>
      </pivotArea>
    </format>
    <format dxfId="353">
      <pivotArea dataOnly="0" labelOnly="1" outline="0" fieldPosition="0">
        <references count="4">
          <reference field="5" count="1" selected="0">
            <x v="142"/>
          </reference>
          <reference field="6" count="1" selected="0">
            <x v="1037"/>
          </reference>
          <reference field="9" count="1" selected="0">
            <x v="3"/>
          </reference>
          <reference field="10" count="1">
            <x v="2"/>
          </reference>
        </references>
      </pivotArea>
    </format>
    <format dxfId="352">
      <pivotArea dataOnly="0" labelOnly="1" outline="0" fieldPosition="0">
        <references count="4">
          <reference field="5" count="1" selected="0">
            <x v="219"/>
          </reference>
          <reference field="6" count="1" selected="0">
            <x v="1038"/>
          </reference>
          <reference field="9" count="1" selected="0">
            <x v="3"/>
          </reference>
          <reference field="10" count="1">
            <x v="2"/>
          </reference>
        </references>
      </pivotArea>
    </format>
    <format dxfId="351">
      <pivotArea dataOnly="0" labelOnly="1" outline="0" fieldPosition="0">
        <references count="4">
          <reference field="5" count="1" selected="0">
            <x v="151"/>
          </reference>
          <reference field="6" count="1" selected="0">
            <x v="1039"/>
          </reference>
          <reference field="9" count="1" selected="0">
            <x v="4"/>
          </reference>
          <reference field="10" count="1">
            <x v="3"/>
          </reference>
        </references>
      </pivotArea>
    </format>
    <format dxfId="350">
      <pivotArea dataOnly="0" labelOnly="1" outline="0" fieldPosition="0">
        <references count="4">
          <reference field="5" count="1" selected="0">
            <x v="166"/>
          </reference>
          <reference field="6" count="1" selected="0">
            <x v="1040"/>
          </reference>
          <reference field="9" count="1" selected="0">
            <x v="4"/>
          </reference>
          <reference field="10" count="1">
            <x v="0"/>
          </reference>
        </references>
      </pivotArea>
    </format>
    <format dxfId="349">
      <pivotArea dataOnly="0" labelOnly="1" outline="0" fieldPosition="0">
        <references count="4">
          <reference field="5" count="1" selected="0">
            <x v="314"/>
          </reference>
          <reference field="6" count="1" selected="0">
            <x v="1042"/>
          </reference>
          <reference field="9" count="1" selected="0">
            <x v="4"/>
          </reference>
          <reference field="10" count="1">
            <x v="1"/>
          </reference>
        </references>
      </pivotArea>
    </format>
    <format dxfId="348">
      <pivotArea dataOnly="0" labelOnly="1" outline="0" fieldPosition="0">
        <references count="4">
          <reference field="5" count="1" selected="0">
            <x v="234"/>
          </reference>
          <reference field="6" count="1" selected="0">
            <x v="1044"/>
          </reference>
          <reference field="9" count="1" selected="0">
            <x v="4"/>
          </reference>
          <reference field="10" count="1">
            <x v="1"/>
          </reference>
        </references>
      </pivotArea>
    </format>
    <format dxfId="347">
      <pivotArea dataOnly="0" labelOnly="1" outline="0" fieldPosition="0">
        <references count="4">
          <reference field="5" count="1" selected="0">
            <x v="204"/>
          </reference>
          <reference field="6" count="1" selected="0">
            <x v="1045"/>
          </reference>
          <reference field="9" count="1" selected="0">
            <x v="4"/>
          </reference>
          <reference field="10" count="1">
            <x v="2"/>
          </reference>
        </references>
      </pivotArea>
    </format>
    <format dxfId="346">
      <pivotArea dataOnly="0" labelOnly="1" outline="0" fieldPosition="0">
        <references count="4">
          <reference field="5" count="1" selected="0">
            <x v="127"/>
          </reference>
          <reference field="6" count="1" selected="0">
            <x v="1046"/>
          </reference>
          <reference field="9" count="1" selected="0">
            <x v="4"/>
          </reference>
          <reference field="10" count="1">
            <x v="1"/>
          </reference>
        </references>
      </pivotArea>
    </format>
    <format dxfId="345">
      <pivotArea dataOnly="0" labelOnly="1" outline="0" fieldPosition="0">
        <references count="4">
          <reference field="5" count="1" selected="0">
            <x v="200"/>
          </reference>
          <reference field="6" count="1" selected="0">
            <x v="1047"/>
          </reference>
          <reference field="9" count="1" selected="0">
            <x v="4"/>
          </reference>
          <reference field="10" count="1">
            <x v="1"/>
          </reference>
        </references>
      </pivotArea>
    </format>
    <format dxfId="344">
      <pivotArea dataOnly="0" labelOnly="1" outline="0" fieldPosition="0">
        <references count="4">
          <reference field="5" count="1" selected="0">
            <x v="171"/>
          </reference>
          <reference field="6" count="1" selected="0">
            <x v="1049"/>
          </reference>
          <reference field="9" count="1" selected="0">
            <x v="4"/>
          </reference>
          <reference field="10" count="1">
            <x v="1"/>
          </reference>
        </references>
      </pivotArea>
    </format>
    <format dxfId="343">
      <pivotArea dataOnly="0" labelOnly="1" outline="0" fieldPosition="0">
        <references count="4">
          <reference field="5" count="1" selected="0">
            <x v="97"/>
          </reference>
          <reference field="6" count="1" selected="0">
            <x v="1050"/>
          </reference>
          <reference field="9" count="1" selected="0">
            <x v="4"/>
          </reference>
          <reference field="10" count="1">
            <x v="1"/>
          </reference>
        </references>
      </pivotArea>
    </format>
    <format dxfId="342">
      <pivotArea dataOnly="0" labelOnly="1" outline="0" fieldPosition="0">
        <references count="4">
          <reference field="5" count="1" selected="0">
            <x v="179"/>
          </reference>
          <reference field="6" count="1" selected="0">
            <x v="1051"/>
          </reference>
          <reference field="9" count="1" selected="0">
            <x v="4"/>
          </reference>
          <reference field="10" count="1">
            <x v="1"/>
          </reference>
        </references>
      </pivotArea>
    </format>
    <format dxfId="341">
      <pivotArea dataOnly="0" labelOnly="1" outline="0" fieldPosition="0">
        <references count="4">
          <reference field="5" count="1" selected="0">
            <x v="84"/>
          </reference>
          <reference field="6" count="1" selected="0">
            <x v="1052"/>
          </reference>
          <reference field="9" count="1" selected="0">
            <x v="4"/>
          </reference>
          <reference field="10" count="1">
            <x v="1"/>
          </reference>
        </references>
      </pivotArea>
    </format>
    <format dxfId="340">
      <pivotArea dataOnly="0" labelOnly="1" outline="0" fieldPosition="0">
        <references count="4">
          <reference field="5" count="1" selected="0">
            <x v="85"/>
          </reference>
          <reference field="6" count="1" selected="0">
            <x v="1064"/>
          </reference>
          <reference field="9" count="1" selected="0">
            <x v="4"/>
          </reference>
          <reference field="10" count="1">
            <x v="1"/>
          </reference>
        </references>
      </pivotArea>
    </format>
    <format dxfId="339">
      <pivotArea dataOnly="0" labelOnly="1" outline="0" fieldPosition="0">
        <references count="4">
          <reference field="5" count="1" selected="0">
            <x v="93"/>
          </reference>
          <reference field="6" count="1" selected="0">
            <x v="1065"/>
          </reference>
          <reference field="9" count="1" selected="0">
            <x v="4"/>
          </reference>
          <reference field="10" count="1">
            <x v="1"/>
          </reference>
        </references>
      </pivotArea>
    </format>
    <format dxfId="338">
      <pivotArea dataOnly="0" labelOnly="1" outline="0" fieldPosition="0">
        <references count="4">
          <reference field="5" count="1" selected="0">
            <x v="230"/>
          </reference>
          <reference field="6" count="1" selected="0">
            <x v="1066"/>
          </reference>
          <reference field="9" count="1" selected="0">
            <x v="4"/>
          </reference>
          <reference field="10" count="1">
            <x v="2"/>
          </reference>
        </references>
      </pivotArea>
    </format>
    <format dxfId="337">
      <pivotArea dataOnly="0" labelOnly="1" outline="0" fieldPosition="0">
        <references count="4">
          <reference field="5" count="1" selected="0">
            <x v="243"/>
          </reference>
          <reference field="6" count="1" selected="0">
            <x v="1067"/>
          </reference>
          <reference field="9" count="1" selected="0">
            <x v="4"/>
          </reference>
          <reference field="10" count="1">
            <x v="1"/>
          </reference>
        </references>
      </pivotArea>
    </format>
    <format dxfId="336">
      <pivotArea dataOnly="0" labelOnly="1" outline="0" fieldPosition="0">
        <references count="4">
          <reference field="5" count="1" selected="0">
            <x v="219"/>
          </reference>
          <reference field="6" count="1" selected="0">
            <x v="1068"/>
          </reference>
          <reference field="9" count="1" selected="0">
            <x v="4"/>
          </reference>
          <reference field="10" count="1">
            <x v="1"/>
          </reference>
        </references>
      </pivotArea>
    </format>
    <format dxfId="335">
      <pivotArea dataOnly="0" labelOnly="1" outline="0" fieldPosition="0">
        <references count="4">
          <reference field="5" count="1" selected="0">
            <x v="54"/>
          </reference>
          <reference field="6" count="1" selected="0">
            <x v="1069"/>
          </reference>
          <reference field="9" count="1" selected="0">
            <x v="4"/>
          </reference>
          <reference field="10" count="1">
            <x v="0"/>
          </reference>
        </references>
      </pivotArea>
    </format>
    <format dxfId="334">
      <pivotArea dataOnly="0" labelOnly="1" outline="0" fieldPosition="0">
        <references count="4">
          <reference field="5" count="1" selected="0">
            <x v="23"/>
          </reference>
          <reference field="6" count="1" selected="0">
            <x v="1072"/>
          </reference>
          <reference field="9" count="1" selected="0">
            <x v="4"/>
          </reference>
          <reference field="10" count="1">
            <x v="2"/>
          </reference>
        </references>
      </pivotArea>
    </format>
    <format dxfId="333">
      <pivotArea dataOnly="0" labelOnly="1" outline="0" fieldPosition="0">
        <references count="4">
          <reference field="5" count="1" selected="0">
            <x v="120"/>
          </reference>
          <reference field="6" count="1" selected="0">
            <x v="1073"/>
          </reference>
          <reference field="9" count="1" selected="0">
            <x v="4"/>
          </reference>
          <reference field="10" count="1">
            <x v="2"/>
          </reference>
        </references>
      </pivotArea>
    </format>
    <format dxfId="332">
      <pivotArea dataOnly="0" labelOnly="1" outline="0" fieldPosition="0">
        <references count="4">
          <reference field="5" count="1" selected="0">
            <x v="284"/>
          </reference>
          <reference field="6" count="1" selected="0">
            <x v="1076"/>
          </reference>
          <reference field="9" count="1" selected="0">
            <x v="4"/>
          </reference>
          <reference field="10" count="1">
            <x v="0"/>
          </reference>
        </references>
      </pivotArea>
    </format>
    <format dxfId="331">
      <pivotArea dataOnly="0" labelOnly="1" outline="0" fieldPosition="0">
        <references count="4">
          <reference field="5" count="1" selected="0">
            <x v="110"/>
          </reference>
          <reference field="6" count="1" selected="0">
            <x v="1078"/>
          </reference>
          <reference field="9" count="1" selected="0">
            <x v="4"/>
          </reference>
          <reference field="10" count="1">
            <x v="2"/>
          </reference>
        </references>
      </pivotArea>
    </format>
    <format dxfId="330">
      <pivotArea dataOnly="0" labelOnly="1" outline="0" fieldPosition="0">
        <references count="4">
          <reference field="5" count="1" selected="0">
            <x v="111"/>
          </reference>
          <reference field="6" count="1" selected="0">
            <x v="1079"/>
          </reference>
          <reference field="9" count="1" selected="0">
            <x v="4"/>
          </reference>
          <reference field="10" count="1">
            <x v="1"/>
          </reference>
        </references>
      </pivotArea>
    </format>
    <format dxfId="329">
      <pivotArea dataOnly="0" labelOnly="1" outline="0" fieldPosition="0">
        <references count="4">
          <reference field="5" count="1" selected="0">
            <x v="209"/>
          </reference>
          <reference field="6" count="1" selected="0">
            <x v="1081"/>
          </reference>
          <reference field="9" count="1" selected="0">
            <x v="4"/>
          </reference>
          <reference field="10" count="1">
            <x v="1"/>
          </reference>
        </references>
      </pivotArea>
    </format>
    <format dxfId="328">
      <pivotArea dataOnly="0" labelOnly="1" outline="0" fieldPosition="0">
        <references count="4">
          <reference field="5" count="1" selected="0">
            <x v="260"/>
          </reference>
          <reference field="6" count="1" selected="0">
            <x v="1082"/>
          </reference>
          <reference field="9" count="1" selected="0">
            <x v="4"/>
          </reference>
          <reference field="10" count="1">
            <x v="2"/>
          </reference>
        </references>
      </pivotArea>
    </format>
    <format dxfId="327">
      <pivotArea dataOnly="0" labelOnly="1" outline="0" fieldPosition="0">
        <references count="4">
          <reference field="5" count="1" selected="0">
            <x v="21"/>
          </reference>
          <reference field="6" count="1" selected="0">
            <x v="1083"/>
          </reference>
          <reference field="9" count="1" selected="0">
            <x v="4"/>
          </reference>
          <reference field="10" count="1">
            <x v="2"/>
          </reference>
        </references>
      </pivotArea>
    </format>
    <format dxfId="326">
      <pivotArea dataOnly="0" labelOnly="1" outline="0" fieldPosition="0">
        <references count="4">
          <reference field="5" count="1" selected="0">
            <x v="219"/>
          </reference>
          <reference field="6" count="1" selected="0">
            <x v="1084"/>
          </reference>
          <reference field="9" count="1" selected="0">
            <x v="4"/>
          </reference>
          <reference field="10" count="1">
            <x v="2"/>
          </reference>
        </references>
      </pivotArea>
    </format>
    <format dxfId="325">
      <pivotArea dataOnly="0" labelOnly="1" outline="0" fieldPosition="0">
        <references count="4">
          <reference field="5" count="1" selected="0">
            <x v="152"/>
          </reference>
          <reference field="6" count="1" selected="0">
            <x v="1085"/>
          </reference>
          <reference field="9" count="1" selected="0">
            <x v="4"/>
          </reference>
          <reference field="10" count="1">
            <x v="0"/>
          </reference>
        </references>
      </pivotArea>
    </format>
    <format dxfId="324">
      <pivotArea dataOnly="0" labelOnly="1" outline="0" fieldPosition="0">
        <references count="4">
          <reference field="5" count="1" selected="0">
            <x v="178"/>
          </reference>
          <reference field="6" count="1" selected="0">
            <x v="1086"/>
          </reference>
          <reference field="9" count="1" selected="0">
            <x v="4"/>
          </reference>
          <reference field="10" count="1">
            <x v="2"/>
          </reference>
        </references>
      </pivotArea>
    </format>
    <format dxfId="323">
      <pivotArea dataOnly="0" labelOnly="1" outline="0" fieldPosition="0">
        <references count="4">
          <reference field="5" count="1" selected="0">
            <x v="233"/>
          </reference>
          <reference field="6" count="1" selected="0">
            <x v="1087"/>
          </reference>
          <reference field="9" count="1" selected="0">
            <x v="4"/>
          </reference>
          <reference field="10" count="1">
            <x v="2"/>
          </reference>
        </references>
      </pivotArea>
    </format>
    <format dxfId="322">
      <pivotArea dataOnly="0" labelOnly="1" outline="0" fieldPosition="0">
        <references count="4">
          <reference field="5" count="1" selected="0">
            <x v="275"/>
          </reference>
          <reference field="6" count="1" selected="0">
            <x v="1089"/>
          </reference>
          <reference field="9" count="1" selected="0">
            <x v="4"/>
          </reference>
          <reference field="10" count="1">
            <x v="1"/>
          </reference>
        </references>
      </pivotArea>
    </format>
    <format dxfId="321">
      <pivotArea dataOnly="0" labelOnly="1" outline="0" fieldPosition="0">
        <references count="4">
          <reference field="5" count="1" selected="0">
            <x v="227"/>
          </reference>
          <reference field="6" count="1" selected="0">
            <x v="1090"/>
          </reference>
          <reference field="9" count="1" selected="0">
            <x v="4"/>
          </reference>
          <reference field="10" count="1">
            <x v="0"/>
          </reference>
        </references>
      </pivotArea>
    </format>
    <format dxfId="320">
      <pivotArea dataOnly="0" labelOnly="1" outline="0" fieldPosition="0">
        <references count="4">
          <reference field="5" count="1" selected="0">
            <x v="283"/>
          </reference>
          <reference field="6" count="1" selected="0">
            <x v="1091"/>
          </reference>
          <reference field="9" count="1" selected="0">
            <x v="4"/>
          </reference>
          <reference field="10" count="1">
            <x v="2"/>
          </reference>
        </references>
      </pivotArea>
    </format>
    <format dxfId="319">
      <pivotArea dataOnly="0" labelOnly="1" outline="0" fieldPosition="0">
        <references count="4">
          <reference field="5" count="1" selected="0">
            <x v="281"/>
          </reference>
          <reference field="6" count="1" selected="0">
            <x v="1092"/>
          </reference>
          <reference field="9" count="1" selected="0">
            <x v="4"/>
          </reference>
          <reference field="10" count="1">
            <x v="2"/>
          </reference>
        </references>
      </pivotArea>
    </format>
    <format dxfId="318">
      <pivotArea dataOnly="0" labelOnly="1" outline="0" fieldPosition="0">
        <references count="4">
          <reference field="5" count="1" selected="0">
            <x v="219"/>
          </reference>
          <reference field="6" count="1" selected="0">
            <x v="1093"/>
          </reference>
          <reference field="9" count="1" selected="0">
            <x v="4"/>
          </reference>
          <reference field="10" count="1">
            <x v="2"/>
          </reference>
        </references>
      </pivotArea>
    </format>
    <format dxfId="317">
      <pivotArea dataOnly="0" labelOnly="1" outline="0" fieldPosition="0">
        <references count="4">
          <reference field="5" count="1" selected="0">
            <x v="226"/>
          </reference>
          <reference field="6" count="1" selected="0">
            <x v="1094"/>
          </reference>
          <reference field="9" count="1" selected="0">
            <x v="4"/>
          </reference>
          <reference field="10" count="1">
            <x v="0"/>
          </reference>
        </references>
      </pivotArea>
    </format>
    <format dxfId="316">
      <pivotArea dataOnly="0" labelOnly="1" outline="0" fieldPosition="0">
        <references count="4">
          <reference field="5" count="1" selected="0">
            <x v="280"/>
          </reference>
          <reference field="6" count="1" selected="0">
            <x v="1095"/>
          </reference>
          <reference field="9" count="1" selected="0">
            <x v="4"/>
          </reference>
          <reference field="10" count="1">
            <x v="2"/>
          </reference>
        </references>
      </pivotArea>
    </format>
    <format dxfId="315">
      <pivotArea dataOnly="0" labelOnly="1" outline="0" fieldPosition="0">
        <references count="4">
          <reference field="5" count="1" selected="0">
            <x v="279"/>
          </reference>
          <reference field="6" count="1" selected="0">
            <x v="1096"/>
          </reference>
          <reference field="9" count="1" selected="0">
            <x v="4"/>
          </reference>
          <reference field="10" count="1">
            <x v="2"/>
          </reference>
        </references>
      </pivotArea>
    </format>
    <format dxfId="314">
      <pivotArea dataOnly="0" labelOnly="1" outline="0" fieldPosition="0">
        <references count="4">
          <reference field="5" count="1" selected="0">
            <x v="22"/>
          </reference>
          <reference field="6" count="1" selected="0">
            <x v="1097"/>
          </reference>
          <reference field="9" count="1" selected="0">
            <x v="4"/>
          </reference>
          <reference field="10" count="1">
            <x v="2"/>
          </reference>
        </references>
      </pivotArea>
    </format>
    <format dxfId="313">
      <pivotArea dataOnly="0" labelOnly="1" outline="0" fieldPosition="0">
        <references count="4">
          <reference field="5" count="1" selected="0">
            <x v="253"/>
          </reference>
          <reference field="6" count="1" selected="0">
            <x v="1098"/>
          </reference>
          <reference field="9" count="1" selected="0">
            <x v="4"/>
          </reference>
          <reference field="10" count="1">
            <x v="2"/>
          </reference>
        </references>
      </pivotArea>
    </format>
    <format dxfId="312">
      <pivotArea dataOnly="0" labelOnly="1" outline="0" fieldPosition="0">
        <references count="4">
          <reference field="5" count="1" selected="0">
            <x v="82"/>
          </reference>
          <reference field="6" count="1" selected="0">
            <x v="1099"/>
          </reference>
          <reference field="9" count="1" selected="0">
            <x v="4"/>
          </reference>
          <reference field="10" count="1">
            <x v="1"/>
          </reference>
        </references>
      </pivotArea>
    </format>
    <format dxfId="311">
      <pivotArea dataOnly="0" labelOnly="1" outline="0" fieldPosition="0">
        <references count="4">
          <reference field="5" count="1" selected="0">
            <x v="164"/>
          </reference>
          <reference field="6" count="1" selected="0">
            <x v="1102"/>
          </reference>
          <reference field="9" count="1" selected="0">
            <x v="4"/>
          </reference>
          <reference field="10" count="1">
            <x v="1"/>
          </reference>
        </references>
      </pivotArea>
    </format>
    <format dxfId="310">
      <pivotArea dataOnly="0" labelOnly="1" outline="0" fieldPosition="0">
        <references count="4">
          <reference field="5" count="1" selected="0">
            <x v="219"/>
          </reference>
          <reference field="6" count="1" selected="0">
            <x v="1103"/>
          </reference>
          <reference field="9" count="1" selected="0">
            <x v="4"/>
          </reference>
          <reference field="10" count="1">
            <x v="2"/>
          </reference>
        </references>
      </pivotArea>
    </format>
    <format dxfId="309">
      <pivotArea dataOnly="0" labelOnly="1" outline="0" fieldPosition="0">
        <references count="4">
          <reference field="5" count="1" selected="0">
            <x v="64"/>
          </reference>
          <reference field="6" count="1" selected="0">
            <x v="1105"/>
          </reference>
          <reference field="9" count="1" selected="0">
            <x v="5"/>
          </reference>
          <reference field="10" count="1">
            <x v="3"/>
          </reference>
        </references>
      </pivotArea>
    </format>
    <format dxfId="308">
      <pivotArea dataOnly="0" labelOnly="1" outline="0" fieldPosition="0">
        <references count="4">
          <reference field="5" count="1" selected="0">
            <x v="95"/>
          </reference>
          <reference field="6" count="1" selected="0">
            <x v="1106"/>
          </reference>
          <reference field="9" count="1" selected="0">
            <x v="5"/>
          </reference>
          <reference field="10" count="1">
            <x v="0"/>
          </reference>
        </references>
      </pivotArea>
    </format>
    <format dxfId="307">
      <pivotArea dataOnly="0" labelOnly="1" outline="0" fieldPosition="0">
        <references count="4">
          <reference field="5" count="1" selected="0">
            <x v="211"/>
          </reference>
          <reference field="6" count="1" selected="0">
            <x v="1107"/>
          </reference>
          <reference field="9" count="1" selected="0">
            <x v="5"/>
          </reference>
          <reference field="10" count="1">
            <x v="2"/>
          </reference>
        </references>
      </pivotArea>
    </format>
    <format dxfId="306">
      <pivotArea dataOnly="0" labelOnly="1" outline="0" fieldPosition="0">
        <references count="4">
          <reference field="5" count="1" selected="0">
            <x v="9"/>
          </reference>
          <reference field="6" count="1" selected="0">
            <x v="1108"/>
          </reference>
          <reference field="9" count="1" selected="0">
            <x v="5"/>
          </reference>
          <reference field="10" count="1">
            <x v="0"/>
          </reference>
        </references>
      </pivotArea>
    </format>
    <format dxfId="305">
      <pivotArea dataOnly="0" labelOnly="1" outline="0" fieldPosition="0">
        <references count="4">
          <reference field="5" count="1" selected="0">
            <x v="23"/>
          </reference>
          <reference field="6" count="1" selected="0">
            <x v="1109"/>
          </reference>
          <reference field="9" count="1" selected="0">
            <x v="5"/>
          </reference>
          <reference field="10" count="1">
            <x v="2"/>
          </reference>
        </references>
      </pivotArea>
    </format>
    <format dxfId="304">
      <pivotArea dataOnly="0" labelOnly="1" outline="0" fieldPosition="0">
        <references count="4">
          <reference field="5" count="1" selected="0">
            <x v="24"/>
          </reference>
          <reference field="6" count="1" selected="0">
            <x v="1110"/>
          </reference>
          <reference field="9" count="1" selected="0">
            <x v="5"/>
          </reference>
          <reference field="10" count="1">
            <x v="1"/>
          </reference>
        </references>
      </pivotArea>
    </format>
    <format dxfId="303">
      <pivotArea dataOnly="0" labelOnly="1" outline="0" fieldPosition="0">
        <references count="4">
          <reference field="5" count="1" selected="0">
            <x v="209"/>
          </reference>
          <reference field="6" count="1" selected="0">
            <x v="1116"/>
          </reference>
          <reference field="9" count="1" selected="0">
            <x v="5"/>
          </reference>
          <reference field="10" count="1">
            <x v="1"/>
          </reference>
        </references>
      </pivotArea>
    </format>
    <format dxfId="302">
      <pivotArea dataOnly="0" labelOnly="1" outline="0" fieldPosition="0">
        <references count="4">
          <reference field="5" count="1" selected="0">
            <x v="58"/>
          </reference>
          <reference field="6" count="1" selected="0">
            <x v="1120"/>
          </reference>
          <reference field="9" count="1" selected="0">
            <x v="5"/>
          </reference>
          <reference field="10" count="1">
            <x v="1"/>
          </reference>
        </references>
      </pivotArea>
    </format>
    <format dxfId="301">
      <pivotArea dataOnly="0" labelOnly="1" outline="0" fieldPosition="0">
        <references count="4">
          <reference field="5" count="1" selected="0">
            <x v="57"/>
          </reference>
          <reference field="6" count="1" selected="0">
            <x v="1130"/>
          </reference>
          <reference field="9" count="1" selected="0">
            <x v="5"/>
          </reference>
          <reference field="10" count="1">
            <x v="2"/>
          </reference>
        </references>
      </pivotArea>
    </format>
    <format dxfId="300">
      <pivotArea dataOnly="0" labelOnly="1" outline="0" fieldPosition="0">
        <references count="4">
          <reference field="5" count="1" selected="0">
            <x v="268"/>
          </reference>
          <reference field="6" count="1" selected="0">
            <x v="1131"/>
          </reference>
          <reference field="9" count="1" selected="0">
            <x v="5"/>
          </reference>
          <reference field="10" count="1">
            <x v="1"/>
          </reference>
        </references>
      </pivotArea>
    </format>
    <format dxfId="299">
      <pivotArea dataOnly="0" labelOnly="1" outline="0" fieldPosition="0">
        <references count="4">
          <reference field="5" count="1" selected="0">
            <x v="267"/>
          </reference>
          <reference field="6" count="1" selected="0">
            <x v="1132"/>
          </reference>
          <reference field="9" count="1" selected="0">
            <x v="5"/>
          </reference>
          <reference field="10" count="1">
            <x v="1"/>
          </reference>
        </references>
      </pivotArea>
    </format>
    <format dxfId="298">
      <pivotArea dataOnly="0" labelOnly="1" outline="0" fieldPosition="0">
        <references count="4">
          <reference field="5" count="1" selected="0">
            <x v="222"/>
          </reference>
          <reference field="6" count="1" selected="0">
            <x v="1133"/>
          </reference>
          <reference field="9" count="1" selected="0">
            <x v="5"/>
          </reference>
          <reference field="10" count="1">
            <x v="1"/>
          </reference>
        </references>
      </pivotArea>
    </format>
    <format dxfId="297">
      <pivotArea dataOnly="0" labelOnly="1" outline="0" fieldPosition="0">
        <references count="4">
          <reference field="5" count="1" selected="0">
            <x v="65"/>
          </reference>
          <reference field="6" count="1" selected="0">
            <x v="1134"/>
          </reference>
          <reference field="9" count="1" selected="0">
            <x v="6"/>
          </reference>
          <reference field="10" count="1">
            <x v="3"/>
          </reference>
        </references>
      </pivotArea>
    </format>
    <format dxfId="296">
      <pivotArea dataOnly="0" labelOnly="1" outline="0" fieldPosition="0">
        <references count="4">
          <reference field="5" count="1" selected="0">
            <x v="67"/>
          </reference>
          <reference field="6" count="1" selected="0">
            <x v="1135"/>
          </reference>
          <reference field="9" count="1" selected="0">
            <x v="6"/>
          </reference>
          <reference field="10" count="1">
            <x v="0"/>
          </reference>
        </references>
      </pivotArea>
    </format>
    <format dxfId="295">
      <pivotArea dataOnly="0" labelOnly="1" outline="0" fieldPosition="0">
        <references count="4">
          <reference field="5" count="1" selected="0">
            <x v="286"/>
          </reference>
          <reference field="6" count="1" selected="0">
            <x v="1136"/>
          </reference>
          <reference field="9" count="1" selected="0">
            <x v="6"/>
          </reference>
          <reference field="10" count="1">
            <x v="2"/>
          </reference>
        </references>
      </pivotArea>
    </format>
    <format dxfId="294">
      <pivotArea dataOnly="0" labelOnly="1" outline="0" fieldPosition="0">
        <references count="4">
          <reference field="5" count="1" selected="0">
            <x v="105"/>
          </reference>
          <reference field="6" count="1" selected="0">
            <x v="1137"/>
          </reference>
          <reference field="9" count="1" selected="0">
            <x v="6"/>
          </reference>
          <reference field="10" count="1">
            <x v="1"/>
          </reference>
        </references>
      </pivotArea>
    </format>
    <format dxfId="293">
      <pivotArea dataOnly="0" labelOnly="1" outline="0" fieldPosition="0">
        <references count="4">
          <reference field="5" count="1" selected="0">
            <x v="107"/>
          </reference>
          <reference field="6" count="1" selected="0">
            <x v="1138"/>
          </reference>
          <reference field="9" count="1" selected="0">
            <x v="6"/>
          </reference>
          <reference field="10" count="1">
            <x v="1"/>
          </reference>
        </references>
      </pivotArea>
    </format>
    <format dxfId="292">
      <pivotArea dataOnly="0" labelOnly="1" outline="0" fieldPosition="0">
        <references count="4">
          <reference field="5" count="1" selected="0">
            <x v="337"/>
          </reference>
          <reference field="6" count="1" selected="0">
            <x v="1139"/>
          </reference>
          <reference field="9" count="1" selected="0">
            <x v="6"/>
          </reference>
          <reference field="10" count="1">
            <x v="1"/>
          </reference>
        </references>
      </pivotArea>
    </format>
    <format dxfId="291">
      <pivotArea dataOnly="0" labelOnly="1" outline="0" fieldPosition="0">
        <references count="4">
          <reference field="5" count="1" selected="0">
            <x v="336"/>
          </reference>
          <reference field="6" count="1" selected="0">
            <x v="1140"/>
          </reference>
          <reference field="9" count="1" selected="0">
            <x v="6"/>
          </reference>
          <reference field="10" count="1">
            <x v="1"/>
          </reference>
        </references>
      </pivotArea>
    </format>
    <format dxfId="290">
      <pivotArea dataOnly="0" labelOnly="1" outline="0" fieldPosition="0">
        <references count="4">
          <reference field="5" count="1" selected="0">
            <x v="106"/>
          </reference>
          <reference field="6" count="1" selected="0">
            <x v="1141"/>
          </reference>
          <reference field="9" count="1" selected="0">
            <x v="6"/>
          </reference>
          <reference field="10" count="1">
            <x v="1"/>
          </reference>
        </references>
      </pivotArea>
    </format>
    <format dxfId="289">
      <pivotArea dataOnly="0" labelOnly="1" outline="0" fieldPosition="0">
        <references count="4">
          <reference field="5" count="1" selected="0">
            <x v="219"/>
          </reference>
          <reference field="6" count="1" selected="0">
            <x v="1142"/>
          </reference>
          <reference field="9" count="1" selected="0">
            <x v="6"/>
          </reference>
          <reference field="10" count="1">
            <x v="1"/>
          </reference>
        </references>
      </pivotArea>
    </format>
    <format dxfId="288">
      <pivotArea dataOnly="0" labelOnly="1" outline="0" fieldPosition="0">
        <references count="4">
          <reference field="5" count="1" selected="0">
            <x v="170"/>
          </reference>
          <reference field="6" count="1" selected="0">
            <x v="1144"/>
          </reference>
          <reference field="9" count="1" selected="0">
            <x v="6"/>
          </reference>
          <reference field="10" count="1">
            <x v="1"/>
          </reference>
        </references>
      </pivotArea>
    </format>
    <format dxfId="287">
      <pivotArea dataOnly="0" labelOnly="1" outline="0" fieldPosition="0">
        <references count="4">
          <reference field="5" count="1" selected="0">
            <x v="173"/>
          </reference>
          <reference field="6" count="1" selected="0">
            <x v="1145"/>
          </reference>
          <reference field="9" count="1" selected="0">
            <x v="6"/>
          </reference>
          <reference field="10" count="1">
            <x v="1"/>
          </reference>
        </references>
      </pivotArea>
    </format>
    <format dxfId="286">
      <pivotArea dataOnly="0" labelOnly="1" outline="0" fieldPosition="0">
        <references count="4">
          <reference field="5" count="1" selected="0">
            <x v="175"/>
          </reference>
          <reference field="6" count="1" selected="0">
            <x v="1146"/>
          </reference>
          <reference field="9" count="1" selected="0">
            <x v="6"/>
          </reference>
          <reference field="10" count="1">
            <x v="1"/>
          </reference>
        </references>
      </pivotArea>
    </format>
    <format dxfId="285">
      <pivotArea dataOnly="0" labelOnly="1" outline="0" fieldPosition="0">
        <references count="4">
          <reference field="5" count="1" selected="0">
            <x v="172"/>
          </reference>
          <reference field="6" count="1" selected="0">
            <x v="1147"/>
          </reference>
          <reference field="9" count="1" selected="0">
            <x v="6"/>
          </reference>
          <reference field="10" count="1">
            <x v="1"/>
          </reference>
        </references>
      </pivotArea>
    </format>
    <format dxfId="284">
      <pivotArea dataOnly="0" labelOnly="1" outline="0" fieldPosition="0">
        <references count="4">
          <reference field="5" count="1" selected="0">
            <x v="35"/>
          </reference>
          <reference field="6" count="1" selected="0">
            <x v="1158"/>
          </reference>
          <reference field="9" count="1" selected="0">
            <x v="6"/>
          </reference>
          <reference field="10" count="1">
            <x v="1"/>
          </reference>
        </references>
      </pivotArea>
    </format>
    <format dxfId="283">
      <pivotArea dataOnly="0" labelOnly="1" outline="0" fieldPosition="0">
        <references count="4">
          <reference field="5" count="1" selected="0">
            <x v="34"/>
          </reference>
          <reference field="6" count="1" selected="0">
            <x v="1159"/>
          </reference>
          <reference field="9" count="1" selected="0">
            <x v="6"/>
          </reference>
          <reference field="10" count="1">
            <x v="1"/>
          </reference>
        </references>
      </pivotArea>
    </format>
    <format dxfId="282">
      <pivotArea dataOnly="0" labelOnly="1" outline="0" fieldPosition="0">
        <references count="4">
          <reference field="5" count="1" selected="0">
            <x v="220"/>
          </reference>
          <reference field="6" count="1" selected="0">
            <x v="1160"/>
          </reference>
          <reference field="9" count="1" selected="0">
            <x v="6"/>
          </reference>
          <reference field="10" count="1">
            <x v="1"/>
          </reference>
        </references>
      </pivotArea>
    </format>
    <format dxfId="281">
      <pivotArea dataOnly="0" labelOnly="1" outline="0" fieldPosition="0">
        <references count="4">
          <reference field="5" count="1" selected="0">
            <x v="11"/>
          </reference>
          <reference field="6" count="1" selected="0">
            <x v="1161"/>
          </reference>
          <reference field="9" count="1" selected="0">
            <x v="6"/>
          </reference>
          <reference field="10" count="1">
            <x v="2"/>
          </reference>
        </references>
      </pivotArea>
    </format>
    <format dxfId="280">
      <pivotArea dataOnly="0" labelOnly="1" outline="0" fieldPosition="0">
        <references count="4">
          <reference field="5" count="1" selected="0">
            <x v="169"/>
          </reference>
          <reference field="6" count="1" selected="0">
            <x v="1162"/>
          </reference>
          <reference field="9" count="1" selected="0">
            <x v="6"/>
          </reference>
          <reference field="10" count="1">
            <x v="1"/>
          </reference>
        </references>
      </pivotArea>
    </format>
    <format dxfId="279">
      <pivotArea dataOnly="0" labelOnly="1" outline="0" fieldPosition="0">
        <references count="4">
          <reference field="5" count="1" selected="0">
            <x v="68"/>
          </reference>
          <reference field="6" count="1" selected="0">
            <x v="1165"/>
          </reference>
          <reference field="9" count="1" selected="0">
            <x v="6"/>
          </reference>
          <reference field="10" count="1">
            <x v="1"/>
          </reference>
        </references>
      </pivotArea>
    </format>
    <format dxfId="278">
      <pivotArea dataOnly="0" labelOnly="1" outline="0" fieldPosition="0">
        <references count="4">
          <reference field="5" count="1" selected="0">
            <x v="220"/>
          </reference>
          <reference field="6" count="1" selected="0">
            <x v="1167"/>
          </reference>
          <reference field="9" count="1" selected="0">
            <x v="6"/>
          </reference>
          <reference field="10" count="1">
            <x v="1"/>
          </reference>
        </references>
      </pivotArea>
    </format>
    <format dxfId="277">
      <pivotArea dataOnly="0" labelOnly="1" outline="0" fieldPosition="0">
        <references count="4">
          <reference field="5" count="1" selected="0">
            <x v="88"/>
          </reference>
          <reference field="6" count="1" selected="0">
            <x v="1170"/>
          </reference>
          <reference field="9" count="1" selected="0">
            <x v="6"/>
          </reference>
          <reference field="10" count="1">
            <x v="1"/>
          </reference>
        </references>
      </pivotArea>
    </format>
    <format dxfId="276">
      <pivotArea dataOnly="0" labelOnly="1" outline="0" fieldPosition="0">
        <references count="4">
          <reference field="5" count="1" selected="0">
            <x v="197"/>
          </reference>
          <reference field="6" count="1" selected="0">
            <x v="1171"/>
          </reference>
          <reference field="9" count="1" selected="0">
            <x v="6"/>
          </reference>
          <reference field="10" count="1">
            <x v="2"/>
          </reference>
        </references>
      </pivotArea>
    </format>
    <format dxfId="275">
      <pivotArea dataOnly="0" labelOnly="1" outline="0" fieldPosition="0">
        <references count="4">
          <reference field="5" count="1" selected="0">
            <x v="169"/>
          </reference>
          <reference field="6" count="1" selected="0">
            <x v="1172"/>
          </reference>
          <reference field="9" count="1" selected="0">
            <x v="6"/>
          </reference>
          <reference field="10" count="1">
            <x v="1"/>
          </reference>
        </references>
      </pivotArea>
    </format>
    <format dxfId="274">
      <pivotArea dataOnly="0" labelOnly="1" outline="0" fieldPosition="0">
        <references count="4">
          <reference field="5" count="1" selected="0">
            <x v="68"/>
          </reference>
          <reference field="6" count="1" selected="0">
            <x v="1175"/>
          </reference>
          <reference field="9" count="1" selected="0">
            <x v="6"/>
          </reference>
          <reference field="10" count="1">
            <x v="1"/>
          </reference>
        </references>
      </pivotArea>
    </format>
    <format dxfId="273">
      <pivotArea dataOnly="0" labelOnly="1" outline="0" fieldPosition="0">
        <references count="4">
          <reference field="5" count="1" selected="0">
            <x v="220"/>
          </reference>
          <reference field="6" count="1" selected="0">
            <x v="1177"/>
          </reference>
          <reference field="9" count="1" selected="0">
            <x v="6"/>
          </reference>
          <reference field="10" count="1">
            <x v="1"/>
          </reference>
        </references>
      </pivotArea>
    </format>
    <format dxfId="272">
      <pivotArea dataOnly="0" labelOnly="1" outline="0" fieldPosition="0">
        <references count="4">
          <reference field="5" count="1" selected="0">
            <x v="198"/>
          </reference>
          <reference field="6" count="1" selected="0">
            <x v="1178"/>
          </reference>
          <reference field="9" count="1" selected="0">
            <x v="6"/>
          </reference>
          <reference field="10" count="1">
            <x v="1"/>
          </reference>
        </references>
      </pivotArea>
    </format>
    <format dxfId="271">
      <pivotArea dataOnly="0" labelOnly="1" outline="0" fieldPosition="0">
        <references count="4">
          <reference field="5" count="1" selected="0">
            <x v="51"/>
          </reference>
          <reference field="6" count="1" selected="0">
            <x v="1180"/>
          </reference>
          <reference field="9" count="1" selected="0">
            <x v="6"/>
          </reference>
          <reference field="10" count="1">
            <x v="1"/>
          </reference>
        </references>
      </pivotArea>
    </format>
    <format dxfId="270">
      <pivotArea dataOnly="0" labelOnly="1" outline="0" fieldPosition="0">
        <references count="4">
          <reference field="5" count="1" selected="0">
            <x v="60"/>
          </reference>
          <reference field="6" count="1" selected="0">
            <x v="1181"/>
          </reference>
          <reference field="9" count="1" selected="0">
            <x v="6"/>
          </reference>
          <reference field="10" count="1">
            <x v="1"/>
          </reference>
        </references>
      </pivotArea>
    </format>
    <format dxfId="269">
      <pivotArea dataOnly="0" labelOnly="1" outline="0" fieldPosition="0">
        <references count="4">
          <reference field="5" count="1" selected="0">
            <x v="154"/>
          </reference>
          <reference field="6" count="1" selected="0">
            <x v="1182"/>
          </reference>
          <reference field="9" count="1" selected="0">
            <x v="6"/>
          </reference>
          <reference field="10" count="1">
            <x v="1"/>
          </reference>
        </references>
      </pivotArea>
    </format>
    <format dxfId="268">
      <pivotArea dataOnly="0" labelOnly="1" outline="0" fieldPosition="0">
        <references count="4">
          <reference field="5" count="1" selected="0">
            <x v="255"/>
          </reference>
          <reference field="6" count="1" selected="0">
            <x v="1188"/>
          </reference>
          <reference field="9" count="1" selected="0">
            <x v="6"/>
          </reference>
          <reference field="10" count="1">
            <x v="1"/>
          </reference>
        </references>
      </pivotArea>
    </format>
    <format dxfId="267">
      <pivotArea dataOnly="0" labelOnly="1" outline="0" fieldPosition="0">
        <references count="4">
          <reference field="5" count="1" selected="0">
            <x v="254"/>
          </reference>
          <reference field="6" count="1" selected="0">
            <x v="1189"/>
          </reference>
          <reference field="9" count="1" selected="0">
            <x v="6"/>
          </reference>
          <reference field="10" count="1">
            <x v="1"/>
          </reference>
        </references>
      </pivotArea>
    </format>
    <format dxfId="266">
      <pivotArea dataOnly="0" labelOnly="1" outline="0" fieldPosition="0">
        <references count="4">
          <reference field="5" count="1" selected="0">
            <x v="169"/>
          </reference>
          <reference field="6" count="1" selected="0">
            <x v="1190"/>
          </reference>
          <reference field="9" count="1" selected="0">
            <x v="6"/>
          </reference>
          <reference field="10" count="1">
            <x v="1"/>
          </reference>
        </references>
      </pivotArea>
    </format>
    <format dxfId="265">
      <pivotArea dataOnly="0" labelOnly="1" outline="0" fieldPosition="0">
        <references count="4">
          <reference field="5" count="1" selected="0">
            <x v="68"/>
          </reference>
          <reference field="6" count="1" selected="0">
            <x v="1191"/>
          </reference>
          <reference field="9" count="1" selected="0">
            <x v="6"/>
          </reference>
          <reference field="10" count="1">
            <x v="1"/>
          </reference>
        </references>
      </pivotArea>
    </format>
    <format dxfId="264">
      <pivotArea dataOnly="0" labelOnly="1" outline="0" fieldPosition="0">
        <references count="4">
          <reference field="5" count="1" selected="0">
            <x v="220"/>
          </reference>
          <reference field="6" count="1" selected="0">
            <x v="1192"/>
          </reference>
          <reference field="9" count="1" selected="0">
            <x v="6"/>
          </reference>
          <reference field="10" count="1">
            <x v="1"/>
          </reference>
        </references>
      </pivotArea>
    </format>
    <format dxfId="263">
      <pivotArea dataOnly="0" labelOnly="1" outline="0" fieldPosition="0">
        <references count="4">
          <reference field="5" count="1" selected="0">
            <x v="167"/>
          </reference>
          <reference field="6" count="1" selected="0">
            <x v="1196"/>
          </reference>
          <reference field="9" count="1" selected="0">
            <x v="6"/>
          </reference>
          <reference field="10" count="1">
            <x v="2"/>
          </reference>
        </references>
      </pivotArea>
    </format>
    <format dxfId="262">
      <pivotArea dataOnly="0" labelOnly="1" outline="0" fieldPosition="0">
        <references count="4">
          <reference field="5" count="1" selected="0">
            <x v="219"/>
          </reference>
          <reference field="6" count="1" selected="0">
            <x v="1207"/>
          </reference>
          <reference field="9" count="1" selected="0">
            <x v="6"/>
          </reference>
          <reference field="10" count="1">
            <x v="1"/>
          </reference>
        </references>
      </pivotArea>
    </format>
    <format dxfId="261">
      <pivotArea dataOnly="0" labelOnly="1" outline="0" fieldPosition="0">
        <references count="4">
          <reference field="5" count="1" selected="0">
            <x v="62"/>
          </reference>
          <reference field="6" count="1" selected="0">
            <x v="1208"/>
          </reference>
          <reference field="9" count="1" selected="0">
            <x v="6"/>
          </reference>
          <reference field="10" count="1">
            <x v="2"/>
          </reference>
        </references>
      </pivotArea>
    </format>
    <format dxfId="260">
      <pivotArea dataOnly="0" labelOnly="1" outline="0" fieldPosition="0">
        <references count="4">
          <reference field="5" count="1" selected="0">
            <x v="40"/>
          </reference>
          <reference field="6" count="1" selected="0">
            <x v="1209"/>
          </reference>
          <reference field="9" count="1" selected="0">
            <x v="6"/>
          </reference>
          <reference field="10" count="1">
            <x v="1"/>
          </reference>
        </references>
      </pivotArea>
    </format>
    <format dxfId="259">
      <pivotArea dataOnly="0" labelOnly="1" outline="0" fieldPosition="0">
        <references count="4">
          <reference field="5" count="1" selected="0">
            <x v="196"/>
          </reference>
          <reference field="6" count="1" selected="0">
            <x v="1210"/>
          </reference>
          <reference field="9" count="1" selected="0">
            <x v="6"/>
          </reference>
          <reference field="10" count="1">
            <x v="1"/>
          </reference>
        </references>
      </pivotArea>
    </format>
    <format dxfId="258">
      <pivotArea dataOnly="0" labelOnly="1" outline="0" fieldPosition="0">
        <references count="4">
          <reference field="5" count="1" selected="0">
            <x v="92"/>
          </reference>
          <reference field="6" count="1" selected="0">
            <x v="1211"/>
          </reference>
          <reference field="9" count="1" selected="0">
            <x v="6"/>
          </reference>
          <reference field="10" count="1">
            <x v="1"/>
          </reference>
        </references>
      </pivotArea>
    </format>
    <format dxfId="257">
      <pivotArea dataOnly="0" labelOnly="1" outline="0" fieldPosition="0">
        <references count="4">
          <reference field="5" count="1" selected="0">
            <x v="335"/>
          </reference>
          <reference field="6" count="1" selected="0">
            <x v="1212"/>
          </reference>
          <reference field="9" count="1" selected="0">
            <x v="6"/>
          </reference>
          <reference field="10" count="1">
            <x v="2"/>
          </reference>
        </references>
      </pivotArea>
    </format>
    <format dxfId="256">
      <pivotArea dataOnly="0" labelOnly="1" outline="0" fieldPosition="0">
        <references count="4">
          <reference field="5" count="1" selected="0">
            <x v="291"/>
          </reference>
          <reference field="6" count="1" selected="0">
            <x v="1217"/>
          </reference>
          <reference field="9" count="1" selected="0">
            <x v="6"/>
          </reference>
          <reference field="10" count="1">
            <x v="2"/>
          </reference>
        </references>
      </pivotArea>
    </format>
    <format dxfId="255">
      <pivotArea dataOnly="0" labelOnly="1" outline="0" fieldPosition="0">
        <references count="4">
          <reference field="5" count="1" selected="0">
            <x v="292"/>
          </reference>
          <reference field="6" count="1" selected="0">
            <x v="1218"/>
          </reference>
          <reference field="9" count="1" selected="0">
            <x v="6"/>
          </reference>
          <reference field="10" count="1">
            <x v="1"/>
          </reference>
        </references>
      </pivotArea>
    </format>
    <format dxfId="254">
      <pivotArea dataOnly="0" labelOnly="1" outline="0" fieldPosition="0">
        <references count="4">
          <reference field="5" count="1" selected="0">
            <x v="293"/>
          </reference>
          <reference field="6" count="1" selected="0">
            <x v="1219"/>
          </reference>
          <reference field="9" count="1" selected="0">
            <x v="6"/>
          </reference>
          <reference field="10" count="1">
            <x v="1"/>
          </reference>
        </references>
      </pivotArea>
    </format>
    <format dxfId="253">
      <pivotArea dataOnly="0" labelOnly="1" outline="0" fieldPosition="0">
        <references count="4">
          <reference field="5" count="1" selected="0">
            <x v="294"/>
          </reference>
          <reference field="6" count="1" selected="0">
            <x v="1220"/>
          </reference>
          <reference field="9" count="1" selected="0">
            <x v="6"/>
          </reference>
          <reference field="10" count="1">
            <x v="2"/>
          </reference>
        </references>
      </pivotArea>
    </format>
    <format dxfId="252">
      <pivotArea dataOnly="0" labelOnly="1" outline="0" fieldPosition="0">
        <references count="4">
          <reference field="5" count="1" selected="0">
            <x v="295"/>
          </reference>
          <reference field="6" count="1" selected="0">
            <x v="1225"/>
          </reference>
          <reference field="9" count="1" selected="0">
            <x v="6"/>
          </reference>
          <reference field="10" count="1">
            <x v="2"/>
          </reference>
        </references>
      </pivotArea>
    </format>
    <format dxfId="251">
      <pivotArea dataOnly="0" labelOnly="1" outline="0" fieldPosition="0">
        <references count="4">
          <reference field="5" count="1" selected="0">
            <x v="46"/>
          </reference>
          <reference field="6" count="1" selected="0">
            <x v="1226"/>
          </reference>
          <reference field="9" count="1" selected="0">
            <x v="6"/>
          </reference>
          <reference field="10" count="1">
            <x v="1"/>
          </reference>
        </references>
      </pivotArea>
    </format>
    <format dxfId="250">
      <pivotArea dataOnly="0" labelOnly="1" outline="0" fieldPosition="0">
        <references count="4">
          <reference field="5" count="1" selected="0">
            <x v="45"/>
          </reference>
          <reference field="6" count="1" selected="0">
            <x v="1227"/>
          </reference>
          <reference field="9" count="1" selected="0">
            <x v="6"/>
          </reference>
          <reference field="10" count="1">
            <x v="1"/>
          </reference>
        </references>
      </pivotArea>
    </format>
    <format dxfId="249">
      <pivotArea dataOnly="0" labelOnly="1" outline="0" fieldPosition="0">
        <references count="4">
          <reference field="5" count="1" selected="0">
            <x v="296"/>
          </reference>
          <reference field="6" count="1" selected="0">
            <x v="1228"/>
          </reference>
          <reference field="9" count="1" selected="0">
            <x v="6"/>
          </reference>
          <reference field="10" count="1">
            <x v="1"/>
          </reference>
        </references>
      </pivotArea>
    </format>
    <format dxfId="248">
      <pivotArea dataOnly="0" labelOnly="1" outline="0" fieldPosition="0">
        <references count="4">
          <reference field="5" count="1" selected="0">
            <x v="297"/>
          </reference>
          <reference field="6" count="1" selected="0">
            <x v="1229"/>
          </reference>
          <reference field="9" count="1" selected="0">
            <x v="6"/>
          </reference>
          <reference field="10" count="1">
            <x v="1"/>
          </reference>
        </references>
      </pivotArea>
    </format>
    <format dxfId="247">
      <pivotArea dataOnly="0" labelOnly="1" outline="0" fieldPosition="0">
        <references count="4">
          <reference field="5" count="1" selected="0">
            <x v="298"/>
          </reference>
          <reference field="6" count="1" selected="0">
            <x v="1230"/>
          </reference>
          <reference field="9" count="1" selected="0">
            <x v="6"/>
          </reference>
          <reference field="10" count="1">
            <x v="1"/>
          </reference>
        </references>
      </pivotArea>
    </format>
    <format dxfId="246">
      <pivotArea dataOnly="0" labelOnly="1" outline="0" fieldPosition="0">
        <references count="4">
          <reference field="5" count="1" selected="0">
            <x v="299"/>
          </reference>
          <reference field="6" count="1" selected="0">
            <x v="1231"/>
          </reference>
          <reference field="9" count="1" selected="0">
            <x v="6"/>
          </reference>
          <reference field="10" count="1">
            <x v="1"/>
          </reference>
        </references>
      </pivotArea>
    </format>
    <format dxfId="245">
      <pivotArea dataOnly="0" labelOnly="1" outline="0" fieldPosition="0">
        <references count="4">
          <reference field="5" count="1" selected="0">
            <x v="300"/>
          </reference>
          <reference field="6" count="1" selected="0">
            <x v="1232"/>
          </reference>
          <reference field="9" count="1" selected="0">
            <x v="6"/>
          </reference>
          <reference field="10" count="1">
            <x v="1"/>
          </reference>
        </references>
      </pivotArea>
    </format>
    <format dxfId="244">
      <pivotArea dataOnly="0" labelOnly="1" outline="0" fieldPosition="0">
        <references count="4">
          <reference field="5" count="1" selected="0">
            <x v="301"/>
          </reference>
          <reference field="6" count="1" selected="0">
            <x v="1233"/>
          </reference>
          <reference field="9" count="1" selected="0">
            <x v="6"/>
          </reference>
          <reference field="10" count="1">
            <x v="1"/>
          </reference>
        </references>
      </pivotArea>
    </format>
    <format dxfId="243">
      <pivotArea dataOnly="0" labelOnly="1" outline="0" fieldPosition="0">
        <references count="4">
          <reference field="5" count="1" selected="0">
            <x v="214"/>
          </reference>
          <reference field="6" count="1" selected="0">
            <x v="1234"/>
          </reference>
          <reference field="9" count="1" selected="0">
            <x v="6"/>
          </reference>
          <reference field="10" count="1">
            <x v="2"/>
          </reference>
        </references>
      </pivotArea>
    </format>
    <format dxfId="242">
      <pivotArea dataOnly="0" labelOnly="1" outline="0" fieldPosition="0">
        <references count="4">
          <reference field="5" count="1" selected="0">
            <x v="49"/>
          </reference>
          <reference field="6" count="1" selected="0">
            <x v="1235"/>
          </reference>
          <reference field="9" count="1" selected="0">
            <x v="6"/>
          </reference>
          <reference field="10" count="1">
            <x v="1"/>
          </reference>
        </references>
      </pivotArea>
    </format>
    <format dxfId="241">
      <pivotArea dataOnly="0" labelOnly="1" outline="0" fieldPosition="0">
        <references count="4">
          <reference field="5" count="1" selected="0">
            <x v="185"/>
          </reference>
          <reference field="6" count="1" selected="0">
            <x v="1236"/>
          </reference>
          <reference field="9" count="1" selected="0">
            <x v="6"/>
          </reference>
          <reference field="10" count="1">
            <x v="1"/>
          </reference>
        </references>
      </pivotArea>
    </format>
    <format dxfId="240">
      <pivotArea dataOnly="0" labelOnly="1" outline="0" fieldPosition="0">
        <references count="4">
          <reference field="5" count="1" selected="0">
            <x v="212"/>
          </reference>
          <reference field="6" count="1" selected="0">
            <x v="1243"/>
          </reference>
          <reference field="9" count="1" selected="0">
            <x v="6"/>
          </reference>
          <reference field="10" count="1">
            <x v="1"/>
          </reference>
        </references>
      </pivotArea>
    </format>
    <format dxfId="239">
      <pivotArea dataOnly="0" labelOnly="1" outline="0" fieldPosition="0">
        <references count="4">
          <reference field="5" count="1" selected="0">
            <x v="66"/>
          </reference>
          <reference field="6" count="1" selected="0">
            <x v="1244"/>
          </reference>
          <reference field="9" count="1" selected="0">
            <x v="6"/>
          </reference>
          <reference field="10" count="1">
            <x v="0"/>
          </reference>
        </references>
      </pivotArea>
    </format>
    <format dxfId="238">
      <pivotArea dataOnly="0" labelOnly="1" outline="0" fieldPosition="0">
        <references count="4">
          <reference field="5" count="1" selected="0">
            <x v="287"/>
          </reference>
          <reference field="6" count="1" selected="0">
            <x v="1245"/>
          </reference>
          <reference field="9" count="1" selected="0">
            <x v="6"/>
          </reference>
          <reference field="10" count="1">
            <x v="2"/>
          </reference>
        </references>
      </pivotArea>
    </format>
    <format dxfId="237">
      <pivotArea dataOnly="0" labelOnly="1" outline="0" fieldPosition="0">
        <references count="4">
          <reference field="5" count="1" selected="0">
            <x v="105"/>
          </reference>
          <reference field="6" count="1" selected="0">
            <x v="1246"/>
          </reference>
          <reference field="9" count="1" selected="0">
            <x v="6"/>
          </reference>
          <reference field="10" count="1">
            <x v="1"/>
          </reference>
        </references>
      </pivotArea>
    </format>
    <format dxfId="236">
      <pivotArea dataOnly="0" labelOnly="1" outline="0" fieldPosition="0">
        <references count="4">
          <reference field="5" count="1" selected="0">
            <x v="107"/>
          </reference>
          <reference field="6" count="1" selected="0">
            <x v="1251"/>
          </reference>
          <reference field="9" count="1" selected="0">
            <x v="6"/>
          </reference>
          <reference field="10" count="1">
            <x v="1"/>
          </reference>
        </references>
      </pivotArea>
    </format>
    <format dxfId="235">
      <pivotArea dataOnly="0" labelOnly="1" outline="0" fieldPosition="0">
        <references count="4">
          <reference field="5" count="1" selected="0">
            <x v="106"/>
          </reference>
          <reference field="6" count="1" selected="0">
            <x v="1253"/>
          </reference>
          <reference field="9" count="1" selected="0">
            <x v="6"/>
          </reference>
          <reference field="10" count="1">
            <x v="1"/>
          </reference>
        </references>
      </pivotArea>
    </format>
    <format dxfId="234">
      <pivotArea dataOnly="0" labelOnly="1" outline="0" fieldPosition="0">
        <references count="4">
          <reference field="5" count="1" selected="0">
            <x v="302"/>
          </reference>
          <reference field="6" count="1" selected="0">
            <x v="1254"/>
          </reference>
          <reference field="9" count="1" selected="0">
            <x v="6"/>
          </reference>
          <reference field="10" count="1">
            <x v="1"/>
          </reference>
        </references>
      </pivotArea>
    </format>
    <format dxfId="233">
      <pivotArea dataOnly="0" labelOnly="1" outline="0" fieldPosition="0">
        <references count="4">
          <reference field="5" count="1" selected="0">
            <x v="303"/>
          </reference>
          <reference field="6" count="1" selected="0">
            <x v="1255"/>
          </reference>
          <reference field="9" count="1" selected="0">
            <x v="6"/>
          </reference>
          <reference field="10" count="1">
            <x v="1"/>
          </reference>
        </references>
      </pivotArea>
    </format>
    <format dxfId="232">
      <pivotArea dataOnly="0" labelOnly="1" outline="0" fieldPosition="0">
        <references count="4">
          <reference field="5" count="1" selected="0">
            <x v="304"/>
          </reference>
          <reference field="6" count="1" selected="0">
            <x v="1256"/>
          </reference>
          <reference field="9" count="1" selected="0">
            <x v="6"/>
          </reference>
          <reference field="10" count="1">
            <x v="1"/>
          </reference>
        </references>
      </pivotArea>
    </format>
    <format dxfId="231">
      <pivotArea dataOnly="0" labelOnly="1" outline="0" fieldPosition="0">
        <references count="4">
          <reference field="5" count="1" selected="0">
            <x v="305"/>
          </reference>
          <reference field="6" count="1" selected="0">
            <x v="1257"/>
          </reference>
          <reference field="9" count="1" selected="0">
            <x v="6"/>
          </reference>
          <reference field="10" count="1">
            <x v="1"/>
          </reference>
        </references>
      </pivotArea>
    </format>
    <format dxfId="230">
      <pivotArea dataOnly="0" labelOnly="1" outline="0" fieldPosition="0">
        <references count="4">
          <reference field="5" count="1" selected="0">
            <x v="306"/>
          </reference>
          <reference field="6" count="1" selected="0">
            <x v="1258"/>
          </reference>
          <reference field="9" count="1" selected="0">
            <x v="6"/>
          </reference>
          <reference field="10" count="1">
            <x v="1"/>
          </reference>
        </references>
      </pivotArea>
    </format>
    <format dxfId="229">
      <pivotArea dataOnly="0" labelOnly="1" outline="0" fieldPosition="0">
        <references count="4">
          <reference field="5" count="1" selected="0">
            <x v="307"/>
          </reference>
          <reference field="6" count="1" selected="0">
            <x v="1259"/>
          </reference>
          <reference field="9" count="1" selected="0">
            <x v="6"/>
          </reference>
          <reference field="10" count="1">
            <x v="1"/>
          </reference>
        </references>
      </pivotArea>
    </format>
    <format dxfId="228">
      <pivotArea dataOnly="0" labelOnly="1" outline="0" fieldPosition="0">
        <references count="4">
          <reference field="5" count="1" selected="0">
            <x v="308"/>
          </reference>
          <reference field="6" count="1" selected="0">
            <x v="1260"/>
          </reference>
          <reference field="9" count="1" selected="0">
            <x v="6"/>
          </reference>
          <reference field="10" count="1">
            <x v="1"/>
          </reference>
        </references>
      </pivotArea>
    </format>
    <format dxfId="227">
      <pivotArea dataOnly="0" labelOnly="1" outline="0" fieldPosition="0">
        <references count="4">
          <reference field="5" count="1" selected="0">
            <x v="309"/>
          </reference>
          <reference field="6" count="1" selected="0">
            <x v="1261"/>
          </reference>
          <reference field="9" count="1" selected="0">
            <x v="6"/>
          </reference>
          <reference field="10" count="1">
            <x v="1"/>
          </reference>
        </references>
      </pivotArea>
    </format>
    <format dxfId="226">
      <pivotArea dataOnly="0" labelOnly="1" outline="0" fieldPosition="0">
        <references count="4">
          <reference field="5" count="1" selected="0">
            <x v="207"/>
          </reference>
          <reference field="6" count="1" selected="0">
            <x v="1262"/>
          </reference>
          <reference field="9" count="1" selected="0">
            <x v="6"/>
          </reference>
          <reference field="10" count="1">
            <x v="2"/>
          </reference>
        </references>
      </pivotArea>
    </format>
    <format dxfId="225">
      <pivotArea dataOnly="0" labelOnly="1" outline="0" fieldPosition="0">
        <references count="4">
          <reference field="5" count="1" selected="0">
            <x v="193"/>
          </reference>
          <reference field="6" count="1" selected="0">
            <x v="1264"/>
          </reference>
          <reference field="9" count="1" selected="0">
            <x v="6"/>
          </reference>
          <reference field="10" count="1">
            <x v="1"/>
          </reference>
        </references>
      </pivotArea>
    </format>
    <format dxfId="224">
      <pivotArea dataOnly="0" labelOnly="1" outline="0" fieldPosition="0">
        <references count="4">
          <reference field="5" count="1" selected="0">
            <x v="192"/>
          </reference>
          <reference field="6" count="1" selected="0">
            <x v="1265"/>
          </reference>
          <reference field="9" count="1" selected="0">
            <x v="6"/>
          </reference>
          <reference field="10" count="1">
            <x v="1"/>
          </reference>
        </references>
      </pivotArea>
    </format>
    <format dxfId="223">
      <pivotArea dataOnly="0" labelOnly="1" outline="0" fieldPosition="0">
        <references count="4">
          <reference field="5" count="1" selected="0">
            <x v="70"/>
          </reference>
          <reference field="6" count="1" selected="0">
            <x v="1267"/>
          </reference>
          <reference field="9" count="1" selected="0">
            <x v="6"/>
          </reference>
          <reference field="10" count="1">
            <x v="1"/>
          </reference>
        </references>
      </pivotArea>
    </format>
    <format dxfId="222">
      <pivotArea dataOnly="0" labelOnly="1" outline="0" fieldPosition="0">
        <references count="4">
          <reference field="5" count="1" selected="0">
            <x v="191"/>
          </reference>
          <reference field="6" count="1" selected="0">
            <x v="1268"/>
          </reference>
          <reference field="9" count="1" selected="0">
            <x v="6"/>
          </reference>
          <reference field="10" count="1">
            <x v="1"/>
          </reference>
        </references>
      </pivotArea>
    </format>
    <format dxfId="221">
      <pivotArea dataOnly="0" labelOnly="1" outline="0" fieldPosition="0">
        <references count="4">
          <reference field="5" count="1" selected="0">
            <x v="232"/>
          </reference>
          <reference field="6" count="1" selected="0">
            <x v="1270"/>
          </reference>
          <reference field="9" count="1" selected="0">
            <x v="6"/>
          </reference>
          <reference field="10" count="1">
            <x v="1"/>
          </reference>
        </references>
      </pivotArea>
    </format>
    <format dxfId="220">
      <pivotArea dataOnly="0" labelOnly="1" outline="0" fieldPosition="0">
        <references count="4">
          <reference field="5" count="1" selected="0">
            <x v="61"/>
          </reference>
          <reference field="6" count="1" selected="0">
            <x v="1271"/>
          </reference>
          <reference field="9" count="1" selected="0">
            <x v="6"/>
          </reference>
          <reference field="10" count="1">
            <x v="1"/>
          </reference>
        </references>
      </pivotArea>
    </format>
    <format dxfId="219">
      <pivotArea dataOnly="0" labelOnly="1" outline="0" fieldPosition="0">
        <references count="4">
          <reference field="5" count="1" selected="0">
            <x v="206"/>
          </reference>
          <reference field="6" count="1" selected="0">
            <x v="1272"/>
          </reference>
          <reference field="9" count="1" selected="0">
            <x v="6"/>
          </reference>
          <reference field="10" count="1">
            <x v="2"/>
          </reference>
        </references>
      </pivotArea>
    </format>
    <format dxfId="218">
      <pivotArea dataOnly="0" labelOnly="1" outline="0" fieldPosition="0">
        <references count="4">
          <reference field="5" count="1" selected="0">
            <x v="193"/>
          </reference>
          <reference field="6" count="1" selected="0">
            <x v="1274"/>
          </reference>
          <reference field="9" count="1" selected="0">
            <x v="6"/>
          </reference>
          <reference field="10" count="1">
            <x v="1"/>
          </reference>
        </references>
      </pivotArea>
    </format>
    <format dxfId="217">
      <pivotArea dataOnly="0" labelOnly="1" outline="0" fieldPosition="0">
        <references count="4">
          <reference field="5" count="1" selected="0">
            <x v="192"/>
          </reference>
          <reference field="6" count="1" selected="0">
            <x v="1275"/>
          </reference>
          <reference field="9" count="1" selected="0">
            <x v="6"/>
          </reference>
          <reference field="10" count="1">
            <x v="1"/>
          </reference>
        </references>
      </pivotArea>
    </format>
    <format dxfId="216">
      <pivotArea dataOnly="0" labelOnly="1" outline="0" fieldPosition="0">
        <references count="4">
          <reference field="5" count="1" selected="0">
            <x v="70"/>
          </reference>
          <reference field="6" count="1" selected="0">
            <x v="1277"/>
          </reference>
          <reference field="9" count="1" selected="0">
            <x v="6"/>
          </reference>
          <reference field="10" count="1">
            <x v="1"/>
          </reference>
        </references>
      </pivotArea>
    </format>
    <format dxfId="215">
      <pivotArea dataOnly="0" labelOnly="1" outline="0" fieldPosition="0">
        <references count="4">
          <reference field="5" count="1" selected="0">
            <x v="191"/>
          </reference>
          <reference field="6" count="1" selected="0">
            <x v="1278"/>
          </reference>
          <reference field="9" count="1" selected="0">
            <x v="6"/>
          </reference>
          <reference field="10" count="1">
            <x v="1"/>
          </reference>
        </references>
      </pivotArea>
    </format>
    <format dxfId="214">
      <pivotArea dataOnly="0" labelOnly="1" outline="0" fieldPosition="0">
        <references count="4">
          <reference field="5" count="1" selected="0">
            <x v="232"/>
          </reference>
          <reference field="6" count="1" selected="0">
            <x v="1280"/>
          </reference>
          <reference field="9" count="1" selected="0">
            <x v="6"/>
          </reference>
          <reference field="10" count="1">
            <x v="1"/>
          </reference>
        </references>
      </pivotArea>
    </format>
    <format dxfId="213">
      <pivotArea dataOnly="0" labelOnly="1" outline="0" fieldPosition="0">
        <references count="4">
          <reference field="5" count="1" selected="0">
            <x v="61"/>
          </reference>
          <reference field="6" count="1" selected="0">
            <x v="1281"/>
          </reference>
          <reference field="9" count="1" selected="0">
            <x v="6"/>
          </reference>
          <reference field="10" count="1">
            <x v="1"/>
          </reference>
        </references>
      </pivotArea>
    </format>
    <format dxfId="212">
      <pivotArea dataOnly="0" labelOnly="1" outline="0" fieldPosition="0">
        <references count="4">
          <reference field="5" count="1" selected="0">
            <x v="192"/>
          </reference>
          <reference field="6" count="1" selected="0">
            <x v="1284"/>
          </reference>
          <reference field="9" count="1" selected="0">
            <x v="6"/>
          </reference>
          <reference field="10" count="1">
            <x v="1"/>
          </reference>
        </references>
      </pivotArea>
    </format>
    <format dxfId="211">
      <pivotArea dataOnly="0" labelOnly="1" outline="0" fieldPosition="0">
        <references count="4">
          <reference field="5" count="1" selected="0">
            <x v="87"/>
          </reference>
          <reference field="6" count="1" selected="0">
            <x v="1288"/>
          </reference>
          <reference field="9" count="1" selected="0">
            <x v="6"/>
          </reference>
          <reference field="10" count="1">
            <x v="2"/>
          </reference>
        </references>
      </pivotArea>
    </format>
    <format dxfId="210">
      <pivotArea dataOnly="0" labelOnly="1" outline="0" fieldPosition="0">
        <references count="4">
          <reference field="5" count="1" selected="0">
            <x v="169"/>
          </reference>
          <reference field="6" count="1" selected="0">
            <x v="1289"/>
          </reference>
          <reference field="9" count="1" selected="0">
            <x v="6"/>
          </reference>
          <reference field="10" count="1">
            <x v="1"/>
          </reference>
        </references>
      </pivotArea>
    </format>
    <format dxfId="209">
      <pivotArea dataOnly="0" labelOnly="1" outline="0" fieldPosition="0">
        <references count="4">
          <reference field="5" count="1" selected="0">
            <x v="68"/>
          </reference>
          <reference field="6" count="1" selected="0">
            <x v="1292"/>
          </reference>
          <reference field="9" count="1" selected="0">
            <x v="6"/>
          </reference>
          <reference field="10" count="1">
            <x v="1"/>
          </reference>
        </references>
      </pivotArea>
    </format>
    <format dxfId="208">
      <pivotArea dataOnly="0" labelOnly="1" outline="0" fieldPosition="0">
        <references count="4">
          <reference field="5" count="1" selected="0">
            <x v="31"/>
          </reference>
          <reference field="6" count="1" selected="0">
            <x v="1293"/>
          </reference>
          <reference field="9" count="1" selected="0">
            <x v="6"/>
          </reference>
          <reference field="10" count="1">
            <x v="1"/>
          </reference>
        </references>
      </pivotArea>
    </format>
    <format dxfId="207">
      <pivotArea dataOnly="0" labelOnly="1" outline="0" fieldPosition="0">
        <references count="4">
          <reference field="5" count="1" selected="0">
            <x v="220"/>
          </reference>
          <reference field="6" count="1" selected="0">
            <x v="1294"/>
          </reference>
          <reference field="9" count="1" selected="0">
            <x v="6"/>
          </reference>
          <reference field="10" count="1">
            <x v="1"/>
          </reference>
        </references>
      </pivotArea>
    </format>
    <format dxfId="206">
      <pivotArea dataOnly="0" labelOnly="1" outline="0" fieldPosition="0">
        <references count="4">
          <reference field="5" count="1" selected="0">
            <x v="198"/>
          </reference>
          <reference field="6" count="1" selected="0">
            <x v="1295"/>
          </reference>
          <reference field="9" count="1" selected="0">
            <x v="6"/>
          </reference>
          <reference field="10" count="1">
            <x v="1"/>
          </reference>
        </references>
      </pivotArea>
    </format>
    <format dxfId="205">
      <pivotArea dataOnly="0" labelOnly="1" outline="0" fieldPosition="0">
        <references count="4">
          <reference field="5" count="1" selected="0">
            <x v="200"/>
          </reference>
          <reference field="6" count="1" selected="0">
            <x v="1299"/>
          </reference>
          <reference field="9" count="1" selected="0">
            <x v="6"/>
          </reference>
          <reference field="10" count="1">
            <x v="1"/>
          </reference>
        </references>
      </pivotArea>
    </format>
    <format dxfId="204">
      <pivotArea dataOnly="0" labelOnly="1" outline="0" fieldPosition="0">
        <references count="4">
          <reference field="5" count="1" selected="0">
            <x v="288"/>
          </reference>
          <reference field="6" count="1" selected="0">
            <x v="1302"/>
          </reference>
          <reference field="9" count="1" selected="0">
            <x v="6"/>
          </reference>
          <reference field="10" count="1">
            <x v="2"/>
          </reference>
        </references>
      </pivotArea>
    </format>
    <format dxfId="203">
      <pivotArea dataOnly="0" labelOnly="1" outline="0" fieldPosition="0">
        <references count="4">
          <reference field="5" count="1" selected="0">
            <x v="155"/>
          </reference>
          <reference field="6" count="1" selected="0">
            <x v="1305"/>
          </reference>
          <reference field="9" count="1" selected="0">
            <x v="6"/>
          </reference>
          <reference field="10" count="1">
            <x v="1"/>
          </reference>
        </references>
      </pivotArea>
    </format>
    <format dxfId="202">
      <pivotArea dataOnly="0" labelOnly="1" outline="0" fieldPosition="0">
        <references count="4">
          <reference field="5" count="1" selected="0">
            <x v="172"/>
          </reference>
          <reference field="6" count="1" selected="0">
            <x v="1306"/>
          </reference>
          <reference field="9" count="1" selected="0">
            <x v="6"/>
          </reference>
          <reference field="10" count="1">
            <x v="1"/>
          </reference>
        </references>
      </pivotArea>
    </format>
    <format dxfId="201">
      <pivotArea dataOnly="0" labelOnly="1" outline="0" fieldPosition="0">
        <references count="4">
          <reference field="5" count="1" selected="0">
            <x v="35"/>
          </reference>
          <reference field="6" count="1" selected="0">
            <x v="1310"/>
          </reference>
          <reference field="9" count="1" selected="0">
            <x v="6"/>
          </reference>
          <reference field="10" count="1">
            <x v="1"/>
          </reference>
        </references>
      </pivotArea>
    </format>
    <format dxfId="200">
      <pivotArea dataOnly="0" labelOnly="1" outline="0" fieldPosition="0">
        <references count="4">
          <reference field="5" count="1" selected="0">
            <x v="34"/>
          </reference>
          <reference field="6" count="1" selected="0">
            <x v="1311"/>
          </reference>
          <reference field="9" count="1" selected="0">
            <x v="6"/>
          </reference>
          <reference field="10" count="1">
            <x v="1"/>
          </reference>
        </references>
      </pivotArea>
    </format>
    <format dxfId="199">
      <pivotArea dataOnly="0" labelOnly="1" outline="0" fieldPosition="0">
        <references count="4">
          <reference field="5" count="1" selected="0">
            <x v="220"/>
          </reference>
          <reference field="6" count="1" selected="0">
            <x v="1312"/>
          </reference>
          <reference field="9" count="1" selected="0">
            <x v="6"/>
          </reference>
          <reference field="10" count="1">
            <x v="1"/>
          </reference>
        </references>
      </pivotArea>
    </format>
    <format dxfId="198">
      <pivotArea dataOnly="0" labelOnly="1" outline="0" fieldPosition="0">
        <references count="4">
          <reference field="5" count="1" selected="0">
            <x v="219"/>
          </reference>
          <reference field="6" count="1" selected="0">
            <x v="1313"/>
          </reference>
          <reference field="9" count="1" selected="0">
            <x v="6"/>
          </reference>
          <reference field="10" count="1">
            <x v="1"/>
          </reference>
        </references>
      </pivotArea>
    </format>
    <format dxfId="197">
      <pivotArea dataOnly="0" labelOnly="1" outline="0" fieldPosition="0">
        <references count="4">
          <reference field="5" count="1" selected="0">
            <x v="42"/>
          </reference>
          <reference field="6" count="1" selected="0">
            <x v="1314"/>
          </reference>
          <reference field="9" count="1" selected="0">
            <x v="6"/>
          </reference>
          <reference field="10" count="1">
            <x v="2"/>
          </reference>
        </references>
      </pivotArea>
    </format>
    <format dxfId="196">
      <pivotArea dataOnly="0" labelOnly="1" outline="0" fieldPosition="0">
        <references count="4">
          <reference field="5" count="1" selected="0">
            <x v="237"/>
          </reference>
          <reference field="6" count="1" selected="0">
            <x v="1315"/>
          </reference>
          <reference field="9" count="1" selected="0">
            <x v="6"/>
          </reference>
          <reference field="10" count="1">
            <x v="2"/>
          </reference>
        </references>
      </pivotArea>
    </format>
    <format dxfId="195">
      <pivotArea dataOnly="0" labelOnly="1" outline="0" fieldPosition="0">
        <references count="4">
          <reference field="5" count="1" selected="0">
            <x v="200"/>
          </reference>
          <reference field="6" count="1" selected="0">
            <x v="1317"/>
          </reference>
          <reference field="9" count="1" selected="0">
            <x v="6"/>
          </reference>
          <reference field="10" count="1">
            <x v="1"/>
          </reference>
        </references>
      </pivotArea>
    </format>
    <format dxfId="194">
      <pivotArea dataOnly="0" labelOnly="1" outline="0" fieldPosition="0">
        <references count="4">
          <reference field="5" count="1" selected="0">
            <x v="204"/>
          </reference>
          <reference field="6" count="1" selected="0">
            <x v="1319"/>
          </reference>
          <reference field="9" count="1" selected="0">
            <x v="6"/>
          </reference>
          <reference field="10" count="1">
            <x v="1"/>
          </reference>
        </references>
      </pivotArea>
    </format>
    <format dxfId="193">
      <pivotArea dataOnly="0" labelOnly="1" outline="0" fieldPosition="0">
        <references count="4">
          <reference field="5" count="1" selected="0">
            <x v="192"/>
          </reference>
          <reference field="6" count="1" selected="0">
            <x v="1320"/>
          </reference>
          <reference field="9" count="1" selected="0">
            <x v="6"/>
          </reference>
          <reference field="10" count="1">
            <x v="1"/>
          </reference>
        </references>
      </pivotArea>
    </format>
    <format dxfId="192">
      <pivotArea dataOnly="0" labelOnly="1" outline="0" fieldPosition="0">
        <references count="4">
          <reference field="5" count="1" selected="0">
            <x v="70"/>
          </reference>
          <reference field="6" count="1" selected="0">
            <x v="1321"/>
          </reference>
          <reference field="9" count="1" selected="0">
            <x v="6"/>
          </reference>
          <reference field="10" count="1">
            <x v="1"/>
          </reference>
        </references>
      </pivotArea>
    </format>
    <format dxfId="191">
      <pivotArea dataOnly="0" labelOnly="1" outline="0" fieldPosition="0">
        <references count="4">
          <reference field="5" count="1" selected="0">
            <x v="191"/>
          </reference>
          <reference field="6" count="1" selected="0">
            <x v="1322"/>
          </reference>
          <reference field="9" count="1" selected="0">
            <x v="6"/>
          </reference>
          <reference field="10" count="1">
            <x v="1"/>
          </reference>
        </references>
      </pivotArea>
    </format>
    <format dxfId="190">
      <pivotArea dataOnly="0" labelOnly="1" outline="0" fieldPosition="0">
        <references count="4">
          <reference field="5" count="1" selected="0">
            <x v="232"/>
          </reference>
          <reference field="6" count="1" selected="0">
            <x v="1323"/>
          </reference>
          <reference field="9" count="1" selected="0">
            <x v="6"/>
          </reference>
          <reference field="10" count="1">
            <x v="1"/>
          </reference>
        </references>
      </pivotArea>
    </format>
    <format dxfId="189">
      <pivotArea dataOnly="0" labelOnly="1" outline="0" fieldPosition="0">
        <references count="4">
          <reference field="5" count="1" selected="0">
            <x v="238"/>
          </reference>
          <reference field="6" count="1" selected="0">
            <x v="1325"/>
          </reference>
          <reference field="9" count="1" selected="0">
            <x v="6"/>
          </reference>
          <reference field="10" count="1">
            <x v="1"/>
          </reference>
        </references>
      </pivotArea>
    </format>
    <format dxfId="188">
      <pivotArea dataOnly="0" labelOnly="1" outline="0" fieldPosition="0">
        <references count="4">
          <reference field="5" count="1" selected="0">
            <x v="94"/>
          </reference>
          <reference field="6" count="1" selected="0">
            <x v="1327"/>
          </reference>
          <reference field="9" count="1" selected="0">
            <x v="6"/>
          </reference>
          <reference field="10" count="1">
            <x v="1"/>
          </reference>
        </references>
      </pivotArea>
    </format>
    <format dxfId="187">
      <pivotArea dataOnly="0" labelOnly="1" outline="0" fieldPosition="0">
        <references count="4">
          <reference field="5" count="1" selected="0">
            <x v="150"/>
          </reference>
          <reference field="6" count="1" selected="0">
            <x v="1328"/>
          </reference>
          <reference field="9" count="1" selected="0">
            <x v="6"/>
          </reference>
          <reference field="10" count="1">
            <x v="1"/>
          </reference>
        </references>
      </pivotArea>
    </format>
    <format dxfId="186">
      <pivotArea dataOnly="0" labelOnly="1" outline="0" fieldPosition="0">
        <references count="4">
          <reference field="5" count="1" selected="0">
            <x v="8"/>
          </reference>
          <reference field="6" count="1" selected="0">
            <x v="1331"/>
          </reference>
          <reference field="9" count="1" selected="0">
            <x v="6"/>
          </reference>
          <reference field="10" count="1">
            <x v="1"/>
          </reference>
        </references>
      </pivotArea>
    </format>
    <format dxfId="185">
      <pivotArea dataOnly="0" labelOnly="1" outline="0" fieldPosition="0">
        <references count="4">
          <reference field="5" count="1" selected="0">
            <x v="250"/>
          </reference>
          <reference field="6" count="1" selected="0">
            <x v="1332"/>
          </reference>
          <reference field="9" count="1" selected="0">
            <x v="6"/>
          </reference>
          <reference field="10" count="1">
            <x v="2"/>
          </reference>
        </references>
      </pivotArea>
    </format>
    <format dxfId="184">
      <pivotArea dataOnly="0" labelOnly="1" outline="0" fieldPosition="0">
        <references count="4">
          <reference field="5" count="1" selected="0">
            <x v="310"/>
          </reference>
          <reference field="6" count="1" selected="0">
            <x v="1360"/>
          </reference>
          <reference field="9" count="1" selected="0">
            <x v="6"/>
          </reference>
          <reference field="10" count="1">
            <x v="1"/>
          </reference>
        </references>
      </pivotArea>
    </format>
    <format dxfId="183">
      <pivotArea dataOnly="0" labelOnly="1" outline="0" fieldPosition="0">
        <references count="4">
          <reference field="5" count="1" selected="0">
            <x v="311"/>
          </reference>
          <reference field="6" count="1" selected="0">
            <x v="1361"/>
          </reference>
          <reference field="9" count="1" selected="0">
            <x v="6"/>
          </reference>
          <reference field="10" count="1">
            <x v="1"/>
          </reference>
        </references>
      </pivotArea>
    </format>
    <format dxfId="182">
      <pivotArea dataOnly="0" labelOnly="1" outline="0" fieldPosition="0">
        <references count="4">
          <reference field="5" count="1" selected="0">
            <x v="312"/>
          </reference>
          <reference field="6" count="1" selected="0">
            <x v="1362"/>
          </reference>
          <reference field="9" count="1" selected="0">
            <x v="6"/>
          </reference>
          <reference field="10" count="1">
            <x v="1"/>
          </reference>
        </references>
      </pivotArea>
    </format>
    <format dxfId="181">
      <pivotArea dataOnly="0" labelOnly="1" outline="0" fieldPosition="0">
        <references count="4">
          <reference field="5" count="1" selected="0">
            <x v="43"/>
          </reference>
          <reference field="6" count="1" selected="0">
            <x v="1364"/>
          </reference>
          <reference field="9" count="1" selected="0">
            <x v="6"/>
          </reference>
          <reference field="10" count="1">
            <x v="1"/>
          </reference>
        </references>
      </pivotArea>
    </format>
    <format dxfId="180">
      <pivotArea dataOnly="0" labelOnly="1" outline="0" fieldPosition="0">
        <references count="4">
          <reference field="5" count="1" selected="0">
            <x v="44"/>
          </reference>
          <reference field="6" count="1" selected="0">
            <x v="1365"/>
          </reference>
          <reference field="9" count="1" selected="0">
            <x v="6"/>
          </reference>
          <reference field="10" count="1">
            <x v="1"/>
          </reference>
        </references>
      </pivotArea>
    </format>
    <format dxfId="179">
      <pivotArea dataOnly="0" labelOnly="1" outline="0" fieldPosition="0">
        <references count="4">
          <reference field="5" count="1" selected="0">
            <x v="199"/>
          </reference>
          <reference field="6" count="1" selected="0">
            <x v="1375"/>
          </reference>
          <reference field="9" count="1" selected="0">
            <x v="6"/>
          </reference>
          <reference field="10" count="1">
            <x v="2"/>
          </reference>
        </references>
      </pivotArea>
    </format>
    <format dxfId="178">
      <pivotArea dataOnly="0" labelOnly="1" outline="0" fieldPosition="0">
        <references count="4">
          <reference field="5" count="1" selected="0">
            <x v="61"/>
          </reference>
          <reference field="6" count="1" selected="0">
            <x v="1377"/>
          </reference>
          <reference field="9" count="1" selected="0">
            <x v="6"/>
          </reference>
          <reference field="10" count="1">
            <x v="1"/>
          </reference>
        </references>
      </pivotArea>
    </format>
    <format dxfId="177">
      <pivotArea dataOnly="0" labelOnly="1" outline="0" fieldPosition="0">
        <references count="4">
          <reference field="5" count="1" selected="0">
            <x v="213"/>
          </reference>
          <reference field="6" count="1" selected="0">
            <x v="1378"/>
          </reference>
          <reference field="9" count="1" selected="0">
            <x v="6"/>
          </reference>
          <reference field="10" count="1">
            <x v="2"/>
          </reference>
        </references>
      </pivotArea>
    </format>
    <format dxfId="176">
      <pivotArea dataOnly="0" labelOnly="1" outline="0" fieldPosition="0">
        <references count="4">
          <reference field="5" count="1" selected="0">
            <x v="209"/>
          </reference>
          <reference field="6" count="1" selected="0">
            <x v="1381"/>
          </reference>
          <reference field="9" count="1" selected="0">
            <x v="6"/>
          </reference>
          <reference field="10" count="1">
            <x v="1"/>
          </reference>
        </references>
      </pivotArea>
    </format>
    <format dxfId="175">
      <pivotArea dataOnly="0" labelOnly="1" outline="0" fieldPosition="0">
        <references count="1">
          <reference field="4" count="0"/>
        </references>
      </pivotArea>
    </format>
    <format dxfId="174">
      <pivotArea dataOnly="0" labelOnly="1" outline="0" fieldPosition="0">
        <references count="2">
          <reference field="2" count="0"/>
          <reference field="4" count="0" selected="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Tabla dinámica2" cacheId="313" dataOnRows="1" applyNumberFormats="0" applyBorderFormats="0" applyFontFormats="0" applyPatternFormats="0" applyAlignmentFormats="0" applyWidthHeightFormats="1" dataCaption="  " updatedVersion="5" minRefreshableVersion="3" rowGrandTotals="0" colGrandTotals="0" itemPrintTitles="1" createdVersion="5" indent="0" outline="1" outlineData="1" multipleFieldFilters="0" chartFormat="6" colHeaderCaption="  ">
  <location ref="B10:G34" firstHeaderRow="1" firstDataRow="3" firstDataCol="1"/>
  <pivotFields count="388">
    <pivotField showAll="0" defaultSubtotal="0"/>
    <pivotField axis="axisCol" showAll="0" defaultSubtotal="0">
      <items count="5">
        <item x="3"/>
        <item x="0"/>
        <item x="1"/>
        <item x="2"/>
        <item x="4"/>
      </items>
    </pivotField>
    <pivotField axis="axisCol" numFmtId="15" showAll="0" defaultSubtotal="0">
      <items count="1">
        <item x="0"/>
      </items>
    </pivotField>
    <pivotField showAll="0" defaultSubtotal="0"/>
    <pivotField showAll="0" defaultSubtotal="0"/>
    <pivotField showAll="0" defaultSubtotal="0"/>
    <pivotField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2"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2" showAll="0" defaultSubtotal="0"/>
    <pivotField numFmtId="2" showAll="0" defaultSubtotal="0"/>
    <pivotField showAll="0" defaultSubtotal="0"/>
    <pivotField showAll="0" defaultSubtotal="0"/>
    <pivotField numFmtId="2" showAll="0" defaultSubtotal="0"/>
    <pivotField numFmtId="2"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2" showAll="0" defaultSubtotal="0"/>
    <pivotField numFmtId="2"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1" showAll="0" defaultSubtotal="0"/>
    <pivotField numFmtId="2" showAll="0" defaultSubtotal="0"/>
    <pivotField numFmtId="2" showAll="0" defaultSubtotal="0"/>
    <pivotField numFmtId="2"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ragToRow="0" dragToCol="0" dragToPage="0" showAll="0" defaultSubtotal="0"/>
  </pivotFields>
  <rowFields count="1">
    <field x="-2"/>
  </rowFields>
  <rowItems count="22">
    <i>
      <x/>
    </i>
    <i i="1">
      <x v="1"/>
    </i>
    <i i="2">
      <x v="2"/>
    </i>
    <i i="3">
      <x v="3"/>
    </i>
    <i i="4">
      <x v="4"/>
    </i>
    <i i="5">
      <x v="5"/>
    </i>
    <i i="6">
      <x v="6"/>
    </i>
    <i i="7">
      <x v="7"/>
    </i>
    <i i="8">
      <x v="8"/>
    </i>
    <i i="9">
      <x v="9"/>
    </i>
    <i i="10">
      <x v="10"/>
    </i>
    <i i="11">
      <x v="11"/>
    </i>
    <i i="12">
      <x v="12"/>
    </i>
    <i i="13">
      <x v="13"/>
    </i>
    <i i="14">
      <x v="14"/>
    </i>
    <i i="15">
      <x v="15"/>
    </i>
    <i i="16">
      <x v="16"/>
    </i>
    <i i="17">
      <x v="17"/>
    </i>
    <i i="18">
      <x v="18"/>
    </i>
    <i i="19">
      <x v="19"/>
    </i>
    <i i="20">
      <x v="20"/>
    </i>
    <i i="21">
      <x v="21"/>
    </i>
  </rowItems>
  <colFields count="2">
    <field x="2"/>
    <field x="1"/>
  </colFields>
  <colItems count="5">
    <i>
      <x/>
      <x/>
    </i>
    <i r="1">
      <x v="1"/>
    </i>
    <i r="1">
      <x v="2"/>
    </i>
    <i r="1">
      <x v="3"/>
    </i>
    <i r="1">
      <x v="4"/>
    </i>
  </colItems>
  <dataFields count="22">
    <dataField name="Ingresos " fld="15" baseField="2" baseItem="0" numFmtId="4"/>
    <dataField name="Intereses y descuentos ganados" fld="16" baseField="2" baseItem="0" numFmtId="4"/>
    <dataField name="Intereses causados" fld="7" baseField="2" baseItem="0" numFmtId="4"/>
    <dataField name="MARGEN NETO DE INTERESES" fld="212" baseField="2" baseItem="0" numFmtId="4"/>
    <dataField name="Comisiones ganadas" fld="17" baseField="2" baseItem="0" numFmtId="4"/>
    <dataField name="Ingresos por servicios" fld="19" baseField="2" baseItem="0" numFmtId="4"/>
    <dataField name="Comisiones causadas" fld="8" baseField="2" baseItem="0" numFmtId="4"/>
    <dataField name="Utilidades financieras" fld="18" baseField="2" baseItem="0" numFmtId="4"/>
    <dataField name="Pérdidas financieras" fld="9" baseField="2" baseItem="0" numFmtId="4"/>
    <dataField name="MARGEN BRUTO FINANCIERO" fld="213" baseField="2" baseItem="0" numFmtId="4"/>
    <dataField name="Provisiones" fld="10" baseField="2" baseItem="1" numFmtId="4"/>
    <dataField name="MARGEN NETO FINANCIERO" fld="214" baseField="2" baseItem="0" numFmtId="4"/>
    <dataField name="Gastos de operación" fld="11" baseField="2" baseItem="0" numFmtId="4"/>
    <dataField name="MARGEN DE INTERMEDIACIÓN" fld="215" baseField="2" baseItem="0" numFmtId="4"/>
    <dataField name="Otros ingresos operacionales" fld="20" baseField="2" baseItem="0" numFmtId="4"/>
    <dataField name="Otras pérdidas operacionales" fld="12" baseField="2" baseItem="0" numFmtId="4"/>
    <dataField name="MARGEN OPERACIONAL" fld="216" baseField="2" baseItem="0" numFmtId="4"/>
    <dataField name="Otros ingresos  " fld="21" baseField="2" baseItem="0" numFmtId="4"/>
    <dataField name="Otros gastos y pérdidas" fld="13" baseField="2" baseItem="0" numFmtId="4"/>
    <dataField name="GANANCIA ANTES DE IMPUESTOS" fld="217" baseField="2" baseItem="0" numFmtId="4"/>
    <dataField name="Impuestos y participación a empleados" fld="14" baseField="2" baseItem="0" numFmtId="4"/>
    <dataField name="GANANCIA O PÉRDIDA DEL EJERCICIO" fld="218" baseField="2" baseItem="0" numFmtId="4"/>
  </dataFields>
  <formats count="38">
    <format dxfId="173">
      <pivotArea dataOnly="0" labelOnly="1" outline="0" fieldPosition="0">
        <references count="1">
          <reference field="4294967294" count="1">
            <x v="0"/>
          </reference>
        </references>
      </pivotArea>
    </format>
    <format dxfId="172">
      <pivotArea dataOnly="0" labelOnly="1" outline="0" fieldPosition="0">
        <references count="1">
          <reference field="4294967294" count="1">
            <x v="3"/>
          </reference>
        </references>
      </pivotArea>
    </format>
    <format dxfId="171">
      <pivotArea dataOnly="0" labelOnly="1" outline="0" fieldPosition="0">
        <references count="1">
          <reference field="4294967294" count="1">
            <x v="9"/>
          </reference>
        </references>
      </pivotArea>
    </format>
    <format dxfId="170">
      <pivotArea dataOnly="0" labelOnly="1" outline="0" fieldPosition="0">
        <references count="1">
          <reference field="4294967294" count="1">
            <x v="11"/>
          </reference>
        </references>
      </pivotArea>
    </format>
    <format dxfId="169">
      <pivotArea dataOnly="0" labelOnly="1" outline="0" fieldPosition="0">
        <references count="1">
          <reference field="4294967294" count="1">
            <x v="13"/>
          </reference>
        </references>
      </pivotArea>
    </format>
    <format dxfId="168">
      <pivotArea dataOnly="0" labelOnly="1" outline="0" fieldPosition="0">
        <references count="1">
          <reference field="4294967294" count="1">
            <x v="16"/>
          </reference>
        </references>
      </pivotArea>
    </format>
    <format dxfId="167">
      <pivotArea dataOnly="0" labelOnly="1" outline="0" fieldPosition="0">
        <references count="1">
          <reference field="4294967294" count="1">
            <x v="19"/>
          </reference>
        </references>
      </pivotArea>
    </format>
    <format dxfId="166">
      <pivotArea dataOnly="0" labelOnly="1" outline="0" fieldPosition="0">
        <references count="1">
          <reference field="4294967294" count="1">
            <x v="21"/>
          </reference>
        </references>
      </pivotArea>
    </format>
    <format dxfId="165">
      <pivotArea type="all" dataOnly="0" outline="0" fieldPosition="0"/>
    </format>
    <format dxfId="164">
      <pivotArea field="-2" type="button" dataOnly="0" labelOnly="1" outline="0" axis="axisRow" fieldPosition="0"/>
    </format>
    <format dxfId="163">
      <pivotArea field="-2" type="button" dataOnly="0" labelOnly="1" outline="0" axis="axisRow" fieldPosition="0"/>
    </format>
    <format dxfId="162">
      <pivotArea outline="0" fieldPosition="0">
        <references count="1">
          <reference field="4294967294" count="1">
            <x v="1"/>
          </reference>
        </references>
      </pivotArea>
    </format>
    <format dxfId="161">
      <pivotArea outline="0" fieldPosition="0">
        <references count="1">
          <reference field="4294967294" count="1">
            <x v="0"/>
          </reference>
        </references>
      </pivotArea>
    </format>
    <format dxfId="160">
      <pivotArea type="all" dataOnly="0" outline="0" fieldPosition="0"/>
    </format>
    <format dxfId="159">
      <pivotArea outline="0" fieldPosition="0">
        <references count="1">
          <reference field="4294967294" count="1">
            <x v="2"/>
          </reference>
        </references>
      </pivotArea>
    </format>
    <format dxfId="158">
      <pivotArea outline="0" fieldPosition="0">
        <references count="1">
          <reference field="4294967294" count="1">
            <x v="3"/>
          </reference>
        </references>
      </pivotArea>
    </format>
    <format dxfId="157">
      <pivotArea outline="0" fieldPosition="0">
        <references count="1">
          <reference field="4294967294" count="1">
            <x v="4"/>
          </reference>
        </references>
      </pivotArea>
    </format>
    <format dxfId="156">
      <pivotArea outline="0" fieldPosition="0">
        <references count="1">
          <reference field="4294967294" count="1">
            <x v="5"/>
          </reference>
        </references>
      </pivotArea>
    </format>
    <format dxfId="155">
      <pivotArea outline="0" fieldPosition="0">
        <references count="1">
          <reference field="4294967294" count="1">
            <x v="6"/>
          </reference>
        </references>
      </pivotArea>
    </format>
    <format dxfId="154">
      <pivotArea outline="0" fieldPosition="0">
        <references count="1">
          <reference field="4294967294" count="1">
            <x v="7"/>
          </reference>
        </references>
      </pivotArea>
    </format>
    <format dxfId="153">
      <pivotArea outline="0" fieldPosition="0">
        <references count="1">
          <reference field="4294967294" count="1">
            <x v="8"/>
          </reference>
        </references>
      </pivotArea>
    </format>
    <format dxfId="152">
      <pivotArea outline="0" fieldPosition="0">
        <references count="1">
          <reference field="4294967294" count="1">
            <x v="9"/>
          </reference>
        </references>
      </pivotArea>
    </format>
    <format dxfId="151">
      <pivotArea outline="0" fieldPosition="0">
        <references count="1">
          <reference field="4294967294" count="1">
            <x v="21"/>
          </reference>
        </references>
      </pivotArea>
    </format>
    <format dxfId="150">
      <pivotArea outline="0" fieldPosition="0">
        <references count="1">
          <reference field="4294967294" count="1">
            <x v="20"/>
          </reference>
        </references>
      </pivotArea>
    </format>
    <format dxfId="149">
      <pivotArea outline="0" fieldPosition="0">
        <references count="1">
          <reference field="4294967294" count="1">
            <x v="19"/>
          </reference>
        </references>
      </pivotArea>
    </format>
    <format dxfId="148">
      <pivotArea outline="0" fieldPosition="0">
        <references count="1">
          <reference field="4294967294" count="1">
            <x v="18"/>
          </reference>
        </references>
      </pivotArea>
    </format>
    <format dxfId="147">
      <pivotArea outline="0" fieldPosition="0">
        <references count="1">
          <reference field="4294967294" count="1">
            <x v="17"/>
          </reference>
        </references>
      </pivotArea>
    </format>
    <format dxfId="146">
      <pivotArea outline="0" fieldPosition="0">
        <references count="1">
          <reference field="4294967294" count="1">
            <x v="16"/>
          </reference>
        </references>
      </pivotArea>
    </format>
    <format dxfId="145">
      <pivotArea outline="0" fieldPosition="0">
        <references count="1">
          <reference field="4294967294" count="1">
            <x v="15"/>
          </reference>
        </references>
      </pivotArea>
    </format>
    <format dxfId="144">
      <pivotArea outline="0" fieldPosition="0">
        <references count="1">
          <reference field="4294967294" count="1">
            <x v="14"/>
          </reference>
        </references>
      </pivotArea>
    </format>
    <format dxfId="143">
      <pivotArea outline="0" fieldPosition="0">
        <references count="1">
          <reference field="4294967294" count="1">
            <x v="13"/>
          </reference>
        </references>
      </pivotArea>
    </format>
    <format dxfId="142">
      <pivotArea outline="0" fieldPosition="0">
        <references count="1">
          <reference field="4294967294" count="1">
            <x v="12"/>
          </reference>
        </references>
      </pivotArea>
    </format>
    <format dxfId="141">
      <pivotArea outline="0" fieldPosition="0">
        <references count="1">
          <reference field="4294967294" count="1">
            <x v="11"/>
          </reference>
        </references>
      </pivotArea>
    </format>
    <format dxfId="140">
      <pivotArea type="all" dataOnly="0" outline="0" fieldPosition="0"/>
    </format>
    <format dxfId="139">
      <pivotArea outline="0" collapsedLevelsAreSubtotals="1" fieldPosition="0"/>
    </format>
    <format dxfId="138">
      <pivotArea dataOnly="0" labelOnly="1" outline="0" fieldPosition="0">
        <references count="1">
          <reference field="4294967294" count="22">
            <x v="0"/>
            <x v="1"/>
            <x v="2"/>
            <x v="3"/>
            <x v="4"/>
            <x v="5"/>
            <x v="6"/>
            <x v="7"/>
            <x v="8"/>
            <x v="9"/>
            <x v="10"/>
            <x v="11"/>
            <x v="12"/>
            <x v="13"/>
            <x v="14"/>
            <x v="15"/>
            <x v="16"/>
            <x v="17"/>
            <x v="18"/>
            <x v="19"/>
            <x v="20"/>
            <x v="21"/>
          </reference>
        </references>
      </pivotArea>
    </format>
    <format dxfId="137">
      <pivotArea dataOnly="0" labelOnly="1" fieldPosition="0">
        <references count="1">
          <reference field="2" count="0"/>
        </references>
      </pivotArea>
    </format>
    <format dxfId="136">
      <pivotArea dataOnly="0" labelOnly="1" fieldPosition="0">
        <references count="2">
          <reference field="1" count="0"/>
          <reference field="2" count="0" selected="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Tabla dinámica1" cacheId="313" dataOnRows="1" applyNumberFormats="0" applyBorderFormats="0" applyFontFormats="0" applyPatternFormats="0" applyAlignmentFormats="0" applyWidthHeightFormats="1" dataCaption="   " updatedVersion="5" minRefreshableVersion="3" rowGrandTotals="0" colGrandTotals="0" itemPrintTitles="1" createdVersion="5" indent="0" outline="1" outlineData="1" multipleFieldFilters="0" colHeaderCaption="  ">
  <location ref="A11:F173" firstHeaderRow="1" firstDataRow="3" firstDataCol="1"/>
  <pivotFields count="388">
    <pivotField showAll="0" defaultSubtotal="0"/>
    <pivotField axis="axisCol" showAll="0" sortType="ascending" defaultSubtotal="0">
      <items count="5">
        <item x="3"/>
        <item x="0"/>
        <item x="1"/>
        <item x="2"/>
        <item x="4"/>
      </items>
    </pivotField>
    <pivotField axis="axisCol" numFmtId="15" showAll="0" defaultSubtotal="0">
      <items count="1">
        <item x="0"/>
      </items>
    </pivotField>
    <pivotField showAll="0" defaultSubtotal="0"/>
    <pivotField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2"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2" showAll="0" defaultSubtotal="0"/>
    <pivotField numFmtId="2" showAll="0" defaultSubtotal="0"/>
    <pivotField showAll="0" defaultSubtotal="0"/>
    <pivotField showAll="0" defaultSubtotal="0"/>
    <pivotField numFmtId="2" showAll="0" defaultSubtotal="0"/>
    <pivotField numFmtId="2"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2" showAll="0" defaultSubtotal="0"/>
    <pivotField numFmtId="2"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1" showAll="0" defaultSubtotal="0"/>
    <pivotField numFmtId="2" showAll="0" defaultSubtotal="0"/>
    <pivotField numFmtId="2" showAll="0" defaultSubtotal="0"/>
    <pivotField numFmtId="2"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ragToRow="0" dragToCol="0" dragToPage="0" showAll="0" defaultSubtotal="0"/>
  </pivotFields>
  <rowFields count="1">
    <field x="-2"/>
  </rowFields>
  <rowItems count="160">
    <i>
      <x/>
    </i>
    <i i="1">
      <x v="1"/>
    </i>
    <i i="2">
      <x v="2"/>
    </i>
    <i i="3">
      <x v="3"/>
    </i>
    <i i="4">
      <x v="4"/>
    </i>
    <i i="5">
      <x v="5"/>
    </i>
    <i i="6">
      <x v="6"/>
    </i>
    <i i="7">
      <x v="7"/>
    </i>
    <i i="8">
      <x v="8"/>
    </i>
    <i i="9">
      <x v="9"/>
    </i>
    <i i="10">
      <x v="10"/>
    </i>
    <i i="11">
      <x v="11"/>
    </i>
    <i i="12">
      <x v="12"/>
    </i>
    <i i="13">
      <x v="13"/>
    </i>
    <i i="14">
      <x v="14"/>
    </i>
    <i i="15">
      <x v="15"/>
    </i>
    <i i="16">
      <x v="16"/>
    </i>
    <i i="17">
      <x v="17"/>
    </i>
    <i i="18">
      <x v="18"/>
    </i>
    <i i="19">
      <x v="19"/>
    </i>
    <i i="20">
      <x v="20"/>
    </i>
    <i i="21">
      <x v="21"/>
    </i>
    <i i="22">
      <x v="22"/>
    </i>
    <i i="23">
      <x v="23"/>
    </i>
    <i i="24">
      <x v="24"/>
    </i>
    <i i="25">
      <x v="25"/>
    </i>
    <i i="26">
      <x v="26"/>
    </i>
    <i i="27">
      <x v="27"/>
    </i>
    <i i="28">
      <x v="28"/>
    </i>
    <i i="29">
      <x v="29"/>
    </i>
    <i i="30">
      <x v="30"/>
    </i>
    <i i="31">
      <x v="31"/>
    </i>
    <i i="32">
      <x v="32"/>
    </i>
    <i i="33">
      <x v="33"/>
    </i>
    <i i="34">
      <x v="34"/>
    </i>
    <i i="35">
      <x v="35"/>
    </i>
    <i i="36">
      <x v="36"/>
    </i>
    <i i="37">
      <x v="37"/>
    </i>
    <i i="38">
      <x v="38"/>
    </i>
    <i i="39">
      <x v="39"/>
    </i>
    <i i="40">
      <x v="40"/>
    </i>
    <i i="41">
      <x v="41"/>
    </i>
    <i i="42">
      <x v="42"/>
    </i>
    <i i="43">
      <x v="43"/>
    </i>
    <i i="44">
      <x v="44"/>
    </i>
    <i i="45">
      <x v="45"/>
    </i>
    <i i="46">
      <x v="46"/>
    </i>
    <i i="47">
      <x v="47"/>
    </i>
    <i i="48">
      <x v="48"/>
    </i>
    <i i="49">
      <x v="49"/>
    </i>
    <i i="50">
      <x v="50"/>
    </i>
    <i i="51">
      <x v="51"/>
    </i>
    <i i="52">
      <x v="52"/>
    </i>
    <i i="53">
      <x v="53"/>
    </i>
    <i i="54">
      <x v="54"/>
    </i>
    <i i="55">
      <x v="55"/>
    </i>
    <i i="56">
      <x v="56"/>
    </i>
    <i i="57">
      <x v="57"/>
    </i>
    <i i="58">
      <x v="58"/>
    </i>
    <i i="59">
      <x v="59"/>
    </i>
    <i i="60">
      <x v="60"/>
    </i>
    <i i="61">
      <x v="61"/>
    </i>
    <i i="62">
      <x v="62"/>
    </i>
    <i i="63">
      <x v="63"/>
    </i>
    <i i="64">
      <x v="64"/>
    </i>
    <i i="65">
      <x v="65"/>
    </i>
    <i i="66">
      <x v="66"/>
    </i>
    <i i="67">
      <x v="67"/>
    </i>
    <i i="68">
      <x v="68"/>
    </i>
    <i i="69">
      <x v="69"/>
    </i>
    <i i="70">
      <x v="70"/>
    </i>
    <i i="71">
      <x v="71"/>
    </i>
    <i i="72">
      <x v="72"/>
    </i>
    <i i="73">
      <x v="73"/>
    </i>
    <i i="74">
      <x v="74"/>
    </i>
    <i i="75">
      <x v="75"/>
    </i>
    <i i="76">
      <x v="76"/>
    </i>
    <i i="77">
      <x v="77"/>
    </i>
    <i i="78">
      <x v="78"/>
    </i>
    <i i="79">
      <x v="79"/>
    </i>
    <i i="80">
      <x v="80"/>
    </i>
    <i i="81">
      <x v="81"/>
    </i>
    <i i="82">
      <x v="82"/>
    </i>
    <i i="83">
      <x v="83"/>
    </i>
    <i i="84">
      <x v="84"/>
    </i>
    <i i="85">
      <x v="85"/>
    </i>
    <i i="86">
      <x v="86"/>
    </i>
    <i i="87">
      <x v="87"/>
    </i>
    <i i="88">
      <x v="88"/>
    </i>
    <i i="89">
      <x v="89"/>
    </i>
    <i i="90">
      <x v="90"/>
    </i>
    <i i="91">
      <x v="91"/>
    </i>
    <i i="92">
      <x v="92"/>
    </i>
    <i i="93">
      <x v="93"/>
    </i>
    <i i="94">
      <x v="94"/>
    </i>
    <i i="95">
      <x v="95"/>
    </i>
    <i i="96">
      <x v="96"/>
    </i>
    <i i="97">
      <x v="97"/>
    </i>
    <i i="98">
      <x v="98"/>
    </i>
    <i i="99">
      <x v="99"/>
    </i>
    <i i="100">
      <x v="100"/>
    </i>
    <i i="101">
      <x v="101"/>
    </i>
    <i i="102">
      <x v="102"/>
    </i>
    <i i="103">
      <x v="103"/>
    </i>
    <i i="104">
      <x v="104"/>
    </i>
    <i i="105">
      <x v="105"/>
    </i>
    <i i="106">
      <x v="106"/>
    </i>
    <i i="107">
      <x v="107"/>
    </i>
    <i i="108">
      <x v="108"/>
    </i>
    <i i="109">
      <x v="109"/>
    </i>
    <i i="110">
      <x v="110"/>
    </i>
    <i i="111">
      <x v="111"/>
    </i>
    <i i="112">
      <x v="112"/>
    </i>
    <i i="113">
      <x v="113"/>
    </i>
    <i i="114">
      <x v="114"/>
    </i>
    <i i="115">
      <x v="115"/>
    </i>
    <i i="116">
      <x v="116"/>
    </i>
    <i i="117">
      <x v="117"/>
    </i>
    <i i="118">
      <x v="118"/>
    </i>
    <i i="119">
      <x v="119"/>
    </i>
    <i i="120">
      <x v="120"/>
    </i>
    <i i="121">
      <x v="121"/>
    </i>
    <i i="122">
      <x v="122"/>
    </i>
    <i i="123">
      <x v="123"/>
    </i>
    <i i="124">
      <x v="124"/>
    </i>
    <i i="125">
      <x v="125"/>
    </i>
    <i i="126">
      <x v="126"/>
    </i>
    <i i="127">
      <x v="127"/>
    </i>
    <i i="128">
      <x v="128"/>
    </i>
    <i i="129">
      <x v="129"/>
    </i>
    <i i="130">
      <x v="130"/>
    </i>
    <i i="131">
      <x v="131"/>
    </i>
    <i i="132">
      <x v="132"/>
    </i>
    <i i="133">
      <x v="133"/>
    </i>
    <i i="134">
      <x v="134"/>
    </i>
    <i i="135">
      <x v="135"/>
    </i>
    <i i="136">
      <x v="136"/>
    </i>
    <i i="137">
      <x v="137"/>
    </i>
    <i i="138">
      <x v="138"/>
    </i>
    <i i="139">
      <x v="139"/>
    </i>
    <i i="140">
      <x v="140"/>
    </i>
    <i i="141">
      <x v="141"/>
    </i>
    <i i="142">
      <x v="142"/>
    </i>
    <i i="143">
      <x v="143"/>
    </i>
    <i i="144">
      <x v="144"/>
    </i>
    <i i="145">
      <x v="145"/>
    </i>
    <i i="146">
      <x v="146"/>
    </i>
    <i i="147">
      <x v="147"/>
    </i>
    <i i="148">
      <x v="148"/>
    </i>
    <i i="149">
      <x v="149"/>
    </i>
    <i i="150">
      <x v="150"/>
    </i>
    <i i="151">
      <x v="151"/>
    </i>
    <i i="152">
      <x v="152"/>
    </i>
    <i i="153">
      <x v="153"/>
    </i>
    <i i="154">
      <x v="154"/>
    </i>
    <i i="155">
      <x v="155"/>
    </i>
    <i i="156">
      <x v="156"/>
    </i>
    <i i="157">
      <x v="157"/>
    </i>
    <i i="158">
      <x v="158"/>
    </i>
    <i i="159">
      <x v="159"/>
    </i>
  </rowItems>
  <colFields count="2">
    <field x="2"/>
    <field x="1"/>
  </colFields>
  <colItems count="5">
    <i>
      <x/>
      <x/>
    </i>
    <i r="1">
      <x v="1"/>
    </i>
    <i r="1">
      <x v="2"/>
    </i>
    <i r="1">
      <x v="3"/>
    </i>
    <i r="1">
      <x v="4"/>
    </i>
  </colItems>
  <dataFields count="160">
    <dataField name="TOTAL CARTERA POR VENCER" fld="372" baseField="0" baseItem="0"/>
    <dataField name="CARTERA DE CRÉDITO COMERCIAL PRIORITARIO POR VENCER" fld="345" baseField="0" baseItem="0"/>
    <dataField name="a.DE 1 A 30 DÍAS" fld="219" baseField="0" baseItem="0"/>
    <dataField name="a.DE 31 A 90 DÍAS" fld="220" baseField="0" baseItem="0"/>
    <dataField name="a.DE 91 A 180 DÍAS" fld="221" baseField="0" baseItem="0"/>
    <dataField name="a.DE 181 A 360 DÍAS" fld="222" baseField="0" baseItem="0"/>
    <dataField name="a.MÁS DE 360 DÍAS" fld="223" baseField="0" baseItem="0"/>
    <dataField name="CARTERA DE CRÉDITO DE CONSUMO PRIORITARIO POR VENCER" fld="348" baseField="0" baseItem="0"/>
    <dataField name="b.DE 1 A 30 DÍAS" fld="234" baseField="0" baseItem="0"/>
    <dataField name="b.DE 31 A 90 DÍAS" fld="235" baseField="0" baseItem="0"/>
    <dataField name="b.DE 91 A 180 DÍAS" fld="236" baseField="0" baseItem="0"/>
    <dataField name="b.MÁS DE 180 DIAS" fld="237" baseField="0" baseItem="0"/>
    <dataField name="CARTERA DE CREDITO INMOBILIARIO POR VENCER" fld="351" baseField="0" baseItem="0"/>
    <dataField name="c.DE 1 A 30 DÍAS" fld="246" baseField="0" baseItem="0"/>
    <dataField name="c.DE 31 A 90 DÍAS" fld="247" baseField="0" baseItem="0"/>
    <dataField name="c.DE 91 A 360DÍAS" fld="248" baseField="0" baseItem="0"/>
    <dataField name="c.MÁS DE 360 DÍAS" fld="249" baseField="0" baseItem="0"/>
    <dataField name="CARTERA DE MICROCRÉDITO POR VENCER" fld="354" baseField="0" baseItem="0"/>
    <dataField name="d.DE 1 A 30 DÍAS" fld="258" baseField="0" baseItem="0"/>
    <dataField name="d.DE 31 A 90 DÍAS" fld="259" baseField="0" baseItem="0"/>
    <dataField name="d.DE 91 A 180 DÍAS" fld="260" baseField="0" baseItem="0"/>
    <dataField name="d.DE 181 A 360 DÍAS" fld="261" baseField="0" baseItem="0"/>
    <dataField name="d.MÁS DE 360 DÍAS" fld="262" baseField="0" baseItem="0"/>
    <dataField name="CARTERA DE CRÉDITO PRODUCTIVO POR VENCER" fld="357" baseField="0" baseItem="0"/>
    <dataField name="e.DE 1 A 30 DÍAS" fld="273" baseField="0" baseItem="0"/>
    <dataField name="e.DE 31 A 90 DÍAS" fld="274" baseField="0" baseItem="0"/>
    <dataField name="e.DE 91 A 180 DÍAS" fld="275" baseField="0" baseItem="0"/>
    <dataField name="e.DE 181 A 360 DÍAS" fld="276" baseField="0" baseItem="0"/>
    <dataField name="e.MÁS DE 360 DÍAS" fld="277" baseField="0" baseItem="0"/>
    <dataField name="CARTERA DE CRÉDITO COMERCIAL ORDINARIO POR VENCER" fld="360" baseField="0" baseItem="0"/>
    <dataField name="f.DE 1 A 30 DÍAS" fld="288" baseField="0" baseItem="0"/>
    <dataField name="f.DE 31 A 90 DÍAS" fld="289" baseField="0" baseItem="0"/>
    <dataField name="f.DE 91 A 180 DÍAS" fld="290" baseField="0" baseItem="0"/>
    <dataField name="f.DE 181 A 360 DÍAS" fld="291" baseField="0" baseItem="0"/>
    <dataField name="f.MÁS DE 360 DÍAS" fld="292" baseField="0" baseItem="0"/>
    <dataField name="CARTERA DE CONSUMO ORDINARIO POR VENCER" fld="363" baseField="0" baseItem="0"/>
    <dataField name="g.DE 1 A 30 DÍAS" fld="303" baseField="0" baseItem="0"/>
    <dataField name="g.DE 31 A 90 DÍAS" fld="304" baseField="0" baseItem="0"/>
    <dataField name="g.DE 91 A 180 DÍAS" fld="305" baseField="0" baseItem="0"/>
    <dataField name="g.DE 181 A 360 DÍAS" fld="306" baseField="0" baseItem="0"/>
    <dataField name="g.MÁS DE 360 DÍAS" fld="307" baseField="0" baseItem="0"/>
    <dataField name="CARTERA DE VIVIENDA DE INTERÉS PUBLICO POR VENCER" fld="366" baseField="0" baseItem="0"/>
    <dataField name="h.DE 1 A 30 DÍAS" fld="318" baseField="0" baseItem="0"/>
    <dataField name="h.DE 31 A 90 DÍAS" fld="319" baseField="0" baseItem="0"/>
    <dataField name="h.DE 91 A  360 DÍAS" fld="320" baseField="0" baseItem="0"/>
    <dataField name="h.MÁS DE 360 DÍAS" fld="321" baseField="0" baseItem="0"/>
    <dataField name="CARTERA DE CRÉDITO EDUCATIVO POR VENCER" fld="369" baseField="0" baseItem="0"/>
    <dataField name="i.DE 1 A 30 DÍAS" fld="330" baseField="0" baseItem="0"/>
    <dataField name="i.DE 31 A 90 DÍAS" fld="331" baseField="0" baseItem="0"/>
    <dataField name="i.DE 91 A 180 DÍAS" fld="332" baseField="0" baseItem="0"/>
    <dataField name="i.DE 181 A 360 DÍAS" fld="333" baseField="0" baseItem="0"/>
    <dataField name="i.MÁS DE 360 DÍAS" fld="334" baseField="0" baseItem="0"/>
    <dataField name="TOTAL CARTERA QUE NO DEVENGA INTERES" fld="373" baseField="0" baseItem="0"/>
    <dataField name="CARTERA DE CRÉDITO COMERCIAL PRIORITARIO QUE NO DEVENGA INTERESES" fld="346" baseField="0" baseItem="0"/>
    <dataField name="j.DE 1 A 30 DÍAS" fld="224" baseField="0" baseItem="0"/>
    <dataField name="j.DE 31 A 90 DÍAS" fld="225" baseField="0" baseItem="0"/>
    <dataField name="j.DE 91 A 180 DÍAS" fld="226" baseField="0" baseItem="0"/>
    <dataField name="j.DE 181 A 360 DÍAS" fld="227" baseField="0" baseItem="0"/>
    <dataField name="j.MÁS DE 360 DÍAS" fld="228" baseField="0" baseItem="0"/>
    <dataField name="CARTERA DE CRÉDITO DE CONSUMO PRIORITARIO QUE NO DEVENGA INTERESES" fld="349" baseField="0" baseItem="0"/>
    <dataField name="k.DE 1 A 30 DÍAS" fld="238" baseField="0" baseItem="0"/>
    <dataField name="k.DE 31 A 90 DÍAS" fld="239" baseField="0" baseItem="0"/>
    <dataField name="k.DE 91 A 180 DÍAS" fld="240" baseField="0" baseItem="0"/>
    <dataField name="k.MÁS DE 180 DÍAS" fld="241" baseField="0" baseItem="0"/>
    <dataField name="CARTERA DE CREDITO INMOBILIARIO QUE NO DEVENGA INTERESES" fld="352" baseField="0" baseItem="0"/>
    <dataField name="l.DE 1 A 30 DÍAS" fld="250" baseField="0" baseItem="0"/>
    <dataField name="l.DE 31 A 90 DÍAS" fld="251" baseField="0" baseItem="0"/>
    <dataField name="l.DE 91 A 360 DÍAS" fld="252" baseField="0" baseItem="0"/>
    <dataField name="l.MÁS DE 360 DÍAS" fld="253" baseField="0" baseItem="0"/>
    <dataField name="CARTERA DE MICROCRÉDITO QUE NO DEVENGA INTERESES" fld="355" baseField="0" baseItem="0"/>
    <dataField name="m.DE 1 A 30 DÍAS" fld="263" baseField="0" baseItem="0"/>
    <dataField name="m.DE 31 A 90 DÍAS" fld="264" baseField="0" baseItem="0"/>
    <dataField name="m.DE 91 A 180 DÍAS" fld="265" baseField="0" baseItem="0"/>
    <dataField name="m.DE 181 A 360 DÍAS" fld="266" baseField="0" baseItem="0"/>
    <dataField name="m.MÁS DE 360 DÍAS" fld="267" baseField="0" baseItem="0"/>
    <dataField name="CARTERA DE CRÉDITO PRODUCTIVO QUE NO DEVENGA INTERESES" fld="358" baseField="0" baseItem="0"/>
    <dataField name="n.DE 1 A 30 DÍAS" fld="278" baseField="0" baseItem="0"/>
    <dataField name="n.DE 31 A 90 DÍAS" fld="279" baseField="0" baseItem="0"/>
    <dataField name="n.DE 91 A 180 DÍAS" fld="280" baseField="0" baseItem="0"/>
    <dataField name="n.DE 181 A 360 DÍAS" fld="281" baseField="0" baseItem="0"/>
    <dataField name="n.MÁS DE 360 DÍAS" fld="282" baseField="0" baseItem="0"/>
    <dataField name="CARTERA DE CRÉDITO COMERCIAL ORDINARIO QUE NO DEVENGA INTERESES" fld="361" baseField="0" baseItem="0"/>
    <dataField name="ñ.DE 1 A 30 DÍAS" fld="293" baseField="0" baseItem="0"/>
    <dataField name="ñ.DE 31 A 90 DÍAS" fld="294" baseField="0" baseItem="0"/>
    <dataField name="ñ.DE 91 A 180 DÍAS" fld="295" baseField="0" baseItem="0"/>
    <dataField name="ñ.DE 181 A 360 DÍAS" fld="296" baseField="0" baseItem="0"/>
    <dataField name="ñ.MÁS DE 360 DÍAS" fld="297" baseField="0" baseItem="0"/>
    <dataField name="CARTERA DE CONSUMO ORDINARIO QUE NO DEVENGA INTERESES" fld="364" baseField="0" baseItem="0"/>
    <dataField name="o.DE 1 A 30 DÍAS" fld="308" baseField="0" baseItem="0"/>
    <dataField name="o.DE 31 A 90 DÍAS" fld="309" baseField="0" baseItem="0"/>
    <dataField name="o.DE 91 A 180 DÍAS" fld="310" baseField="0" baseItem="0"/>
    <dataField name="o.DE 181 A 360 DÍAS" fld="311" baseField="0" baseItem="0"/>
    <dataField name="o.MÁS DE 360 DÍAS" fld="312" baseField="0" baseItem="0"/>
    <dataField name="CARTERA DE VIVIENDA DE INTERÉS PUBLICO QUE NO DEVENGA INTERESES" fld="367" baseField="0" baseItem="0"/>
    <dataField name="p.DE 1 A 30 DÍAS" fld="322" baseField="0" baseItem="0"/>
    <dataField name="p.DE 31 A 90 DÍAS" fld="323" baseField="0" baseItem="0"/>
    <dataField name="p.DE 91 A 360 DÍAS" fld="324" baseField="0" baseItem="0"/>
    <dataField name="p.MÁS DE 360 DÍAS" fld="325" baseField="0" baseItem="0"/>
    <dataField name="CARTERA DE CRÉDITO EDUCATIVO QUE NO DEVENGA INTERESES" fld="370" baseField="0" baseItem="0"/>
    <dataField name="q.DE 1 A 30 DÍAS" fld="335" baseField="0" baseItem="0"/>
    <dataField name="q.DE 31 A 90 DÍAS" fld="336" baseField="0" baseItem="0"/>
    <dataField name="q.DE 91 A 180 DÍAS" fld="337" baseField="0" baseItem="0"/>
    <dataField name="q.DE 181 A 360 DÍAS" fld="338" baseField="0" baseItem="0"/>
    <dataField name="q.MÁS DE 360 DÍAS" fld="339" baseField="0" baseItem="0"/>
    <dataField name="TOTAL CARTERA VENCIDA" fld="374" baseField="0" baseItem="0"/>
    <dataField name="CARTERA DE CRÉDITO COMERCIAL PRIORITARIO VENCIDA" fld="347" baseField="0" baseItem="0"/>
    <dataField name="r.DE 1 A 30 DÍAS" fld="229" baseField="0" baseItem="0"/>
    <dataField name="r.DE 31 A 90 DÍAS" fld="230" baseField="0" baseItem="0"/>
    <dataField name="r.DE 91 A 180 DÍAS" fld="231" baseField="0" baseItem="0"/>
    <dataField name="r.DE 181 A 360 DÍAS" fld="232" baseField="0" baseItem="0"/>
    <dataField name="r.MÁS DE 360 DÍAS" fld="233" baseField="0" baseItem="0"/>
    <dataField name="CARTERA DE CRÉDITO DE CONSUMO PRIORITARIO VENCIDA" fld="350" baseField="0" baseItem="0"/>
    <dataField name="s.DE 1 A 30 DÍAS" fld="242" baseField="0" baseItem="0"/>
    <dataField name="s.DE 31 A 90 DÍAS" fld="243" baseField="0" baseItem="0"/>
    <dataField name="s.DE 91 A 180 DÍAS" fld="244" baseField="0" baseItem="0"/>
    <dataField name="s.MÁS DE 180 DÍAS" fld="245" baseField="0" baseItem="0"/>
    <dataField name="CARTERA DE CREDITO INMOBILIARIO VENCIDA" fld="353" baseField="0" baseItem="0"/>
    <dataField name="t.De 1 a 30 días" fld="254" baseField="0" baseItem="0"/>
    <dataField name="t.De 31 a 90 días" fld="255" baseField="0" baseItem="0"/>
    <dataField name="t.De 91 a 360 DÍAS" fld="256" baseField="0" baseItem="0"/>
    <dataField name="t.MAS DE 360 DÍAS" fld="257" baseField="0" baseItem="0"/>
    <dataField name="CARTERA DE MICROCRÉDITO VENCIDA" fld="356" baseField="0" baseItem="0"/>
    <dataField name="u.DE 1 A 30 DÍAS" fld="268" baseField="0" baseItem="0"/>
    <dataField name="u.DE 31 A 90 DÍAS" fld="269" baseField="0" baseItem="0"/>
    <dataField name="u.DE 91 A 180 DÍAS" fld="270" baseField="0" baseItem="0"/>
    <dataField name="u.DE 181 A 360 DÍAS" fld="271" baseField="0" baseItem="0"/>
    <dataField name="u.MÁS DE 360 DÍAS" fld="272" baseField="0" baseItem="0"/>
    <dataField name="CARTERA DE CRÉDITO PRODUCTIVO VENCIDA" fld="359" baseField="0" baseItem="0"/>
    <dataField name="v.DE 1 A 30 DÍAS" fld="283" baseField="0" baseItem="0"/>
    <dataField name="v.DE 31 A 90 DÍAS" fld="284" baseField="0" baseItem="0"/>
    <dataField name="v.DE 91 A 180 DÍAS" fld="285" baseField="0" baseItem="0"/>
    <dataField name="v.DE 181 A 360 DÍAS" fld="286" baseField="0" baseItem="0"/>
    <dataField name="v.MÁS DE 360 DÍAS" fld="287" baseField="0" baseItem="0"/>
    <dataField name="CARTERA DE CRÉDITO COMERCIAL ORDINARIO VENCIDA" fld="362" baseField="0" baseItem="0"/>
    <dataField name="w.DE 1 A 30 DÍAS" fld="298" baseField="0" baseItem="0"/>
    <dataField name="w.DE 31 A 90 DÍAS" fld="299" baseField="0" baseItem="0"/>
    <dataField name="w.DE 91 A 180 DÍAS" fld="300" baseField="0" baseItem="0"/>
    <dataField name="w.DE 181 A 360 DÍAS" fld="301" baseField="0" baseItem="0"/>
    <dataField name="w.MÁS DE 360 DÍAS" fld="302" baseField="0" baseItem="0"/>
    <dataField name="CARTERA DE CONSUMO ORDINARIO VENCIDA" fld="365" baseField="0" baseItem="0"/>
    <dataField name="x.DE 1 A 30 DÍAS" fld="313" baseField="0" baseItem="0"/>
    <dataField name="x.DE 31 A 90 DÍAS" fld="314" baseField="0" baseItem="0"/>
    <dataField name="x.DE 91 A 180 DÍAS" fld="315" baseField="0" baseItem="0"/>
    <dataField name="x.DE 181 A 360 DÍAS" fld="316" baseField="0" baseItem="0"/>
    <dataField name="x.MÁS DE 360 DÍAS" fld="317" baseField="0" baseItem="0"/>
    <dataField name="CARTERA DE VIVIENDA DE INTERÉS PUBLICO VENCIDA" fld="368" baseField="0" baseItem="0"/>
    <dataField name="y.De 1 a 30 días" fld="326" baseField="0" baseItem="0"/>
    <dataField name="y.De 31 a 90 días" fld="327" baseField="0" baseItem="0"/>
    <dataField name="y.De 91 a  360 DÍAS" fld="328" baseField="0" baseItem="0"/>
    <dataField name="y.MÁS DE 360 DÍAS " fld="329" baseField="0" baseItem="0"/>
    <dataField name="CARTERA DE CRÉDITO EDUCATIVO VENCIDA" fld="371" baseField="0" baseItem="0"/>
    <dataField name="z.DE 1 A 30 DÍAS" fld="340" baseField="0" baseItem="0"/>
    <dataField name="z.DE 31 A 90 DÍAS" fld="341" baseField="0" baseItem="0"/>
    <dataField name="z.DE 91 A 180 DÍAS" fld="342" baseField="0" baseItem="0"/>
    <dataField name="z.DE 181 A 360 DÍAS" fld="343" baseField="0" baseItem="0"/>
    <dataField name="z.MÁS DE 360 DÍAS" fld="344" baseField="0" baseItem="0"/>
    <dataField name="TOTAL CARTERA IMPRODUCTIVA" fld="48" baseField="0" baseItem="0"/>
    <dataField name="TOTAL CARTERA BRUTA" fld="61" baseField="0" baseItem="0"/>
    <dataField name="PROVISIONES" fld="6" baseField="0" baseItem="0"/>
    <dataField name="TOTAL CARTERA NETA" fld="5" baseField="0" baseItem="0"/>
  </dataFields>
  <formats count="90">
    <format dxfId="135">
      <pivotArea dataOnly="0" labelOnly="1" outline="0" fieldPosition="0">
        <references count="1">
          <reference field="4294967294" count="2">
            <x v="0"/>
            <x v="1"/>
          </reference>
        </references>
      </pivotArea>
    </format>
    <format dxfId="134">
      <pivotArea dataOnly="0" labelOnly="1" outline="0" fieldPosition="0">
        <references count="1">
          <reference field="4294967294" count="2">
            <x v="52"/>
            <x v="53"/>
          </reference>
        </references>
      </pivotArea>
    </format>
    <format dxfId="133">
      <pivotArea dataOnly="0" labelOnly="1" outline="0" fieldPosition="0">
        <references count="1">
          <reference field="4294967294" count="1">
            <x v="92"/>
          </reference>
        </references>
      </pivotArea>
    </format>
    <format dxfId="132">
      <pivotArea dataOnly="0" labelOnly="1" outline="0" fieldPosition="0">
        <references count="1">
          <reference field="4294967294" count="2">
            <x v="104"/>
            <x v="105"/>
          </reference>
        </references>
      </pivotArea>
    </format>
    <format dxfId="131">
      <pivotArea collapsedLevelsAreSubtotals="1" fieldPosition="0">
        <references count="1">
          <reference field="4294967294" count="1">
            <x v="0"/>
          </reference>
        </references>
      </pivotArea>
    </format>
    <format dxfId="130">
      <pivotArea dataOnly="0" labelOnly="1" outline="0" fieldPosition="0">
        <references count="1">
          <reference field="4294967294" count="1">
            <x v="0"/>
          </reference>
        </references>
      </pivotArea>
    </format>
    <format dxfId="129">
      <pivotArea collapsedLevelsAreSubtotals="1" fieldPosition="0">
        <references count="1">
          <reference field="4294967294" count="1">
            <x v="1"/>
          </reference>
        </references>
      </pivotArea>
    </format>
    <format dxfId="128">
      <pivotArea dataOnly="0" labelOnly="1" outline="0" fieldPosition="0">
        <references count="1">
          <reference field="4294967294" count="1">
            <x v="1"/>
          </reference>
        </references>
      </pivotArea>
    </format>
    <format dxfId="127">
      <pivotArea collapsedLevelsAreSubtotals="1" fieldPosition="0">
        <references count="1">
          <reference field="4294967294" count="1">
            <x v="7"/>
          </reference>
        </references>
      </pivotArea>
    </format>
    <format dxfId="126">
      <pivotArea dataOnly="0" labelOnly="1" outline="0" fieldPosition="0">
        <references count="1">
          <reference field="4294967294" count="1">
            <x v="7"/>
          </reference>
        </references>
      </pivotArea>
    </format>
    <format dxfId="125">
      <pivotArea collapsedLevelsAreSubtotals="1" fieldPosition="0">
        <references count="1">
          <reference field="4294967294" count="1">
            <x v="12"/>
          </reference>
        </references>
      </pivotArea>
    </format>
    <format dxfId="124">
      <pivotArea dataOnly="0" labelOnly="1" outline="0" fieldPosition="0">
        <references count="1">
          <reference field="4294967294" count="1">
            <x v="12"/>
          </reference>
        </references>
      </pivotArea>
    </format>
    <format dxfId="123">
      <pivotArea collapsedLevelsAreSubtotals="1" fieldPosition="0">
        <references count="1">
          <reference field="4294967294" count="1">
            <x v="17"/>
          </reference>
        </references>
      </pivotArea>
    </format>
    <format dxfId="122">
      <pivotArea dataOnly="0" labelOnly="1" outline="0" fieldPosition="0">
        <references count="1">
          <reference field="4294967294" count="1">
            <x v="17"/>
          </reference>
        </references>
      </pivotArea>
    </format>
    <format dxfId="121">
      <pivotArea collapsedLevelsAreSubtotals="1" fieldPosition="0">
        <references count="1">
          <reference field="4294967294" count="1">
            <x v="23"/>
          </reference>
        </references>
      </pivotArea>
    </format>
    <format dxfId="120">
      <pivotArea dataOnly="0" labelOnly="1" outline="0" fieldPosition="0">
        <references count="1">
          <reference field="4294967294" count="1">
            <x v="23"/>
          </reference>
        </references>
      </pivotArea>
    </format>
    <format dxfId="119">
      <pivotArea collapsedLevelsAreSubtotals="1" fieldPosition="0">
        <references count="1">
          <reference field="4294967294" count="1">
            <x v="29"/>
          </reference>
        </references>
      </pivotArea>
    </format>
    <format dxfId="118">
      <pivotArea dataOnly="0" labelOnly="1" outline="0" fieldPosition="0">
        <references count="1">
          <reference field="4294967294" count="1">
            <x v="29"/>
          </reference>
        </references>
      </pivotArea>
    </format>
    <format dxfId="117">
      <pivotArea collapsedLevelsAreSubtotals="1" fieldPosition="0">
        <references count="1">
          <reference field="4294967294" count="1">
            <x v="35"/>
          </reference>
        </references>
      </pivotArea>
    </format>
    <format dxfId="116">
      <pivotArea dataOnly="0" labelOnly="1" outline="0" fieldPosition="0">
        <references count="1">
          <reference field="4294967294" count="1">
            <x v="35"/>
          </reference>
        </references>
      </pivotArea>
    </format>
    <format dxfId="115">
      <pivotArea collapsedLevelsAreSubtotals="1" fieldPosition="0">
        <references count="1">
          <reference field="4294967294" count="1">
            <x v="41"/>
          </reference>
        </references>
      </pivotArea>
    </format>
    <format dxfId="114">
      <pivotArea dataOnly="0" labelOnly="1" outline="0" fieldPosition="0">
        <references count="1">
          <reference field="4294967294" count="1">
            <x v="41"/>
          </reference>
        </references>
      </pivotArea>
    </format>
    <format dxfId="113">
      <pivotArea collapsedLevelsAreSubtotals="1" fieldPosition="0">
        <references count="1">
          <reference field="4294967294" count="1">
            <x v="46"/>
          </reference>
        </references>
      </pivotArea>
    </format>
    <format dxfId="112">
      <pivotArea dataOnly="0" labelOnly="1" outline="0" fieldPosition="0">
        <references count="1">
          <reference field="4294967294" count="1">
            <x v="46"/>
          </reference>
        </references>
      </pivotArea>
    </format>
    <format dxfId="111">
      <pivotArea collapsedLevelsAreSubtotals="1" fieldPosition="0">
        <references count="1">
          <reference field="4294967294" count="1">
            <x v="52"/>
          </reference>
        </references>
      </pivotArea>
    </format>
    <format dxfId="110">
      <pivotArea dataOnly="0" labelOnly="1" outline="0" fieldPosition="0">
        <references count="1">
          <reference field="4294967294" count="1">
            <x v="52"/>
          </reference>
        </references>
      </pivotArea>
    </format>
    <format dxfId="109">
      <pivotArea collapsedLevelsAreSubtotals="1" fieldPosition="0">
        <references count="1">
          <reference field="4294967294" count="1">
            <x v="53"/>
          </reference>
        </references>
      </pivotArea>
    </format>
    <format dxfId="108">
      <pivotArea dataOnly="0" labelOnly="1" outline="0" fieldPosition="0">
        <references count="1">
          <reference field="4294967294" count="1">
            <x v="53"/>
          </reference>
        </references>
      </pivotArea>
    </format>
    <format dxfId="107">
      <pivotArea collapsedLevelsAreSubtotals="1" fieldPosition="0">
        <references count="1">
          <reference field="4294967294" count="1">
            <x v="59"/>
          </reference>
        </references>
      </pivotArea>
    </format>
    <format dxfId="106">
      <pivotArea dataOnly="0" labelOnly="1" outline="0" fieldPosition="0">
        <references count="1">
          <reference field="4294967294" count="1">
            <x v="59"/>
          </reference>
        </references>
      </pivotArea>
    </format>
    <format dxfId="105">
      <pivotArea collapsedLevelsAreSubtotals="1" fieldPosition="0">
        <references count="1">
          <reference field="4294967294" count="1">
            <x v="64"/>
          </reference>
        </references>
      </pivotArea>
    </format>
    <format dxfId="104">
      <pivotArea dataOnly="0" labelOnly="1" outline="0" fieldPosition="0">
        <references count="1">
          <reference field="4294967294" count="1">
            <x v="64"/>
          </reference>
        </references>
      </pivotArea>
    </format>
    <format dxfId="103">
      <pivotArea collapsedLevelsAreSubtotals="1" fieldPosition="0">
        <references count="1">
          <reference field="4294967294" count="1">
            <x v="69"/>
          </reference>
        </references>
      </pivotArea>
    </format>
    <format dxfId="102">
      <pivotArea dataOnly="0" labelOnly="1" outline="0" fieldPosition="0">
        <references count="1">
          <reference field="4294967294" count="1">
            <x v="69"/>
          </reference>
        </references>
      </pivotArea>
    </format>
    <format dxfId="101">
      <pivotArea collapsedLevelsAreSubtotals="1" fieldPosition="0">
        <references count="1">
          <reference field="4294967294" count="1">
            <x v="75"/>
          </reference>
        </references>
      </pivotArea>
    </format>
    <format dxfId="100">
      <pivotArea dataOnly="0" labelOnly="1" outline="0" fieldPosition="0">
        <references count="1">
          <reference field="4294967294" count="1">
            <x v="75"/>
          </reference>
        </references>
      </pivotArea>
    </format>
    <format dxfId="99">
      <pivotArea collapsedLevelsAreSubtotals="1" fieldPosition="0">
        <references count="1">
          <reference field="4294967294" count="1">
            <x v="81"/>
          </reference>
        </references>
      </pivotArea>
    </format>
    <format dxfId="98">
      <pivotArea dataOnly="0" labelOnly="1" outline="0" fieldPosition="0">
        <references count="1">
          <reference field="4294967294" count="1">
            <x v="81"/>
          </reference>
        </references>
      </pivotArea>
    </format>
    <format dxfId="97">
      <pivotArea collapsedLevelsAreSubtotals="1" fieldPosition="0">
        <references count="1">
          <reference field="4294967294" count="1">
            <x v="87"/>
          </reference>
        </references>
      </pivotArea>
    </format>
    <format dxfId="96">
      <pivotArea dataOnly="0" labelOnly="1" outline="0" fieldPosition="0">
        <references count="1">
          <reference field="4294967294" count="1">
            <x v="87"/>
          </reference>
        </references>
      </pivotArea>
    </format>
    <format dxfId="95">
      <pivotArea collapsedLevelsAreSubtotals="1" fieldPosition="0">
        <references count="1">
          <reference field="4294967294" count="1">
            <x v="93"/>
          </reference>
        </references>
      </pivotArea>
    </format>
    <format dxfId="94">
      <pivotArea dataOnly="0" labelOnly="1" outline="0" fieldPosition="0">
        <references count="1">
          <reference field="4294967294" count="1">
            <x v="93"/>
          </reference>
        </references>
      </pivotArea>
    </format>
    <format dxfId="93">
      <pivotArea collapsedLevelsAreSubtotals="1" fieldPosition="0">
        <references count="1">
          <reference field="4294967294" count="1">
            <x v="98"/>
          </reference>
        </references>
      </pivotArea>
    </format>
    <format dxfId="92">
      <pivotArea dataOnly="0" labelOnly="1" outline="0" fieldPosition="0">
        <references count="1">
          <reference field="4294967294" count="1">
            <x v="98"/>
          </reference>
        </references>
      </pivotArea>
    </format>
    <format dxfId="91">
      <pivotArea collapsedLevelsAreSubtotals="1" fieldPosition="0">
        <references count="1">
          <reference field="4294967294" count="1">
            <x v="104"/>
          </reference>
        </references>
      </pivotArea>
    </format>
    <format dxfId="90">
      <pivotArea dataOnly="0" labelOnly="1" outline="0" fieldPosition="0">
        <references count="1">
          <reference field="4294967294" count="1">
            <x v="104"/>
          </reference>
        </references>
      </pivotArea>
    </format>
    <format dxfId="89">
      <pivotArea collapsedLevelsAreSubtotals="1" fieldPosition="0">
        <references count="1">
          <reference field="4294967294" count="1">
            <x v="105"/>
          </reference>
        </references>
      </pivotArea>
    </format>
    <format dxfId="88">
      <pivotArea dataOnly="0" labelOnly="1" outline="0" fieldPosition="0">
        <references count="1">
          <reference field="4294967294" count="1">
            <x v="105"/>
          </reference>
        </references>
      </pivotArea>
    </format>
    <format dxfId="87">
      <pivotArea collapsedLevelsAreSubtotals="1" fieldPosition="0">
        <references count="1">
          <reference field="4294967294" count="1">
            <x v="111"/>
          </reference>
        </references>
      </pivotArea>
    </format>
    <format dxfId="86">
      <pivotArea dataOnly="0" labelOnly="1" outline="0" fieldPosition="0">
        <references count="1">
          <reference field="4294967294" count="1">
            <x v="111"/>
          </reference>
        </references>
      </pivotArea>
    </format>
    <format dxfId="85">
      <pivotArea collapsedLevelsAreSubtotals="1" fieldPosition="0">
        <references count="1">
          <reference field="4294967294" count="1">
            <x v="116"/>
          </reference>
        </references>
      </pivotArea>
    </format>
    <format dxfId="84">
      <pivotArea dataOnly="0" labelOnly="1" outline="0" fieldPosition="0">
        <references count="1">
          <reference field="4294967294" count="1">
            <x v="116"/>
          </reference>
        </references>
      </pivotArea>
    </format>
    <format dxfId="83">
      <pivotArea collapsedLevelsAreSubtotals="1" fieldPosition="0">
        <references count="1">
          <reference field="4294967294" count="1">
            <x v="121"/>
          </reference>
        </references>
      </pivotArea>
    </format>
    <format dxfId="82">
      <pivotArea dataOnly="0" labelOnly="1" outline="0" fieldPosition="0">
        <references count="1">
          <reference field="4294967294" count="1">
            <x v="121"/>
          </reference>
        </references>
      </pivotArea>
    </format>
    <format dxfId="81">
      <pivotArea collapsedLevelsAreSubtotals="1" fieldPosition="0">
        <references count="1">
          <reference field="4294967294" count="1">
            <x v="127"/>
          </reference>
        </references>
      </pivotArea>
    </format>
    <format dxfId="80">
      <pivotArea dataOnly="0" labelOnly="1" outline="0" fieldPosition="0">
        <references count="1">
          <reference field="4294967294" count="1">
            <x v="127"/>
          </reference>
        </references>
      </pivotArea>
    </format>
    <format dxfId="79">
      <pivotArea collapsedLevelsAreSubtotals="1" fieldPosition="0">
        <references count="1">
          <reference field="4294967294" count="1">
            <x v="133"/>
          </reference>
        </references>
      </pivotArea>
    </format>
    <format dxfId="78">
      <pivotArea dataOnly="0" labelOnly="1" outline="0" fieldPosition="0">
        <references count="1">
          <reference field="4294967294" count="1">
            <x v="133"/>
          </reference>
        </references>
      </pivotArea>
    </format>
    <format dxfId="77">
      <pivotArea collapsedLevelsAreSubtotals="1" fieldPosition="0">
        <references count="1">
          <reference field="4294967294" count="1">
            <x v="139"/>
          </reference>
        </references>
      </pivotArea>
    </format>
    <format dxfId="76">
      <pivotArea dataOnly="0" labelOnly="1" outline="0" fieldPosition="0">
        <references count="1">
          <reference field="4294967294" count="1">
            <x v="139"/>
          </reference>
        </references>
      </pivotArea>
    </format>
    <format dxfId="75">
      <pivotArea collapsedLevelsAreSubtotals="1" fieldPosition="0">
        <references count="1">
          <reference field="4294967294" count="1">
            <x v="145"/>
          </reference>
        </references>
      </pivotArea>
    </format>
    <format dxfId="74">
      <pivotArea dataOnly="0" labelOnly="1" outline="0" fieldPosition="0">
        <references count="1">
          <reference field="4294967294" count="1">
            <x v="145"/>
          </reference>
        </references>
      </pivotArea>
    </format>
    <format dxfId="73">
      <pivotArea collapsedLevelsAreSubtotals="1" fieldPosition="0">
        <references count="1">
          <reference field="4294967294" count="1">
            <x v="150"/>
          </reference>
        </references>
      </pivotArea>
    </format>
    <format dxfId="72">
      <pivotArea dataOnly="0" labelOnly="1" outline="0" fieldPosition="0">
        <references count="1">
          <reference field="4294967294" count="1">
            <x v="150"/>
          </reference>
        </references>
      </pivotArea>
    </format>
    <format dxfId="71">
      <pivotArea type="all" dataOnly="0" outline="0" fieldPosition="0"/>
    </format>
    <format dxfId="70">
      <pivotArea collapsedLevelsAreSubtotals="1" fieldPosition="0">
        <references count="1">
          <reference field="4294967294" count="1">
            <x v="156"/>
          </reference>
        </references>
      </pivotArea>
    </format>
    <format dxfId="69">
      <pivotArea dataOnly="0" labelOnly="1" outline="0" fieldPosition="0">
        <references count="1">
          <reference field="4294967294" count="1">
            <x v="156"/>
          </reference>
        </references>
      </pivotArea>
    </format>
    <format dxfId="68">
      <pivotArea collapsedLevelsAreSubtotals="1" fieldPosition="0">
        <references count="1">
          <reference field="4294967294" count="2">
            <x v="157"/>
            <x v="158"/>
          </reference>
        </references>
      </pivotArea>
    </format>
    <format dxfId="67">
      <pivotArea dataOnly="0" labelOnly="1" outline="0" fieldPosition="0">
        <references count="1">
          <reference field="4294967294" count="2">
            <x v="157"/>
            <x v="158"/>
          </reference>
        </references>
      </pivotArea>
    </format>
    <format dxfId="66">
      <pivotArea collapsedLevelsAreSubtotals="1" fieldPosition="0">
        <references count="1">
          <reference field="4294967294" count="1">
            <x v="159"/>
          </reference>
        </references>
      </pivotArea>
    </format>
    <format dxfId="65">
      <pivotArea dataOnly="0" labelOnly="1" outline="0" fieldPosition="0">
        <references count="1">
          <reference field="4294967294" count="1">
            <x v="159"/>
          </reference>
        </references>
      </pivotArea>
    </format>
    <format dxfId="64">
      <pivotArea dataOnly="0" outline="0" fieldPosition="0">
        <references count="1">
          <reference field="4294967294" count="1">
            <x v="0"/>
          </reference>
        </references>
      </pivotArea>
    </format>
    <format dxfId="63">
      <pivotArea dataOnly="0" outline="0" fieldPosition="0">
        <references count="1">
          <reference field="4294967294" count="1">
            <x v="52"/>
          </reference>
        </references>
      </pivotArea>
    </format>
    <format dxfId="62">
      <pivotArea dataOnly="0" outline="0" fieldPosition="0">
        <references count="1">
          <reference field="4294967294" count="1">
            <x v="104"/>
          </reference>
        </references>
      </pivotArea>
    </format>
    <format dxfId="61">
      <pivotArea dataOnly="0" outline="0" fieldPosition="0">
        <references count="1">
          <reference field="4294967294" count="4">
            <x v="156"/>
            <x v="157"/>
            <x v="158"/>
            <x v="159"/>
          </reference>
        </references>
      </pivotArea>
    </format>
    <format dxfId="60">
      <pivotArea outline="0" collapsedLevelsAreSubtotals="1" fieldPosition="0"/>
    </format>
    <format dxfId="59">
      <pivotArea field="-2" type="button" dataOnly="0" labelOnly="1" outline="0" axis="axisRow" fieldPosition="0"/>
    </format>
    <format dxfId="58">
      <pivotArea field="-2" type="button" dataOnly="0" labelOnly="1" outline="0" axis="axisRow" fieldPosition="0"/>
    </format>
    <format dxfId="57">
      <pivotArea field="-2" type="button" dataOnly="0" labelOnly="1" outline="0" axis="axisRow" fieldPosition="0"/>
    </format>
    <format dxfId="56">
      <pivotArea dataOnly="0" labelOnly="1" fieldPosition="0">
        <references count="1">
          <reference field="2" count="0"/>
        </references>
      </pivotArea>
    </format>
    <format dxfId="55">
      <pivotArea type="origin" dataOnly="0" labelOnly="1" outline="0" fieldPosition="0"/>
    </format>
    <format dxfId="54">
      <pivotArea dataOnly="0" labelOnly="1" fieldPosition="0">
        <references count="1">
          <reference field="2" count="0"/>
        </references>
      </pivotArea>
    </format>
    <format dxfId="53">
      <pivotArea type="all" dataOnly="0" outline="0" fieldPosition="0"/>
    </format>
    <format dxfId="52">
      <pivotArea outline="0" collapsedLevelsAreSubtotals="1" fieldPosition="0"/>
    </format>
    <format dxfId="51">
      <pivotArea dataOnly="0" labelOnly="1" outline="0" fieldPosition="0">
        <references count="1">
          <reference field="4294967294"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50">
      <pivotArea dataOnly="0" labelOnly="1" outline="0" fieldPosition="0">
        <references count="1">
          <reference field="4294967294" count="50">
            <x v="50"/>
            <x v="51"/>
            <x v="52"/>
            <x v="53"/>
            <x v="54"/>
            <x v="55"/>
            <x v="56"/>
            <x v="57"/>
            <x v="58"/>
            <x v="59"/>
            <x v="60"/>
            <x v="61"/>
            <x v="62"/>
            <x v="63"/>
            <x v="64"/>
            <x v="65"/>
            <x v="66"/>
            <x v="67"/>
            <x v="68"/>
            <x v="69"/>
            <x v="70"/>
            <x v="71"/>
            <x v="72"/>
            <x v="73"/>
            <x v="74"/>
            <x v="75"/>
            <x v="76"/>
            <x v="77"/>
            <x v="78"/>
            <x v="79"/>
            <x v="80"/>
            <x v="81"/>
            <x v="82"/>
            <x v="83"/>
            <x v="84"/>
            <x v="85"/>
            <x v="86"/>
            <x v="87"/>
            <x v="88"/>
            <x v="89"/>
            <x v="90"/>
            <x v="91"/>
            <x v="92"/>
            <x v="93"/>
            <x v="94"/>
            <x v="95"/>
            <x v="96"/>
            <x v="97"/>
            <x v="98"/>
            <x v="99"/>
          </reference>
        </references>
      </pivotArea>
    </format>
    <format dxfId="49">
      <pivotArea dataOnly="0" labelOnly="1" outline="0" fieldPosition="0">
        <references count="1">
          <reference field="4294967294" count="50">
            <x v="100"/>
            <x v="101"/>
            <x v="102"/>
            <x v="103"/>
            <x v="104"/>
            <x v="105"/>
            <x v="106"/>
            <x v="107"/>
            <x v="108"/>
            <x v="109"/>
            <x v="110"/>
            <x v="111"/>
            <x v="112"/>
            <x v="113"/>
            <x v="114"/>
            <x v="115"/>
            <x v="116"/>
            <x v="117"/>
            <x v="118"/>
            <x v="119"/>
            <x v="120"/>
            <x v="121"/>
            <x v="122"/>
            <x v="123"/>
            <x v="124"/>
            <x v="125"/>
            <x v="126"/>
            <x v="127"/>
            <x v="128"/>
            <x v="129"/>
            <x v="130"/>
            <x v="131"/>
            <x v="132"/>
            <x v="133"/>
            <x v="134"/>
            <x v="135"/>
            <x v="136"/>
            <x v="137"/>
            <x v="138"/>
            <x v="139"/>
            <x v="140"/>
            <x v="141"/>
            <x v="142"/>
            <x v="143"/>
            <x v="144"/>
            <x v="145"/>
            <x v="146"/>
            <x v="147"/>
            <x v="148"/>
            <x v="149"/>
          </reference>
        </references>
      </pivotArea>
    </format>
    <format dxfId="48">
      <pivotArea dataOnly="0" labelOnly="1" outline="0" fieldPosition="0">
        <references count="1">
          <reference field="4294967294" count="10">
            <x v="150"/>
            <x v="151"/>
            <x v="152"/>
            <x v="153"/>
            <x v="154"/>
            <x v="155"/>
            <x v="156"/>
            <x v="157"/>
            <x v="158"/>
            <x v="159"/>
          </reference>
        </references>
      </pivotArea>
    </format>
    <format dxfId="47">
      <pivotArea dataOnly="0" labelOnly="1" fieldPosition="0">
        <references count="1">
          <reference field="2" count="0"/>
        </references>
      </pivotArea>
    </format>
    <format dxfId="46">
      <pivotArea dataOnly="0" labelOnly="1" fieldPosition="0">
        <references count="2">
          <reference field="1" count="0"/>
          <reference field="2" count="0" selected="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Tabla dinámica1" cacheId="312" applyNumberFormats="0" applyBorderFormats="0" applyFontFormats="0" applyPatternFormats="0" applyAlignmentFormats="0" applyWidthHeightFormats="1" dataCaption="Valores" updatedVersion="5" minRefreshableVersion="3" useAutoFormatting="1" colGrandTotals="0" itemPrintTitles="1" createdVersion="5" indent="0" outline="1" outlineData="1" multipleFieldFilters="0">
  <location ref="B12:D17" firstHeaderRow="0" firstDataRow="1" firstDataCol="1"/>
  <pivotFields count="7">
    <pivotField showAll="0" defaultSubtotal="0"/>
    <pivotField showAll="0"/>
    <pivotField axis="axisRow" showAll="0" sortType="descending">
      <items count="5">
        <item x="0"/>
        <item x="2"/>
        <item x="3"/>
        <item x="1"/>
        <item t="default"/>
      </items>
      <autoSortScope>
        <pivotArea dataOnly="0" outline="0" fieldPosition="0">
          <references count="1">
            <reference field="4294967294" count="1" selected="0">
              <x v="0"/>
            </reference>
          </references>
        </pivotArea>
      </autoSortScope>
    </pivotField>
    <pivotField numFmtId="15" multipleItemSelectionAllowed="1" showAll="0">
      <items count="2">
        <item x="0"/>
        <item t="default"/>
      </items>
    </pivotField>
    <pivotField showAll="0" defaultSubtotal="0"/>
    <pivotField dataField="1" numFmtId="166" showAll="0" defaultSubtotal="0"/>
    <pivotField showAll="0" defaultSubtotal="0">
      <items count="9">
        <item h="1" x="0"/>
        <item h="1" x="7"/>
        <item h="1" x="6"/>
        <item h="1" x="2"/>
        <item h="1" x="3"/>
        <item h="1" x="8"/>
        <item x="5"/>
        <item h="1" x="1"/>
        <item h="1" x="4"/>
      </items>
    </pivotField>
  </pivotFields>
  <rowFields count="1">
    <field x="2"/>
  </rowFields>
  <rowItems count="5">
    <i>
      <x v="1"/>
    </i>
    <i>
      <x/>
    </i>
    <i>
      <x v="3"/>
    </i>
    <i>
      <x v="2"/>
    </i>
    <i t="grand">
      <x/>
    </i>
  </rowItems>
  <colFields count="1">
    <field x="-2"/>
  </colFields>
  <colItems count="2">
    <i>
      <x/>
    </i>
    <i i="1">
      <x v="1"/>
    </i>
  </colItems>
  <dataFields count="2">
    <dataField name="Suma de VALOR" fld="5" baseField="0" baseItem="0" numFmtId="4"/>
    <dataField name="Suma de VALOR2" fld="5" showDataAs="percentOfCol" baseField="2" baseItem="0" numFmtId="10"/>
  </dataFields>
  <formats count="4">
    <format dxfId="45">
      <pivotArea dataOnly="0" outline="0" fieldPosition="0">
        <references count="1">
          <reference field="4294967294" count="1">
            <x v="0"/>
          </reference>
        </references>
      </pivotArea>
    </format>
    <format dxfId="44">
      <pivotArea dataOnly="0" outline="0" fieldPosition="0">
        <references count="1">
          <reference field="4294967294" count="1">
            <x v="1"/>
          </reference>
        </references>
      </pivotArea>
    </format>
    <format dxfId="43">
      <pivotArea dataOnly="0" labelOnly="1" fieldPosition="0">
        <references count="1">
          <reference field="2" count="0"/>
        </references>
      </pivotArea>
    </format>
    <format dxfId="42">
      <pivotArea dataOnly="0" labelOnly="1" grandRow="1" outline="0" fieldPosition="0"/>
    </format>
  </formats>
  <conditionalFormats count="1">
    <conditionalFormat priority="1">
      <pivotAreas count="1">
        <pivotArea type="data" outline="0" collapsedLevelsAreSubtotals="1" fieldPosition="0">
          <references count="1">
            <reference field="4294967294" count="1" selected="0">
              <x v="1"/>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Tabla dinámica3" cacheId="313" dataOnRows="1" applyNumberFormats="0" applyBorderFormats="0" applyFontFormats="0" applyPatternFormats="0" applyAlignmentFormats="0" applyWidthHeightFormats="1" dataCaption="    " updatedVersion="5" minRefreshableVersion="3" rowGrandTotals="0" colGrandTotals="0" itemPrintTitles="1" createdVersion="5" indent="0" outline="1" outlineData="1" multipleFieldFilters="0" colHeaderCaption="   ">
  <location ref="B11:G74" firstHeaderRow="1" firstDataRow="3" firstDataCol="1"/>
  <pivotFields count="388">
    <pivotField showAll="0" defaultSubtotal="0"/>
    <pivotField axis="axisCol" showAll="0" defaultSubtotal="0">
      <items count="5">
        <item x="3"/>
        <item x="0"/>
        <item x="2"/>
        <item x="1"/>
        <item x="4"/>
      </items>
    </pivotField>
    <pivotField axis="axisCol" numFmtId="15" showAll="0" defaultSubtotal="0">
      <items count="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numFmtId="2" showAll="0" defaultSubtotal="0"/>
    <pivotField dataField="1" showAll="0" defaultSubtotal="0"/>
    <pivotField showAll="0" defaultSubtotal="0"/>
    <pivotField dataField="1"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dataField="1" showAll="0" defaultSubtotal="0"/>
    <pivotField dataField="1" showAll="0" defaultSubtotal="0"/>
    <pivotField showAll="0" defaultSubtotal="0"/>
    <pivotField showAll="0" defaultSubtotal="0"/>
    <pivotField dataField="1" showAll="0" defaultSubtotal="0"/>
    <pivotField dataField="1" showAll="0" defaultSubtotal="0"/>
    <pivotField dataField="1" showAll="0" defaultSubtotal="0"/>
    <pivotField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2" showAll="0" defaultSubtotal="0"/>
    <pivotField numFmtId="2" showAll="0" defaultSubtotal="0"/>
    <pivotField showAll="0" defaultSubtotal="0"/>
    <pivotField showAll="0" defaultSubtotal="0"/>
    <pivotField numFmtId="2" showAll="0" defaultSubtotal="0"/>
    <pivotField numFmtId="2"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dataField="1" showAll="0" defaultSubtotal="0"/>
    <pivotField dataField="1" showAll="0" defaultSubtotal="0"/>
    <pivotField dataField="1" showAll="0" defaultSubtotal="0"/>
    <pivotField dataField="1" showAll="0" defaultSubtotal="0"/>
    <pivotField numFmtId="2" showAll="0" defaultSubtotal="0"/>
    <pivotField numFmtId="2"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dataField="1" showAll="0" defaultSubtotal="0"/>
    <pivotField showAll="0" defaultSubtotal="0"/>
    <pivotField showAll="0" defaultSubtotal="0"/>
    <pivotField showAll="0" defaultSubtotal="0"/>
    <pivotField dataField="1" showAll="0" defaultSubtotal="0"/>
    <pivotField dataField="1" showAll="0" defaultSubtotal="0"/>
    <pivotField showAll="0" defaultSubtotal="0"/>
    <pivotField showAll="0" defaultSubtotal="0"/>
    <pivotField showAll="0" defaultSubtotal="0"/>
    <pivotField dataField="1" showAll="0" defaultSubtotal="0"/>
    <pivotField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1" showAll="0" defaultSubtotal="0"/>
    <pivotField numFmtId="2" showAll="0" defaultSubtotal="0"/>
    <pivotField numFmtId="2" showAll="0" defaultSubtotal="0"/>
    <pivotField numFmtId="2"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showAll="0" defaultSubtotal="0"/>
    <pivotField showAll="0" defaultSubtotal="0"/>
    <pivotField showAll="0" defaultSubtotal="0"/>
    <pivotField dataField="1" showAll="0" defaultSubtotal="0"/>
    <pivotField dataField="1" showAll="0" defaultSubtotal="0"/>
    <pivotField dataField="1" showAll="0" defaultSubtotal="0"/>
    <pivotField dataField="1" showAll="0" defaultSubtotal="0"/>
    <pivotField dataField="1" showAll="0" defaultSubtotal="0"/>
    <pivotField name="RENTABILIDAD2" dataField="1" showAll="0" defaultSubtotal="0"/>
    <pivotField dataField="1" showAll="0" defaultSubtotal="0"/>
    <pivotField dataField="1" showAll="0" defaultSubtotal="0"/>
    <pivotField dataField="1" showAll="0" defaultSubtotal="0"/>
    <pivotField name="LIQUIDEZ2" dataField="1" showAll="0" defaultSubtotal="0"/>
    <pivotField dataField="1" showAll="0" defaultSubtotal="0"/>
    <pivotField dataField="1" showAll="0" defaultSubtotal="0"/>
    <pivotField dragToRow="0" dragToCol="0" dragToPage="0" showAll="0" defaultSubtotal="0"/>
  </pivotFields>
  <rowFields count="1">
    <field x="-2"/>
  </rowFields>
  <rowItems count="61">
    <i>
      <x/>
    </i>
    <i i="1">
      <x v="1"/>
    </i>
    <i i="2">
      <x v="2"/>
    </i>
    <i i="3">
      <x v="3"/>
    </i>
    <i i="4">
      <x v="4"/>
    </i>
    <i i="5">
      <x v="5"/>
    </i>
    <i i="6">
      <x v="6"/>
    </i>
    <i i="7">
      <x v="7"/>
    </i>
    <i i="8">
      <x v="8"/>
    </i>
    <i i="9">
      <x v="9"/>
    </i>
    <i i="10">
      <x v="10"/>
    </i>
    <i i="11">
      <x v="11"/>
    </i>
    <i i="12">
      <x v="12"/>
    </i>
    <i i="13">
      <x v="13"/>
    </i>
    <i i="14">
      <x v="14"/>
    </i>
    <i i="15">
      <x v="15"/>
    </i>
    <i i="16">
      <x v="16"/>
    </i>
    <i i="17">
      <x v="17"/>
    </i>
    <i i="18">
      <x v="18"/>
    </i>
    <i i="19">
      <x v="19"/>
    </i>
    <i i="20">
      <x v="20"/>
    </i>
    <i i="21">
      <x v="21"/>
    </i>
    <i i="22">
      <x v="22"/>
    </i>
    <i i="23">
      <x v="23"/>
    </i>
    <i i="24">
      <x v="24"/>
    </i>
    <i i="25">
      <x v="25"/>
    </i>
    <i i="26">
      <x v="26"/>
    </i>
    <i i="27">
      <x v="27"/>
    </i>
    <i i="28">
      <x v="28"/>
    </i>
    <i i="29">
      <x v="29"/>
    </i>
    <i i="30">
      <x v="30"/>
    </i>
    <i i="31">
      <x v="31"/>
    </i>
    <i i="32">
      <x v="32"/>
    </i>
    <i i="33">
      <x v="33"/>
    </i>
    <i i="34">
      <x v="34"/>
    </i>
    <i i="35">
      <x v="35"/>
    </i>
    <i i="36">
      <x v="36"/>
    </i>
    <i i="37">
      <x v="37"/>
    </i>
    <i i="38">
      <x v="38"/>
    </i>
    <i i="39">
      <x v="39"/>
    </i>
    <i i="40">
      <x v="40"/>
    </i>
    <i i="41">
      <x v="41"/>
    </i>
    <i i="42">
      <x v="42"/>
    </i>
    <i i="43">
      <x v="43"/>
    </i>
    <i i="44">
      <x v="44"/>
    </i>
    <i i="45">
      <x v="45"/>
    </i>
    <i i="46">
      <x v="46"/>
    </i>
    <i i="47">
      <x v="47"/>
    </i>
    <i i="48">
      <x v="48"/>
    </i>
    <i i="49">
      <x v="49"/>
    </i>
    <i i="50">
      <x v="50"/>
    </i>
    <i i="51">
      <x v="51"/>
    </i>
    <i i="52">
      <x v="52"/>
    </i>
    <i i="53">
      <x v="53"/>
    </i>
    <i i="54">
      <x v="54"/>
    </i>
    <i i="55">
      <x v="55"/>
    </i>
    <i i="56">
      <x v="56"/>
    </i>
    <i i="57">
      <x v="57"/>
    </i>
    <i i="58">
      <x v="58"/>
    </i>
    <i i="59">
      <x v="59"/>
    </i>
    <i i="60">
      <x v="60"/>
    </i>
  </rowItems>
  <colFields count="2">
    <field x="2"/>
    <field x="1"/>
  </colFields>
  <colItems count="5">
    <i>
      <x/>
      <x/>
    </i>
    <i r="1">
      <x v="1"/>
    </i>
    <i r="1">
      <x v="2"/>
    </i>
    <i r="1">
      <x v="3"/>
    </i>
    <i r="1">
      <x v="4"/>
    </i>
  </colItems>
  <dataFields count="61">
    <dataField name="SUFICIENCIA PATRIMONIAL" fld="375" subtotal="count" baseField="1" baseItem="0"/>
    <dataField name="ACTIVOS PRODUCTIVOS / TOTAL ACTIVOS" fld="33" baseField="0" baseItem="0"/>
    <dataField name="ESTRUCTURA Y CALIDAD DE ACTIVOS" fld="376" subtotal="count" baseField="1" baseItem="0"/>
    <dataField name="( PATRIMONIO + RESULTADOS ) / ACTIVOS INMOVILIZADOS" fld="28" baseField="0" baseItem="0"/>
    <dataField name="ACTIVOS IMPRODUCTIVOS NETOS / TOTAL ACTIVOS" fld="31" baseField="0" baseItem="0"/>
    <dataField name="ACTIVOS PRODUCTIVOS / PASIVOS CON COSTO" fld="35" baseField="0" baseItem="0"/>
    <dataField name="INDICES DE MOROSIDAD" fld="377" subtotal="count" baseField="1" baseItem="0"/>
    <dataField name="MOROSIDAD DE CREDITO COMERCIAL PRIORITARIO" fld="63" baseField="0" baseItem="0"/>
    <dataField name="MOROSIDAD DE CREDITO DE CONSUMO PRIORITARIO " fld="64" baseField="0" baseItem="0"/>
    <dataField name="MOROSIDAD DE LA CARTERA DE CREDITO INMOBILIARIO" fld="65" baseField="0" baseItem="0"/>
    <dataField name="MOROSIDAD DE LA CARTERA DE MICROCREDITO" fld="66" baseField="0" baseItem="0"/>
    <dataField name="MOROSIDAD DE LA CARTERA CREDITO PRODUCTIVO" fld="67" baseField="0" baseItem="0"/>
    <dataField name="MOROSIDAD DE LA CARTERA DE CREDITO COMERCIAL ORDINARIO" fld="68" baseField="0" baseItem="0"/>
    <dataField name="MOROSIDAD DE LA CARTERA DE CONSUMO ORDINARIO" fld="69" baseField="0" baseItem="0"/>
    <dataField name="MOROSIDAD DE LA CARTERA DE VIVIENDA DE INTERES PUBLICO" fld="70" baseField="0" baseItem="0"/>
    <dataField name="MOROSIDAD DE LA CARTERA DE CREDITO EDUCATIVO" fld="71" baseField="0" baseItem="0"/>
    <dataField name="MOROSIDAD DE LA CARTERA TOTAL" fld="62" baseField="0" baseItem="0"/>
    <dataField name="COBERTURA DE PROVISIONES PARA CARTERA IMPRODUCTIVA" fld="378" subtotal="count" baseField="1" baseItem="0"/>
    <dataField name="COBERTURA DE LA CARTERA DE CREDITOS COMERCIAL PRIORITARIO" fld="89" baseField="0" baseItem="0"/>
    <dataField name="COBERTURA DE LA CARTERA DE CREDITOS DE CONSUMO PRIORITARIO" fld="90" baseField="0" baseItem="0"/>
    <dataField name="COBERTURA DE LA CARTERA DE CREDITO INMOBILIARIO" fld="91" baseField="0" baseItem="0"/>
    <dataField name="COBERTURA DE LA CARTERA DE MICROCREDITO" fld="92" baseField="0" baseItem="0"/>
    <dataField name="COBERTURA DE LA CARTERA CREDITO PRODUCTIVO" fld="93" baseField="0" baseItem="0"/>
    <dataField name="COBERTURA DE LA CARTERA DE CREDITO COMERCIAL ORDINARIO" fld="94" baseField="0" baseItem="0"/>
    <dataField name="COBERTURA DE LA CARTERA DE CONSUMO ORDINARIO" fld="95" baseField="0" baseItem="0"/>
    <dataField name="COBERTURA DE LA CARTERA DE VIVIENDA DE IINTERES PUBLICO" fld="96" baseField="0" baseItem="0"/>
    <dataField name="COBERTURA DE LA CARTERA DE CREDITO EDUCATIVO" fld="97" baseField="0" baseItem="0"/>
    <dataField name="COBERTURA DE LA CARTERA PROBLEMÁTICA" fld="88" baseField="0" baseItem="0"/>
    <dataField name="EFICIENCIA MICROECONOMICA" fld="379" subtotal="count" baseField="1" baseItem="0"/>
    <dataField name="GASTOS DE OPERACION ESTIMADOS / TOTAL ACTIVO PROMEDIO " fld="103" baseField="0" baseItem="0"/>
    <dataField name="GASTOS DE OPERACION  / MARGEN FINANCIERO" fld="105" baseField="0" baseItem="0"/>
    <dataField name="GASTOS DE PERSONAL ESTIMADOS / ACTIVO PROMEDIO " fld="106" baseField="0" baseItem="0"/>
    <dataField name="RENTABILIDAD" fld="380" subtotal="count" baseField="2" baseItem="0"/>
    <dataField name="RESULTADOS DEL EJERCICIO / PATRIMONIO PROMEDIO" fld="109" baseField="0" baseItem="0"/>
    <dataField name="RESULTADOS DEL EJERCICIO / ACTIVO PROMEDIO" fld="110" baseField="0" baseItem="0"/>
    <dataField name="INTERMEDIACION FINANCIERA" fld="381" subtotal="count" baseField="1" baseItem="0"/>
    <dataField name="CARTERA BRUTA / (DEPOSITOS A LA VISTA + DEPOSITOS A PLAZO)" fld="111" baseField="0" baseItem="0"/>
    <dataField name="EFICIENCIA FINANCIERA" fld="382" subtotal="count" baseField="1" baseItem="0"/>
    <dataField name="MARGEN DE INTERMEDIACIÓN ESTIMADO / PATRIMONIO PROMEDIO" fld="113" baseField="0" baseItem="0"/>
    <dataField name="MARGEN DE INTERMEDIACIÓN ESTIMADO / ACTIVO PROMEDIO" fld="114" baseField="0" baseItem="0"/>
    <dataField name="RENDIMIENTO DE LA CARTERA" fld="383" subtotal="count" baseField="0" baseItem="0"/>
    <dataField name="COBERTURA DE LA CARTERA DE CREDITOS COMERCIAL PRIORITARIO POR VENCER" fld="151" baseField="0" baseItem="0"/>
    <dataField name="COBERTURA DE LA CARTERA DE CREDITOS DE CONSUMO PRIORITARIO POR VENCER" fld="152" baseField="0" baseItem="0"/>
    <dataField name="COBERTURA DE LA CARTERA DE CREDITO INMOBILIARIO POR VENCER" fld="153" baseField="0" baseItem="0"/>
    <dataField name="COBERTURA DE LA CARTERA DE MICROCREDITO POR VENCER" fld="154" baseField="0" baseItem="0"/>
    <dataField name="COBERTURA DE LA CARTERA CREDITO PRODUCTIVO POR VENCER" fld="155" baseField="0" baseItem="0"/>
    <dataField name="COBERTURA DE LA CARTERA DE VIVIENDA DE IINTERES PUBLICO POR VENCER" fld="158" baseField="0" baseItem="0"/>
    <dataField name="COBERTURA DE LA CARTERA DE CREDITO EDUCATIVO POR VENCER" fld="159" baseField="0" baseItem="0"/>
    <dataField name="CARTERAS DE CRÉDITOS  REFINANCIADAS" fld="164" baseField="0" baseItem="0"/>
    <dataField name="CARTERAS DE CRÉDITOS  REESTRUCTURADAS" fld="169" baseField="0" baseItem="0"/>
    <dataField name="CARTERA POR VENCER TOTAL" fld="174" baseField="0" baseItem="0"/>
    <dataField name="LIQUIDEZ CORRIENTE" fld="384" subtotal="count" baseField="2" baseItem="0"/>
    <dataField name="FONDOS DISPONIBLES / TOTAL DEPOSITOS A CORTO PLAZO " fld="177" baseField="0" baseItem="0"/>
    <dataField name="SOLVENCIA " fld="385" subtotal="count" baseField="1" baseItem="0"/>
    <dataField name="SOLVENCIA PATRIMONIAL" fld="206" baseField="0" baseItem="0"/>
    <dataField name="VULNERABILIDAD DEL PATRIMONIO" fld="386" subtotal="count" baseField="1" baseItem="0"/>
    <dataField name="CARTERA IMPRODUCTIVA DESCUBIERTA / (PATRIMONIO + RESULTADOS)" fld="181" baseField="0" baseItem="0"/>
    <dataField name="CARTERA IMPRODUCTIVA / PATRIMONIO (DIC)" fld="182" baseField="0" baseItem="0"/>
    <dataField name="FK = (PATRIMONIO + RESULTADOS - INGRESOS EXTRAORDINARIOS) / ACTIVOS TOTALES" fld="186" baseField="0" baseItem="0"/>
    <dataField name="FI = 1 + (ACTIVOS IMPRODUCTIVOS / ACTIVOS TOTALES)" fld="188" baseField="0" baseItem="0"/>
    <dataField name="INDICE DE CAPITALIZACION NETO: FK / FI" fld="189" baseField="0" baseItem="0"/>
  </dataFields>
  <formats count="35">
    <format dxfId="41">
      <pivotArea outline="0" collapsedLevelsAreSubtotals="1" fieldPosition="0"/>
    </format>
    <format dxfId="40">
      <pivotArea type="all" dataOnly="0" outline="0" fieldPosition="0"/>
    </format>
    <format dxfId="39">
      <pivotArea dataOnly="0" labelOnly="1" outline="0" fieldPosition="0">
        <references count="1">
          <reference field="4294967294" count="39">
            <x v="1"/>
            <x v="3"/>
            <x v="4"/>
            <x v="5"/>
            <x v="7"/>
            <x v="8"/>
            <x v="9"/>
            <x v="10"/>
            <x v="11"/>
            <x v="12"/>
            <x v="13"/>
            <x v="14"/>
            <x v="15"/>
            <x v="16"/>
            <x v="18"/>
            <x v="19"/>
            <x v="20"/>
            <x v="21"/>
            <x v="22"/>
            <x v="23"/>
            <x v="24"/>
            <x v="25"/>
            <x v="26"/>
            <x v="27"/>
            <x v="29"/>
            <x v="30"/>
            <x v="31"/>
            <x v="33"/>
            <x v="34"/>
            <x v="36"/>
            <x v="38"/>
            <x v="39"/>
            <x v="41"/>
            <x v="42"/>
            <x v="43"/>
            <x v="44"/>
            <x v="45"/>
            <x v="46"/>
            <x v="47"/>
          </reference>
        </references>
      </pivotArea>
    </format>
    <format dxfId="38">
      <pivotArea dataOnly="0" labelOnly="1" outline="0" fieldPosition="0">
        <references count="1">
          <reference field="4294967294" count="9">
            <x v="48"/>
            <x v="49"/>
            <x v="50"/>
            <x v="52"/>
            <x v="56"/>
            <x v="57"/>
            <x v="58"/>
            <x v="59"/>
            <x v="60"/>
          </reference>
        </references>
      </pivotArea>
    </format>
    <format dxfId="37">
      <pivotArea dataOnly="0" labelOnly="1" fieldPosition="0">
        <references count="1">
          <reference field="4294967294" count="0"/>
        </references>
      </pivotArea>
    </format>
    <format dxfId="36">
      <pivotArea field="-2" type="button" dataOnly="0" labelOnly="1" outline="0" axis="axisRow" fieldPosition="0"/>
    </format>
    <format dxfId="35">
      <pivotArea field="-2" type="button" dataOnly="0" labelOnly="1" outline="0" axis="axisRow" fieldPosition="0"/>
    </format>
    <format dxfId="34">
      <pivotArea field="-2" type="button" dataOnly="0" labelOnly="1" outline="0" axis="axisRow" fieldPosition="0"/>
    </format>
    <format dxfId="33">
      <pivotArea dataOnly="0" labelOnly="1" outline="0" fieldPosition="0">
        <references count="1">
          <reference field="4294967294" count="1">
            <x v="16"/>
          </reference>
        </references>
      </pivotArea>
    </format>
    <format dxfId="32">
      <pivotArea collapsedLevelsAreSubtotals="1" fieldPosition="0">
        <references count="1">
          <reference field="4294967294" count="1">
            <x v="29"/>
          </reference>
        </references>
      </pivotArea>
    </format>
    <format dxfId="31">
      <pivotArea dataOnly="0" labelOnly="1" outline="0" fieldPosition="0">
        <references count="1">
          <reference field="4294967294" count="1">
            <x v="29"/>
          </reference>
        </references>
      </pivotArea>
    </format>
    <format dxfId="30">
      <pivotArea dataOnly="0" labelOnly="1" outline="0" fieldPosition="0">
        <references count="1">
          <reference field="4294967294" count="1">
            <x v="32"/>
          </reference>
        </references>
      </pivotArea>
    </format>
    <format dxfId="29">
      <pivotArea dataOnly="0" labelOnly="1" outline="0" fieldPosition="0">
        <references count="1">
          <reference field="4294967294" count="1">
            <x v="51"/>
          </reference>
        </references>
      </pivotArea>
    </format>
    <format dxfId="28">
      <pivotArea type="all" dataOnly="0" outline="0" fieldPosition="0"/>
    </format>
    <format dxfId="27">
      <pivotArea outline="0" collapsedLevelsAreSubtotals="1" fieldPosition="0"/>
    </format>
    <format dxfId="26">
      <pivotArea dataOnly="0" labelOnly="1" outline="0" fieldPosition="0">
        <references count="1">
          <reference field="4294967294" count="40">
            <x v="1"/>
            <x v="3"/>
            <x v="4"/>
            <x v="5"/>
            <x v="7"/>
            <x v="8"/>
            <x v="9"/>
            <x v="10"/>
            <x v="11"/>
            <x v="12"/>
            <x v="13"/>
            <x v="14"/>
            <x v="15"/>
            <x v="16"/>
            <x v="18"/>
            <x v="19"/>
            <x v="20"/>
            <x v="21"/>
            <x v="22"/>
            <x v="23"/>
            <x v="24"/>
            <x v="25"/>
            <x v="26"/>
            <x v="27"/>
            <x v="29"/>
            <x v="30"/>
            <x v="31"/>
            <x v="32"/>
            <x v="33"/>
            <x v="34"/>
            <x v="36"/>
            <x v="38"/>
            <x v="39"/>
            <x v="41"/>
            <x v="42"/>
            <x v="43"/>
            <x v="44"/>
            <x v="45"/>
            <x v="46"/>
            <x v="47"/>
          </reference>
        </references>
      </pivotArea>
    </format>
    <format dxfId="25">
      <pivotArea dataOnly="0" labelOnly="1" outline="0" fieldPosition="0">
        <references count="1">
          <reference field="4294967294" count="10">
            <x v="48"/>
            <x v="49"/>
            <x v="50"/>
            <x v="51"/>
            <x v="52"/>
            <x v="56"/>
            <x v="57"/>
            <x v="58"/>
            <x v="59"/>
            <x v="60"/>
          </reference>
        </references>
      </pivotArea>
    </format>
    <format dxfId="24">
      <pivotArea dataOnly="0" labelOnly="1" fieldPosition="0">
        <references count="1">
          <reference field="2" count="0"/>
        </references>
      </pivotArea>
    </format>
    <format dxfId="23">
      <pivotArea dataOnly="0" labelOnly="1" fieldPosition="0">
        <references count="2">
          <reference field="1" count="0"/>
          <reference field="2" count="0" selected="0"/>
        </references>
      </pivotArea>
    </format>
    <format dxfId="22">
      <pivotArea dataOnly="0" labelOnly="1" outline="0" fieldPosition="0">
        <references count="1">
          <reference field="4294967294" count="1">
            <x v="0"/>
          </reference>
        </references>
      </pivotArea>
    </format>
    <format dxfId="21">
      <pivotArea dataOnly="0" labelOnly="1" outline="0" fieldPosition="0">
        <references count="1">
          <reference field="4294967294" count="1">
            <x v="2"/>
          </reference>
        </references>
      </pivotArea>
    </format>
    <format dxfId="20">
      <pivotArea dataOnly="0" labelOnly="1" outline="0" fieldPosition="0">
        <references count="1">
          <reference field="4294967294" count="1">
            <x v="6"/>
          </reference>
        </references>
      </pivotArea>
    </format>
    <format dxfId="19">
      <pivotArea dataOnly="0" labelOnly="1" outline="0" fieldPosition="0">
        <references count="1">
          <reference field="4294967294" count="1">
            <x v="17"/>
          </reference>
        </references>
      </pivotArea>
    </format>
    <format dxfId="18">
      <pivotArea dataOnly="0" labelOnly="1" outline="0" fieldPosition="0">
        <references count="1">
          <reference field="4294967294" count="1">
            <x v="28"/>
          </reference>
        </references>
      </pivotArea>
    </format>
    <format dxfId="17">
      <pivotArea dataOnly="0" labelOnly="1" outline="0" fieldPosition="0">
        <references count="1">
          <reference field="4294967294" count="1">
            <x v="35"/>
          </reference>
        </references>
      </pivotArea>
    </format>
    <format dxfId="16">
      <pivotArea dataOnly="0" labelOnly="1" outline="0" fieldPosition="0">
        <references count="1">
          <reference field="4294967294" count="1">
            <x v="37"/>
          </reference>
        </references>
      </pivotArea>
    </format>
    <format dxfId="15">
      <pivotArea dataOnly="0" labelOnly="1" outline="0" fieldPosition="0">
        <references count="1">
          <reference field="4294967294" count="1">
            <x v="40"/>
          </reference>
        </references>
      </pivotArea>
    </format>
    <format dxfId="14">
      <pivotArea dataOnly="0" labelOnly="1" outline="0" fieldPosition="0">
        <references count="1">
          <reference field="4294967294" count="1">
            <x v="55"/>
          </reference>
        </references>
      </pivotArea>
    </format>
    <format dxfId="13">
      <pivotArea dataOnly="0" labelOnly="1" outline="0" fieldPosition="0">
        <references count="1">
          <reference field="4294967294" count="1">
            <x v="53"/>
          </reference>
        </references>
      </pivotArea>
    </format>
    <format dxfId="12">
      <pivotArea collapsedLevelsAreSubtotals="1" fieldPosition="0">
        <references count="3">
          <reference field="4294967294" count="1">
            <x v="18"/>
          </reference>
          <reference field="1" count="1" selected="0">
            <x v="1"/>
          </reference>
          <reference field="2" count="0" selected="0"/>
        </references>
      </pivotArea>
    </format>
    <format dxfId="11">
      <pivotArea collapsedLevelsAreSubtotals="1" fieldPosition="0">
        <references count="3">
          <reference field="4294967294" count="1">
            <x v="18"/>
          </reference>
          <reference field="1" count="1" selected="0">
            <x v="1"/>
          </reference>
          <reference field="2" count="0" selected="0"/>
        </references>
      </pivotArea>
    </format>
    <format dxfId="10">
      <pivotArea collapsedLevelsAreSubtotals="1" fieldPosition="0">
        <references count="3">
          <reference field="4294967294" count="1">
            <x v="18"/>
          </reference>
          <reference field="1" count="1" selected="0">
            <x v="1"/>
          </reference>
          <reference field="2" count="0" selected="0"/>
        </references>
      </pivotArea>
    </format>
    <format dxfId="9">
      <pivotArea collapsedLevelsAreSubtotals="1" fieldPosition="0">
        <references count="3">
          <reference field="4294967294" count="1">
            <x v="18"/>
          </reference>
          <reference field="1" count="1" selected="0">
            <x v="1"/>
          </reference>
          <reference field="2" count="0" selected="0"/>
        </references>
      </pivotArea>
    </format>
    <format dxfId="8">
      <pivotArea collapsedLevelsAreSubtotals="1" fieldPosition="0">
        <references count="3">
          <reference field="4294967294" count="1">
            <x v="49"/>
          </reference>
          <reference field="1" count="1" selected="0">
            <x v="3"/>
          </reference>
          <reference field="2" count="0" selected="0"/>
        </references>
      </pivotArea>
    </format>
    <format dxfId="7">
      <pivotArea collapsedLevelsAreSubtotals="1" fieldPosition="0">
        <references count="3">
          <reference field="4294967294" count="1">
            <x v="49"/>
          </reference>
          <reference field="1" count="1" selected="0">
            <x v="3"/>
          </reference>
          <reference field="2" count="0" selected="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Tabla dinámica5" cacheId="310" applyNumberFormats="0" applyBorderFormats="0" applyFontFormats="0" applyPatternFormats="0" applyAlignmentFormats="0" applyWidthHeightFormats="1" dataCaption="Valores" updatedVersion="5" minRefreshableVersion="3" useAutoFormatting="1" itemPrintTitles="1" createdVersion="5" indent="0" compact="0" compactData="0" gridDropZones="1" multipleFieldFilters="0">
  <location ref="A3:M6" firstHeaderRow="2" firstDataRow="2" firstDataCol="7"/>
  <pivotFields count="20">
    <pivotField axis="axisRow" compact="0" outline="0" showAll="0" defaultSubtotal="0">
      <items count="30">
        <item h="1" x="0"/>
        <item x="1"/>
        <item h="1" x="2"/>
        <item h="1" x="3"/>
        <item h="1" x="4"/>
        <item h="1" x="5"/>
        <item h="1" x="6"/>
        <item h="1" x="7"/>
        <item h="1" x="8"/>
        <item h="1" x="9"/>
        <item h="1" x="10"/>
        <item h="1" x="11"/>
        <item h="1" x="12"/>
        <item h="1" x="13"/>
        <item h="1" x="14"/>
        <item h="1" x="15"/>
        <item h="1" x="16"/>
        <item h="1" x="17"/>
        <item h="1" x="18"/>
        <item h="1" x="19"/>
        <item h="1" m="1" x="27"/>
        <item h="1" x="20"/>
        <item h="1" x="21"/>
        <item h="1" x="22"/>
        <item h="1" x="23"/>
        <item h="1" m="1" x="29"/>
        <item h="1" m="1" x="28"/>
        <item h="1" x="24"/>
        <item h="1" x="25"/>
        <item h="1" m="1" x="26"/>
      </items>
    </pivotField>
    <pivotField axis="axisRow" compact="0" outline="0" showAll="0" defaultSubtotal="0">
      <items count="28">
        <item m="1" x="26"/>
        <item x="14"/>
        <item x="13"/>
        <item x="22"/>
        <item x="8"/>
        <item x="17"/>
        <item x="24"/>
        <item x="9"/>
        <item x="20"/>
        <item x="23"/>
        <item x="4"/>
        <item x="18"/>
        <item x="25"/>
        <item x="10"/>
        <item x="0"/>
        <item x="3"/>
        <item x="7"/>
        <item x="2"/>
        <item x="1"/>
        <item x="19"/>
        <item x="11"/>
        <item x="5"/>
        <item x="16"/>
        <item x="21"/>
        <item x="12"/>
        <item x="6"/>
        <item x="15"/>
        <item m="1" x="27"/>
      </items>
    </pivotField>
    <pivotField axis="axisRow" compact="0" outline="0" showAll="0" defaultSubtotal="0">
      <items count="28">
        <item m="1" x="26"/>
        <item x="20"/>
        <item x="10"/>
        <item x="5"/>
        <item x="7"/>
        <item x="14"/>
        <item x="13"/>
        <item x="25"/>
        <item x="22"/>
        <item x="17"/>
        <item x="23"/>
        <item x="2"/>
        <item x="11"/>
        <item x="3"/>
        <item x="16"/>
        <item x="1"/>
        <item x="8"/>
        <item x="21"/>
        <item x="6"/>
        <item x="15"/>
        <item x="4"/>
        <item x="9"/>
        <item x="0"/>
        <item x="12"/>
        <item x="18"/>
        <item x="24"/>
        <item x="19"/>
        <item m="1" x="27"/>
      </items>
    </pivotField>
    <pivotField axis="axisRow" compact="0" outline="0" showAll="0" defaultSubtotal="0">
      <items count="28">
        <item m="1" x="26"/>
        <item x="11"/>
        <item x="0"/>
        <item x="5"/>
        <item x="1"/>
        <item x="2"/>
        <item x="3"/>
        <item x="7"/>
        <item x="22"/>
        <item x="9"/>
        <item x="16"/>
        <item x="21"/>
        <item x="6"/>
        <item x="15"/>
        <item x="10"/>
        <item x="20"/>
        <item x="12"/>
        <item x="4"/>
        <item x="18"/>
        <item x="24"/>
        <item x="17"/>
        <item x="8"/>
        <item x="25"/>
        <item x="13"/>
        <item x="23"/>
        <item x="14"/>
        <item x="19"/>
        <item m="1" x="27"/>
      </items>
    </pivotField>
    <pivotField axis="axisRow" compact="0" outline="0" showAll="0" defaultSubtotal="0">
      <items count="28">
        <item m="1" x="26"/>
        <item x="25"/>
        <item x="19"/>
        <item x="16"/>
        <item x="17"/>
        <item x="18"/>
        <item x="15"/>
        <item x="13"/>
        <item x="22"/>
        <item x="1"/>
        <item x="14"/>
        <item x="12"/>
        <item x="7"/>
        <item x="5"/>
        <item x="3"/>
        <item x="8"/>
        <item x="24"/>
        <item x="2"/>
        <item x="0"/>
        <item x="20"/>
        <item x="4"/>
        <item x="23"/>
        <item x="10"/>
        <item x="21"/>
        <item x="9"/>
        <item x="11"/>
        <item x="6"/>
        <item m="1" x="27"/>
      </items>
    </pivotField>
    <pivotField axis="axisRow" compact="0" outline="0" showAll="0" defaultSubtotal="0">
      <items count="27">
        <item x="10"/>
        <item x="25"/>
        <item x="18"/>
        <item x="11"/>
        <item x="4"/>
        <item x="2"/>
        <item x="22"/>
        <item x="17"/>
        <item x="15"/>
        <item x="1"/>
        <item x="12"/>
        <item x="16"/>
        <item x="8"/>
        <item x="19"/>
        <item x="5"/>
        <item x="20"/>
        <item x="24"/>
        <item x="7"/>
        <item x="3"/>
        <item x="21"/>
        <item x="6"/>
        <item x="14"/>
        <item x="23"/>
        <item x="13"/>
        <item x="9"/>
        <item x="0"/>
        <item m="1" x="26"/>
      </items>
    </pivotField>
    <pivotField axis="axisRow" compact="0" outline="0" showAll="0" defaultSubtotal="0">
      <items count="1">
        <item x="0"/>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7">
    <field x="0"/>
    <field x="1"/>
    <field x="3"/>
    <field x="2"/>
    <field x="4"/>
    <field x="5"/>
    <field x="6"/>
  </rowFields>
  <rowItems count="2">
    <i>
      <x v="1"/>
      <x v="18"/>
      <x v="4"/>
      <x v="15"/>
      <x v="9"/>
      <x v="9"/>
      <x/>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Tabla dinámica3" cacheId="309" dataOnRows="1" applyNumberFormats="0" applyBorderFormats="0" applyFontFormats="0" applyPatternFormats="0" applyAlignmentFormats="0" applyWidthHeightFormats="1" dataCaption="Valores" updatedVersion="5" minRefreshableVersion="3" useAutoFormatting="1" rowGrandTotals="0" colGrandTotals="0" itemPrintTitles="1" createdVersion="5" indent="0" outline="1" outlineData="1" multipleFieldFilters="0">
  <location ref="A3:B134" firstHeaderRow="1" firstDataRow="2" firstDataCol="1" rowPageCount="1" colPageCount="1"/>
  <pivotFields count="135">
    <pivotField showAll="0" defaultSubtotal="0"/>
    <pivotField showAll="0" defaultSubtotal="0"/>
    <pivotField axis="axisPage" multipleItemSelectionAllowed="1" showAll="0" defaultSubtotal="0">
      <items count="28">
        <item h="1" x="20"/>
        <item h="1" x="26"/>
        <item h="1" x="27"/>
        <item h="1" x="0"/>
        <item h="1" x="1"/>
        <item h="1" x="2"/>
        <item h="1" x="3"/>
        <item h="1" x="4"/>
        <item h="1" x="5"/>
        <item h="1" x="6"/>
        <item h="1" x="7"/>
        <item h="1" x="8"/>
        <item h="1" x="9"/>
        <item h="1" x="10"/>
        <item h="1" x="11"/>
        <item h="1" x="12"/>
        <item x="13"/>
        <item h="1" x="14"/>
        <item h="1" x="15"/>
        <item h="1" x="16"/>
        <item h="1" x="17"/>
        <item h="1" x="18"/>
        <item h="1" x="19"/>
        <item h="1" x="21"/>
        <item h="1" x="22"/>
        <item h="1" x="23"/>
        <item h="1" x="24"/>
        <item h="1" x="25"/>
      </items>
    </pivotField>
    <pivotField axis="axisCol" numFmtId="15" showAll="0" defaultSubtotal="0">
      <items count="12">
        <item h="1" x="0"/>
        <item h="1" x="1"/>
        <item h="1" x="2"/>
        <item h="1" x="3"/>
        <item h="1" x="4"/>
        <item h="1" x="5"/>
        <item h="1" x="6"/>
        <item h="1" x="7"/>
        <item h="1" x="8"/>
        <item h="1" x="9"/>
        <item h="1" x="10"/>
        <item x="11"/>
      </items>
    </pivotField>
    <pivotField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s>
  <rowFields count="1">
    <field x="-2"/>
  </rowFields>
  <rowItems count="130">
    <i>
      <x/>
    </i>
    <i i="1">
      <x v="1"/>
    </i>
    <i i="2">
      <x v="2"/>
    </i>
    <i i="3">
      <x v="3"/>
    </i>
    <i i="4">
      <x v="4"/>
    </i>
    <i i="5">
      <x v="5"/>
    </i>
    <i i="6">
      <x v="6"/>
    </i>
    <i i="7">
      <x v="7"/>
    </i>
    <i i="8">
      <x v="8"/>
    </i>
    <i i="9">
      <x v="9"/>
    </i>
    <i i="10">
      <x v="10"/>
    </i>
    <i i="11">
      <x v="11"/>
    </i>
    <i i="12">
      <x v="12"/>
    </i>
    <i i="13">
      <x v="13"/>
    </i>
    <i i="14">
      <x v="14"/>
    </i>
    <i i="15">
      <x v="15"/>
    </i>
    <i i="16">
      <x v="16"/>
    </i>
    <i i="17">
      <x v="17"/>
    </i>
    <i i="18">
      <x v="18"/>
    </i>
    <i i="19">
      <x v="19"/>
    </i>
    <i i="20">
      <x v="20"/>
    </i>
    <i i="21">
      <x v="21"/>
    </i>
    <i i="22">
      <x v="22"/>
    </i>
    <i i="23">
      <x v="23"/>
    </i>
    <i i="24">
      <x v="24"/>
    </i>
    <i i="25">
      <x v="25"/>
    </i>
    <i i="26">
      <x v="26"/>
    </i>
    <i i="27">
      <x v="27"/>
    </i>
    <i i="28">
      <x v="28"/>
    </i>
    <i i="29">
      <x v="29"/>
    </i>
    <i i="30">
      <x v="30"/>
    </i>
    <i i="31">
      <x v="31"/>
    </i>
    <i i="32">
      <x v="32"/>
    </i>
    <i i="33">
      <x v="33"/>
    </i>
    <i i="34">
      <x v="34"/>
    </i>
    <i i="35">
      <x v="35"/>
    </i>
    <i i="36">
      <x v="36"/>
    </i>
    <i i="37">
      <x v="37"/>
    </i>
    <i i="38">
      <x v="38"/>
    </i>
    <i i="39">
      <x v="39"/>
    </i>
    <i i="40">
      <x v="40"/>
    </i>
    <i i="41">
      <x v="41"/>
    </i>
    <i i="42">
      <x v="42"/>
    </i>
    <i i="43">
      <x v="43"/>
    </i>
    <i i="44">
      <x v="44"/>
    </i>
    <i i="45">
      <x v="45"/>
    </i>
    <i i="46">
      <x v="46"/>
    </i>
    <i i="47">
      <x v="47"/>
    </i>
    <i i="48">
      <x v="48"/>
    </i>
    <i i="49">
      <x v="49"/>
    </i>
    <i i="50">
      <x v="50"/>
    </i>
    <i i="51">
      <x v="51"/>
    </i>
    <i i="52">
      <x v="52"/>
    </i>
    <i i="53">
      <x v="53"/>
    </i>
    <i i="54">
      <x v="54"/>
    </i>
    <i i="55">
      <x v="55"/>
    </i>
    <i i="56">
      <x v="56"/>
    </i>
    <i i="57">
      <x v="57"/>
    </i>
    <i i="58">
      <x v="58"/>
    </i>
    <i i="59">
      <x v="59"/>
    </i>
    <i i="60">
      <x v="60"/>
    </i>
    <i i="61">
      <x v="61"/>
    </i>
    <i i="62">
      <x v="62"/>
    </i>
    <i i="63">
      <x v="63"/>
    </i>
    <i i="64">
      <x v="64"/>
    </i>
    <i i="65">
      <x v="65"/>
    </i>
    <i i="66">
      <x v="66"/>
    </i>
    <i i="67">
      <x v="67"/>
    </i>
    <i i="68">
      <x v="68"/>
    </i>
    <i i="69">
      <x v="69"/>
    </i>
    <i i="70">
      <x v="70"/>
    </i>
    <i i="71">
      <x v="71"/>
    </i>
    <i i="72">
      <x v="72"/>
    </i>
    <i i="73">
      <x v="73"/>
    </i>
    <i i="74">
      <x v="74"/>
    </i>
    <i i="75">
      <x v="75"/>
    </i>
    <i i="76">
      <x v="76"/>
    </i>
    <i i="77">
      <x v="77"/>
    </i>
    <i i="78">
      <x v="78"/>
    </i>
    <i i="79">
      <x v="79"/>
    </i>
    <i i="80">
      <x v="80"/>
    </i>
    <i i="81">
      <x v="81"/>
    </i>
    <i i="82">
      <x v="82"/>
    </i>
    <i i="83">
      <x v="83"/>
    </i>
    <i i="84">
      <x v="84"/>
    </i>
    <i i="85">
      <x v="85"/>
    </i>
    <i i="86">
      <x v="86"/>
    </i>
    <i i="87">
      <x v="87"/>
    </i>
    <i i="88">
      <x v="88"/>
    </i>
    <i i="89">
      <x v="89"/>
    </i>
    <i i="90">
      <x v="90"/>
    </i>
    <i i="91">
      <x v="91"/>
    </i>
    <i i="92">
      <x v="92"/>
    </i>
    <i i="93">
      <x v="93"/>
    </i>
    <i i="94">
      <x v="94"/>
    </i>
    <i i="95">
      <x v="95"/>
    </i>
    <i i="96">
      <x v="96"/>
    </i>
    <i i="97">
      <x v="97"/>
    </i>
    <i i="98">
      <x v="98"/>
    </i>
    <i i="99">
      <x v="99"/>
    </i>
    <i i="100">
      <x v="100"/>
    </i>
    <i i="101">
      <x v="101"/>
    </i>
    <i i="102">
      <x v="102"/>
    </i>
    <i i="103">
      <x v="103"/>
    </i>
    <i i="104">
      <x v="104"/>
    </i>
    <i i="105">
      <x v="105"/>
    </i>
    <i i="106">
      <x v="106"/>
    </i>
    <i i="107">
      <x v="107"/>
    </i>
    <i i="108">
      <x v="108"/>
    </i>
    <i i="109">
      <x v="109"/>
    </i>
    <i i="110">
      <x v="110"/>
    </i>
    <i i="111">
      <x v="111"/>
    </i>
    <i i="112">
      <x v="112"/>
    </i>
    <i i="113">
      <x v="113"/>
    </i>
    <i i="114">
      <x v="114"/>
    </i>
    <i i="115">
      <x v="115"/>
    </i>
    <i i="116">
      <x v="116"/>
    </i>
    <i i="117">
      <x v="117"/>
    </i>
    <i i="118">
      <x v="118"/>
    </i>
    <i i="119">
      <x v="119"/>
    </i>
    <i i="120">
      <x v="120"/>
    </i>
    <i i="121">
      <x v="121"/>
    </i>
    <i i="122">
      <x v="122"/>
    </i>
    <i i="123">
      <x v="123"/>
    </i>
    <i i="124">
      <x v="124"/>
    </i>
    <i i="125">
      <x v="125"/>
    </i>
    <i i="126">
      <x v="126"/>
    </i>
    <i i="127">
      <x v="127"/>
    </i>
    <i i="128">
      <x v="128"/>
    </i>
    <i i="129">
      <x v="129"/>
    </i>
  </rowItems>
  <colFields count="1">
    <field x="3"/>
  </colFields>
  <colItems count="1">
    <i>
      <x v="11"/>
    </i>
  </colItems>
  <pageFields count="1">
    <pageField fld="2" hier="-1"/>
  </pageFields>
  <dataFields count="130">
    <dataField name="Suma de A1_DE_1_A_30_DIAS" fld="5" baseField="0" baseItem="0"/>
    <dataField name="Suma de A1_DE_31_A_90DIAS" fld="6" baseField="0" baseItem="0"/>
    <dataField name="Suma de A1_DE_91_A_180_DIAS" fld="7" baseField="0" baseItem="0"/>
    <dataField name="Suma de A1_DE_181_A_360_DIAS" fld="8" baseField="0" baseItem="0"/>
    <dataField name="Suma de A1_DE_MAS_DE_360_DIAS" fld="9" baseField="0" baseItem="0"/>
    <dataField name="Suma de A2_DE_1_A_30_DIAS" fld="10" baseField="0" baseItem="0"/>
    <dataField name="Suma de A2_DE_31_A_90DIAS" fld="11" baseField="0" baseItem="0"/>
    <dataField name="Suma de A2_DE_91_A_180_DIAS" fld="12" baseField="0" baseItem="0"/>
    <dataField name="Suma de A2_DE_181_A_360_DIAS" fld="13" baseField="0" baseItem="0"/>
    <dataField name="Suma de A2_DE_MAS_DE_360_DIAS" fld="14" baseField="0" baseItem="0"/>
    <dataField name="Suma de A3_DE_1_A_30_DIAS" fld="15" baseField="0" baseItem="0"/>
    <dataField name="Suma de A3_DE_31_A_90DIAS" fld="16" baseField="0" baseItem="0"/>
    <dataField name="Suma de A3_DE_91_A_180_DIAS" fld="17" baseField="0" baseItem="0"/>
    <dataField name="Suma de A3_DE_181_A_360_DIAS" fld="18" baseField="0" baseItem="0"/>
    <dataField name="Suma de A3_DE_MAS_DE_360_DIAS" fld="19" baseField="0" baseItem="0"/>
    <dataField name="Suma de A4_DE_1_A_30_DIAS" fld="20" baseField="0" baseItem="0"/>
    <dataField name="Suma de A4_DE_31_A_90DIAS" fld="21" baseField="0" baseItem="0"/>
    <dataField name="Suma de A4_DE_91_A_180_DIAS" fld="22" baseField="0" baseItem="0"/>
    <dataField name="Suma de A4_DE_MAS_DE_180_DIAS" fld="23" baseField="0" baseItem="0"/>
    <dataField name="Suma de A5_DE_1_A_30_DIAS" fld="24" baseField="0" baseItem="0"/>
    <dataField name="Suma de A5_DE_31_A_90DIAS" fld="25" baseField="0" baseItem="0"/>
    <dataField name="Suma de A5_DE_91_A_180_DIAS" fld="26" baseField="0" baseItem="0"/>
    <dataField name="Suma de A5_DE_MAS_DE_180_DIAS" fld="27" baseField="0" baseItem="0"/>
    <dataField name="Suma de A6_DE_31_A_90DIAS" fld="28" baseField="0" baseItem="0"/>
    <dataField name="Suma de A6_DE_91_A_180_DIAS" fld="29" baseField="0" baseItem="0"/>
    <dataField name="Suma de A6_DE_181_A_360_DIAS" fld="30" baseField="0" baseItem="0"/>
    <dataField name="Suma de A6_DE_MAS_DE_360_DIAS" fld="31" baseField="0" baseItem="0"/>
    <dataField name="Suma de A7_DE_1_A_30_DIAS" fld="32" baseField="0" baseItem="0"/>
    <dataField name="Suma de A7_DE_31_A_90DIAS" fld="33" baseField="0" baseItem="0"/>
    <dataField name="Suma de A7_DE_181_A_360_DIAS" fld="34" baseField="0" baseItem="0"/>
    <dataField name="Suma de A7_DE_MAS_DE_360_DIAS" fld="35" baseField="0" baseItem="0"/>
    <dataField name="Suma de A8_DE_1_A_30_DIAS" fld="36" baseField="0" baseItem="0"/>
    <dataField name="Suma de A8_DE_31_A_90DIAS" fld="37" baseField="0" baseItem="0"/>
    <dataField name="Suma de A8_DE_91_A_360_DIAS" fld="38" baseField="0" baseItem="0"/>
    <dataField name="Suma de A8_DE_MAS_DE_360_DIAS" fld="39" baseField="0" baseItem="0"/>
    <dataField name="Suma de A9_DE_1_A_30_DIAS" fld="40" baseField="0" baseItem="0"/>
    <dataField name="Suma de A9_DE_31_A_90DIAS" fld="41" baseField="0" baseItem="0"/>
    <dataField name="Suma de A9_DE_91_A_360_DIAS" fld="42" baseField="0" baseItem="0"/>
    <dataField name="Suma de A9_DE_MAS_DE_360_DIAS" fld="43" baseField="0" baseItem="0"/>
    <dataField name="Suma de A10_DE_1_A_30_DIAS" fld="44" baseField="0" baseItem="0"/>
    <dataField name="Suma de A10_DE_31_A_90DIAS" fld="45" baseField="0" baseItem="0"/>
    <dataField name="Suma de A10_DE_91_A_180_DIAS" fld="46" baseField="0" baseItem="0"/>
    <dataField name="Suma de A10_DE_181_A_360_DIAS" fld="47" baseField="0" baseItem="0"/>
    <dataField name="Suma de A10_DE_MAS_DE_360_DIAS" fld="48" baseField="0" baseItem="0"/>
    <dataField name="Suma de A11_DE_1_A_30_DIAS" fld="49" baseField="0" baseItem="0"/>
    <dataField name="Suma de A11_DE_31_A_90DIAS" fld="50" baseField="0" baseItem="0"/>
    <dataField name="Suma de A11_DE_91_A_180_DIAS" fld="51" baseField="0" baseItem="0"/>
    <dataField name="Suma de A11_DE_181_A_360_DIAS" fld="52" baseField="0" baseItem="0"/>
    <dataField name="Suma de A11_DE_MAS_DE_360_DIAS" fld="53" baseField="0" baseItem="0"/>
    <dataField name="Suma de A12_DE_1_A_30_DIAS" fld="54" baseField="0" baseItem="0"/>
    <dataField name="Suma de A12_DE_31_A_90DIAS" fld="55" baseField="0" baseItem="0"/>
    <dataField name="Suma de A12_DE_91_A_180_DIAS" fld="56" baseField="0" baseItem="0"/>
    <dataField name="Suma de A12_DE_181_A_360_DIAS" fld="57" baseField="0" baseItem="0"/>
    <dataField name="Suma de A12_DE_MAS_DE_360_DIAS" fld="58" baseField="0" baseItem="0"/>
    <dataField name="Suma de A13_DE_1_A_30_DIAS" fld="59" baseField="0" baseItem="0"/>
    <dataField name="Suma de A13_DE_31_A_90DIAS" fld="60" baseField="0" baseItem="0"/>
    <dataField name="Suma de A13_DE_91_A_180_DIAS" fld="61" baseField="0" baseItem="0"/>
    <dataField name="Suma de A13_DE_181_A_360_DIAS" fld="62" baseField="0" baseItem="0"/>
    <dataField name="Suma de A13_DE_MAS_DE_360_DIAS" fld="63" baseField="0" baseItem="0"/>
    <dataField name="Suma de A14_DE_1_A_30_DIAS" fld="64" baseField="0" baseItem="0"/>
    <dataField name="Suma de A14_DE_31_A_90DIAS" fld="65" baseField="0" baseItem="0"/>
    <dataField name="Suma de A14_DE_91_A_180_DIAS" fld="66" baseField="0" baseItem="0"/>
    <dataField name="Suma de A14_DE_181_A_360_DIAS" fld="67" baseField="0" baseItem="0"/>
    <dataField name="Suma de A14_DE_MAS_DE_360_DIAS" fld="68" baseField="0" baseItem="0"/>
    <dataField name="Suma de A15_DE_1_A_30_DIAS" fld="69" baseField="0" baseItem="0"/>
    <dataField name="Suma de A15_DE_31_A_90DIAS" fld="70" baseField="0" baseItem="0"/>
    <dataField name="Suma de A15_DE_91_A_180_DIAS" fld="71" baseField="0" baseItem="0"/>
    <dataField name="Suma de A15_DE_181_A_360_DIAS" fld="72" baseField="0" baseItem="0"/>
    <dataField name="Suma de A15_DE_MAS_DE_360_DIAS" fld="73" baseField="0" baseItem="0"/>
    <dataField name="Suma de A16_DE_1_A_30_DIAS" fld="74" baseField="0" baseItem="0"/>
    <dataField name="Suma de A16_DE_31_A_90DIAS" fld="75" baseField="0" baseItem="0"/>
    <dataField name="Suma de A16_DE_91_A_180_DIAS" fld="76" baseField="0" baseItem="0"/>
    <dataField name="Suma de A16_DE_181_A_360_DIAS" fld="77" baseField="0" baseItem="0"/>
    <dataField name="Suma de A16_DE_MAS_DE_360_DIAS" fld="78" baseField="0" baseItem="0"/>
    <dataField name="Suma de A17_DE_1_A_30_DIAS" fld="79" baseField="0" baseItem="0"/>
    <dataField name="Suma de A17_DE_31_A_90DIAS" fld="80" baseField="0" baseItem="0"/>
    <dataField name="Suma de A17_DE_91_A_180_DIAS" fld="81" baseField="0" baseItem="0"/>
    <dataField name="Suma de A17_DE_181_A_360_DIAS" fld="82" baseField="0" baseItem="0"/>
    <dataField name="Suma de A17_DE_MAS_DE_360_DIAS" fld="83" baseField="0" baseItem="0"/>
    <dataField name="Suma de A18_DE_1_A_30_DIAS" fld="84" baseField="0" baseItem="0"/>
    <dataField name="Suma de A18_DE_31_A_90DIAS" fld="85" baseField="0" baseItem="0"/>
    <dataField name="Suma de A18_DE_91_A_180_DIAS" fld="86" baseField="0" baseItem="0"/>
    <dataField name="Suma de A18_DE_181_A_360_DIAS" fld="87" baseField="0" baseItem="0"/>
    <dataField name="Suma de A18_DE_MAS_DE_360_DIAS" fld="88" baseField="0" baseItem="0"/>
    <dataField name="Suma de A19_DE_1_A_30_DIAS" fld="89" baseField="0" baseItem="0"/>
    <dataField name="Suma de A19_DE_31_A_90DIAS" fld="90" baseField="0" baseItem="0"/>
    <dataField name="Suma de A19_DE_91_A_180_DIAS" fld="91" baseField="0" baseItem="0"/>
    <dataField name="Suma de A19_DE_181_A_360_DIAS" fld="92" baseField="0" baseItem="0"/>
    <dataField name="Suma de A19_DE_MAS_DE_360_DIAS" fld="93" baseField="0" baseItem="0"/>
    <dataField name="Suma de A20_DE_1_A_30_DIAS" fld="94" baseField="0" baseItem="0"/>
    <dataField name="Suma de A20_DE_31_A_90DIAS" fld="95" baseField="0" baseItem="0"/>
    <dataField name="Suma de A20_DE_91_A_180_DIAS" fld="96" baseField="0" baseItem="0"/>
    <dataField name="Suma de A20_DE_181_A_360_DIAS" fld="97" baseField="0" baseItem="0"/>
    <dataField name="Suma de A20_DE_MAS_DE_360_DIAS" fld="98" baseField="0" baseItem="0"/>
    <dataField name="Suma de A21_DE_1_A_30_DIAS" fld="99" baseField="0" baseItem="0"/>
    <dataField name="Suma de A21_DE_31_A_90DIAS" fld="100" baseField="0" baseItem="0"/>
    <dataField name="Suma de A21_DE_91_A_180_DIAS" fld="101" baseField="0" baseItem="0"/>
    <dataField name="Suma de A21_DE_181_A_360_DIAS" fld="102" baseField="0" baseItem="0"/>
    <dataField name="Suma de A21_DE_MAS_DE_360_DIAS" fld="103" baseField="0" baseItem="0"/>
    <dataField name="Suma de A22_DE_1_A_30_DIAS" fld="104" baseField="0" baseItem="0"/>
    <dataField name="Suma de A22_DE_31_A_90DIAS" fld="105" baseField="0" baseItem="0"/>
    <dataField name="Suma de A22_DE_91_A_360_DIAS" fld="106" baseField="0" baseItem="0"/>
    <dataField name="Suma de A22_DE_MAS_DE_360_DIAS" fld="107" baseField="0" baseItem="0"/>
    <dataField name="Suma de A23_DE_1_A_30_DIAS" fld="108" baseField="0" baseItem="0"/>
    <dataField name="Suma de A23_DE_31_A_90DIAS" fld="109" baseField="0" baseItem="0"/>
    <dataField name="Suma de A23_DE_91_A_360_DIAS" fld="110" baseField="0" baseItem="0"/>
    <dataField name="Suma de A23_DE_MAS_DE_360_DIAS" fld="111" baseField="0" baseItem="0"/>
    <dataField name="Suma de A24_DE_1_A_30_DIAS" fld="112" baseField="0" baseItem="0"/>
    <dataField name="Suma de A24_DE_31_A_90DIAS" fld="113" baseField="0" baseItem="0"/>
    <dataField name="Suma de A24_DE_91_A_360_DIAS" fld="114" baseField="0" baseItem="0"/>
    <dataField name="Suma de A24_DE_MAS_DE_360_DIAS" fld="115" baseField="0" baseItem="0"/>
    <dataField name="Suma de A25_DE_1_A_30_DIAS" fld="116" baseField="0" baseItem="0"/>
    <dataField name="Suma de A25_DE_31_A_90DIAS" fld="117" baseField="0" baseItem="0"/>
    <dataField name="Suma de A25_DE_91_A_180_DIAS" fld="118" baseField="0" baseItem="0"/>
    <dataField name="Suma de A25_DE_181_A_360_DIAS" fld="119" baseField="0" baseItem="0"/>
    <dataField name="Suma de A25_DE_MAS_DE_360_DIAS" fld="120" baseField="0" baseItem="0"/>
    <dataField name="Suma de A26_DE_1_A_30_DIAS" fld="121" baseField="0" baseItem="0"/>
    <dataField name="Suma de A26_DE_31_A_90DIAS" fld="122" baseField="0" baseItem="0"/>
    <dataField name="Suma de A26_DE_91_A_180_DIAS" fld="123" baseField="0" baseItem="0"/>
    <dataField name="Suma de A26_DE_181_A_360_DIAS" fld="124" baseField="0" baseItem="0"/>
    <dataField name="Suma de A26_DE_MAS_DE_360_DIAS" fld="125" baseField="0" baseItem="0"/>
    <dataField name="Suma de A27_DE_1_A_30_DIAS" fld="126" baseField="0" baseItem="0"/>
    <dataField name="Suma de A27_DE_31_A_90DIAS" fld="127" baseField="0" baseItem="0"/>
    <dataField name="Suma de A27_DE_91_A_180_DIAS" fld="128" baseField="0" baseItem="0"/>
    <dataField name="Suma de A27_DE_181_A_360_DIAS" fld="129" baseField="0" baseItem="0"/>
    <dataField name="Suma de A27_DE_MAS_DE_360_DIAS" fld="130" baseField="0" baseItem="0"/>
    <dataField name="Suma de carte_impr" fld="131" baseField="0" baseItem="0"/>
    <dataField name="Suma de A1499" fld="133" baseField="0" baseItem="0"/>
    <dataField name="Suma de Carte_bruta" fld="134" baseField="0" baseItem="0"/>
    <dataField name="Suma de A14" fld="132" baseField="0" baseItem="0"/>
  </dataFields>
  <formats count="3">
    <format dxfId="2">
      <pivotArea collapsedLevelsAreSubtotals="1" fieldPosition="0">
        <references count="2">
          <reference field="4294967294" count="1">
            <x v="127"/>
          </reference>
          <reference field="3" count="1" selected="0">
            <x v="0"/>
          </reference>
        </references>
      </pivotArea>
    </format>
    <format dxfId="1">
      <pivotArea collapsedLevelsAreSubtotals="1" fieldPosition="0">
        <references count="2">
          <reference field="4294967294" count="1">
            <x v="129"/>
          </reference>
          <reference field="3" count="1" selected="0">
            <x v="0"/>
          </reference>
        </references>
      </pivotArea>
    </format>
    <format dxfId="0">
      <pivotArea collapsedLevelsAreSubtotals="1" fieldPosition="0">
        <references count="2">
          <reference field="4294967294" count="1">
            <x v="128"/>
          </reference>
          <reference field="3" count="1" selected="0">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egmentaciónDeDatos_NOM_RAZON_SOCIAL4" sourceName="NOM_RAZON_SOCIAL">
  <pivotTables>
    <pivotTable tabId="25" name="Tabla dinámica5"/>
  </pivotTables>
  <data>
    <tabular pivotCacheId="13">
      <items count="30">
        <i x="0"/>
        <i x="1" s="1"/>
        <i x="2"/>
        <i x="3"/>
        <i x="4"/>
        <i x="5"/>
        <i x="6"/>
        <i x="7"/>
        <i x="8"/>
        <i x="9"/>
        <i x="10"/>
        <i x="11"/>
        <i x="12"/>
        <i x="13"/>
        <i x="14"/>
        <i x="15"/>
        <i x="16"/>
        <i x="17"/>
        <i x="18"/>
        <i x="19"/>
        <i x="20"/>
        <i x="21"/>
        <i x="22"/>
        <i x="23"/>
        <i x="24"/>
        <i x="25"/>
        <i x="27" nd="1"/>
        <i x="29" nd="1"/>
        <i x="28" nd="1"/>
        <i x="26"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egmentaciónDeDatos_FEC_CORTE" sourceName="FEC_CORTE">
  <pivotTables>
    <pivotTable tabId="19" name="Tabla dinámica1"/>
  </pivotTables>
  <data>
    <tabular pivotCacheId="120">
      <items count="1">
        <i x="0" s="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egmentaciónDeDatos_NOM_RAZON_SOCIAL3" sourceName="NOM_RAZON_SOCIAL">
  <pivotTables>
    <pivotTable tabId="15" name="Tabla dinámica2"/>
  </pivotTables>
  <data>
    <tabular pivotCacheId="119">
      <items count="5">
        <i x="3" s="1"/>
        <i x="0" s="1"/>
        <i x="1" s="1"/>
        <i x="2" s="1"/>
        <i x="4"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egmentaciónDeDatos_FEC_CORTE1" sourceName="FEC_CORTE">
  <pivotTables>
    <pivotTable tabId="15" name="Tabla dinámica2"/>
  </pivotTables>
  <data>
    <tabular pivotCacheId="119">
      <items count="1">
        <i x="0" s="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egmentaciónDeDatos_NOM_RAZON_SOCIAL1" sourceName="NOM_RAZON_SOCIAL">
  <pivotTables>
    <pivotTable tabId="10" name="Tabla dinámica3"/>
  </pivotTables>
  <data>
    <tabular pivotCacheId="119">
      <items count="5">
        <i x="3" s="1"/>
        <i x="0" s="1"/>
        <i x="1" s="1"/>
        <i x="2" s="1"/>
        <i x="4"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egmentaciónDeDatos_FEC_CORTE2" sourceName="FEC_CORTE">
  <pivotTables>
    <pivotTable tabId="10" name="Tabla dinámica3"/>
  </pivotTables>
  <data>
    <tabular pivotCacheId="119">
      <items count="1">
        <i x="0" s="1"/>
      </items>
    </tabular>
  </data>
  <extLs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egmentaciónDeDatos_NOM_RAZON_SOCIAL6" sourceName="NOM_RAZON_SOCIAL">
  <pivotTables>
    <pivotTable tabId="9" name="Tabla dinámica1"/>
  </pivotTables>
  <data>
    <tabular pivotCacheId="119">
      <items count="5">
        <i x="3" s="1"/>
        <i x="0" s="1"/>
        <i x="1" s="1"/>
        <i x="2" s="1"/>
        <i x="4" s="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egmentaciónDeDatos_FEC_CORTE3" sourceName="FEC_CORTE">
  <pivotTables>
    <pivotTable tabId="9" name="Tabla dinámica1"/>
  </pivotTables>
  <data>
    <tabular pivotCacheId="119">
      <items count="1">
        <i x="0" s="1"/>
      </items>
    </tabular>
  </data>
  <extLst>
    <x:ext xmlns:x15="http://schemas.microsoft.com/office/spreadsheetml/2010/11/main" uri="{470722E0-AACD-4C17-9CDC-17EF765DBC7E}">
      <x15:slicerCacheHideItemsWithNoData/>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egmentaciónDeDatos_NOM_RAZON_SOCIAL" sourceName="NOM_RAZON_SOCIAL">
  <pivotTables>
    <pivotTable tabId="2" name="Tabla dinámica2"/>
  </pivotTables>
  <data>
    <tabular pivotCacheId="118">
      <items count="5">
        <i x="3" s="1"/>
        <i x="0" s="1"/>
        <i x="1" s="1"/>
        <i x="2" s="1"/>
        <i x="4" s="1"/>
      </items>
    </tabular>
  </data>
  <extLst>
    <x:ext xmlns:x15="http://schemas.microsoft.com/office/spreadsheetml/2010/11/main" uri="{470722E0-AACD-4C17-9CDC-17EF765DBC7E}">
      <x15:slicerCacheHideItemsWithNoData/>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egmentaciónDeDatos_fecha" sourceName="fecha">
  <pivotTables>
    <pivotTable tabId="2" name="Tabla dinámica2"/>
  </pivotTables>
  <data>
    <tabular pivotCacheId="118">
      <items count="1">
        <i x="0" s="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egmentaciónDeDatos_DESC_CUENTA" sourceName="DESC_CUENTA">
  <pivotTables>
    <pivotTable tabId="19" name="Tabla dinámica1"/>
  </pivotTables>
  <data>
    <tabular pivotCacheId="120">
      <items count="9">
        <i x="0"/>
        <i x="7"/>
        <i x="6"/>
        <i x="2"/>
        <i x="3"/>
        <i x="8"/>
        <i x="5" s="1"/>
        <i x="1"/>
        <i x="4"/>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RAZON SOCIAL" cache="SegmentaciónDeDatos_NOM_RAZON_SOCIAL" caption="RAZON SOCIAL" rowHeight="241300"/>
  <slicer name="FECHA " cache="SegmentaciónDeDatos_fecha" caption="FECHA "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RAZÓN SOCIAL" cache="SegmentaciónDeDatos_NOM_RAZON_SOCIAL3" caption="RAZÓN SOCIAL" lockedPosition="1" rowHeight="241300"/>
  <slicer name="FEC_CORTE" cache="SegmentaciónDeDatos_FEC_CORTE1" caption="FECHA" lockedPosition="1"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NOM_RAZON_SOCIAL" cache="SegmentaciónDeDatos_NOM_RAZON_SOCIAL6" caption="RAZÓN SOCIAL" lockedPosition="1" rowHeight="241300"/>
  <slicer name="FEC_CORTE 2" cache="SegmentaciónDeDatos_FEC_CORTE3" caption="FECHA" lockedPosition="1" rowHeight="241300"/>
</slicers>
</file>

<file path=xl/slicers/slicer4.xml><?xml version="1.0" encoding="utf-8"?>
<slicers xmlns="http://schemas.microsoft.com/office/spreadsheetml/2009/9/main" xmlns:mc="http://schemas.openxmlformats.org/markup-compatibility/2006" xmlns:x="http://schemas.openxmlformats.org/spreadsheetml/2006/main" mc:Ignorable="x">
  <slicer name="FECHA" cache="SegmentaciónDeDatos_FEC_CORTE" caption="FECHA" rowHeight="241300"/>
  <slicer name="CUENTA" cache="SegmentaciónDeDatos_DESC_CUENTA" caption="CUENTA" startItem="6" rowHeight="241300"/>
</slicers>
</file>

<file path=xl/slicers/slicer5.xml><?xml version="1.0" encoding="utf-8"?>
<slicers xmlns="http://schemas.microsoft.com/office/spreadsheetml/2009/9/main" xmlns:mc="http://schemas.openxmlformats.org/markup-compatibility/2006" xmlns:x="http://schemas.openxmlformats.org/spreadsheetml/2006/main" mc:Ignorable="x">
  <slicer name="NOM_RAZON_SOCIAL 5" cache="SegmentaciónDeDatos_NOM_RAZON_SOCIAL1" caption="RAZÓN SOCIAL" startItem="3" rowHeight="241300"/>
  <slicer name="FEC_CORTE 1" cache="SegmentaciónDeDatos_FEC_CORTE2" caption="FECHA" rowHeight="241300"/>
</slicers>
</file>

<file path=xl/slicers/slicer6.xml><?xml version="1.0" encoding="utf-8"?>
<slicers xmlns="http://schemas.microsoft.com/office/spreadsheetml/2009/9/main" xmlns:mc="http://schemas.openxmlformats.org/markup-compatibility/2006" xmlns:x="http://schemas.openxmlformats.org/spreadsheetml/2006/main" mc:Ignorable="x">
  <slicer name="NOM_RAZON_SOCIAL 2" cache="SegmentaciónDeDatos_NOM_RAZON_SOCIAL4" caption="NOM_RAZON_SOCIAL" rowHeight="241300"/>
</slicers>
</file>

<file path=xl/tables/table1.xml><?xml version="1.0" encoding="utf-8"?>
<table xmlns="http://schemas.openxmlformats.org/spreadsheetml/2006/main" id="1" name="Tabla1" displayName="Tabla1" ref="A1:T27" totalsRowShown="0" headerRowDxfId="6">
  <autoFilter ref="A1:T27"/>
  <tableColumns count="20">
    <tableColumn id="2" name="NOM_RAZON_SOCIAL" dataDxfId="5"/>
    <tableColumn id="3" name="NUM_RUC" dataDxfId="4"/>
    <tableColumn id="4" name="Direccin"/>
    <tableColumn id="5" name="Telfono" dataDxfId="3"/>
    <tableColumn id="6" name="Email"/>
    <tableColumn id="7" name="NombreGerente"/>
    <tableColumn id="9" name="SEGMENTO"/>
    <tableColumn id="1" name="ACTIVO"/>
    <tableColumn id="8" name="PASIVO"/>
    <tableColumn id="10" name="PATRIMONIO"/>
    <tableColumn id="11" name="CARTERA POR VENCER"/>
    <tableColumn id="12" name="CARTERA QUE NO DEVENGA INTERES"/>
    <tableColumn id="13" name="CARTERA VENCIDA"/>
    <tableColumn id="17" name="Microcredito2"/>
    <tableColumn id="18" name="Comercial"/>
    <tableColumn id="19" name="Consumo3"/>
    <tableColumn id="20" name="Inmobiliario"/>
    <tableColumn id="21" name="Productivo"/>
    <tableColumn id="22" name="Vivienda4"/>
    <tableColumn id="23" name="Educativo"/>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1.xml"/><Relationship Id="rId4" Type="http://schemas.microsoft.com/office/2007/relationships/slicer" Target="../slicers/slicer1.xml"/></Relationships>
</file>

<file path=xl/worksheets/_rels/sheet4.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4.xml"/><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4.bin"/><Relationship Id="rId1" Type="http://schemas.openxmlformats.org/officeDocument/2006/relationships/pivotTable" Target="../pivotTables/pivotTable3.xml"/><Relationship Id="rId4" Type="http://schemas.microsoft.com/office/2007/relationships/slicer" Target="../slicers/slicer3.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5.bin"/><Relationship Id="rId1" Type="http://schemas.openxmlformats.org/officeDocument/2006/relationships/pivotTable" Target="../pivotTables/pivotTable4.xml"/><Relationship Id="rId4" Type="http://schemas.microsoft.com/office/2007/relationships/slicer" Target="../slicers/slicer4.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6.bin"/><Relationship Id="rId1" Type="http://schemas.openxmlformats.org/officeDocument/2006/relationships/pivotTable" Target="../pivotTables/pivotTable5.xml"/><Relationship Id="rId4" Type="http://schemas.microsoft.com/office/2007/relationships/slicer" Target="../slicers/slicer5.xml"/></Relationships>
</file>

<file path=xl/worksheets/_rels/sheet8.xml.rels><?xml version="1.0" encoding="UTF-8" standalone="yes"?>
<Relationships xmlns="http://schemas.openxmlformats.org/package/2006/relationships"><Relationship Id="rId1" Type="http://schemas.openxmlformats.org/officeDocument/2006/relationships/table" Target="../tables/table1.xml"/></Relationships>
</file>

<file path=xl/worksheets/_rels/sheet9.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10.xml.rels><?xml version="1.0" encoding="UTF-8" standalone="yes"?>
<Relationships xmlns="http://schemas.openxmlformats.org/package/2006/relationships"><Relationship Id="rId3" Type="http://schemas.microsoft.com/office/2007/relationships/slicer" Target="../slicers/slicer6.xml"/><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ivotTable" Target="../pivotTables/pivotTable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K34"/>
  <sheetViews>
    <sheetView showGridLines="0" zoomScale="80" zoomScaleNormal="80" workbookViewId="0"/>
  </sheetViews>
  <sheetFormatPr baseColWidth="10" defaultColWidth="11.44140625" defaultRowHeight="14.4" x14ac:dyDescent="0.3"/>
  <cols>
    <col min="1" max="1" width="5.44140625" style="10" customWidth="1"/>
    <col min="2" max="2" width="78.5546875" style="10" bestFit="1" customWidth="1"/>
    <col min="3" max="3" width="14.33203125" style="10" bestFit="1" customWidth="1"/>
    <col min="11" max="16384" width="11.44140625" style="10"/>
  </cols>
  <sheetData>
    <row r="1" spans="1:11" x14ac:dyDescent="0.3">
      <c r="A1" s="54">
        <v>43496</v>
      </c>
    </row>
    <row r="6" spans="1:11" ht="17.399999999999999" x14ac:dyDescent="0.3">
      <c r="C6" s="11"/>
    </row>
    <row r="7" spans="1:11" ht="18" x14ac:dyDescent="0.35">
      <c r="B7" s="152" t="s">
        <v>2024</v>
      </c>
      <c r="C7" s="152"/>
    </row>
    <row r="8" spans="1:11" ht="18" x14ac:dyDescent="0.35">
      <c r="B8" s="152" t="s">
        <v>2025</v>
      </c>
      <c r="C8" s="152"/>
      <c r="K8" s="12"/>
    </row>
    <row r="9" spans="1:11" ht="15.6" x14ac:dyDescent="0.3">
      <c r="B9" s="153" t="str">
        <f>"Corte al "&amp;DAY(A1)&amp;" de "&amp;TEXT(A1,"mmmm")&amp;" de "&amp;YEAR(A1)</f>
        <v>Corte al 31 de enero de 2019</v>
      </c>
      <c r="C9" s="153"/>
      <c r="K9" s="12"/>
    </row>
    <row r="10" spans="1:11" x14ac:dyDescent="0.3">
      <c r="B10" s="55"/>
      <c r="C10" s="55"/>
      <c r="K10" s="12"/>
    </row>
    <row r="11" spans="1:11" ht="16.2" thickBot="1" x14ac:dyDescent="0.35">
      <c r="B11" s="56" t="s">
        <v>272</v>
      </c>
      <c r="C11" s="56"/>
      <c r="K11" s="12"/>
    </row>
    <row r="12" spans="1:11" ht="51.6" customHeight="1" x14ac:dyDescent="0.3">
      <c r="B12" s="150" t="s">
        <v>2026</v>
      </c>
      <c r="C12" s="150"/>
      <c r="K12" s="12"/>
    </row>
    <row r="13" spans="1:11" x14ac:dyDescent="0.3">
      <c r="B13"/>
      <c r="C13"/>
      <c r="K13" s="12"/>
    </row>
    <row r="14" spans="1:11" ht="16.2" thickBot="1" x14ac:dyDescent="0.35">
      <c r="B14" s="56" t="s">
        <v>271</v>
      </c>
      <c r="C14" s="56"/>
      <c r="K14" s="12"/>
    </row>
    <row r="15" spans="1:11" ht="16.2" thickBot="1" x14ac:dyDescent="0.35">
      <c r="B15" s="57" t="s">
        <v>2027</v>
      </c>
      <c r="C15" s="57" t="s">
        <v>2028</v>
      </c>
      <c r="K15" s="12"/>
    </row>
    <row r="16" spans="1:11" ht="15.6" x14ac:dyDescent="0.3">
      <c r="B16" s="58" t="s">
        <v>273</v>
      </c>
      <c r="C16" s="59"/>
    </row>
    <row r="17" spans="2:3" ht="15.6" x14ac:dyDescent="0.3">
      <c r="B17" s="60" t="s">
        <v>270</v>
      </c>
      <c r="C17" s="61"/>
    </row>
    <row r="18" spans="2:3" ht="15.6" x14ac:dyDescent="0.3">
      <c r="B18" s="58" t="s">
        <v>560</v>
      </c>
      <c r="C18" s="59"/>
    </row>
    <row r="19" spans="2:3" ht="15.6" x14ac:dyDescent="0.3">
      <c r="B19" s="60" t="s">
        <v>559</v>
      </c>
      <c r="C19" s="61"/>
    </row>
    <row r="20" spans="2:3" ht="15.6" x14ac:dyDescent="0.3">
      <c r="B20" s="58" t="s">
        <v>1736</v>
      </c>
      <c r="C20" s="59"/>
    </row>
    <row r="21" spans="2:3" ht="15.6" x14ac:dyDescent="0.3">
      <c r="B21" s="60" t="s">
        <v>277</v>
      </c>
      <c r="C21" s="61"/>
    </row>
    <row r="22" spans="2:3" ht="15.6" x14ac:dyDescent="0.3">
      <c r="B22" s="58" t="s">
        <v>274</v>
      </c>
      <c r="C22" s="59"/>
    </row>
    <row r="23" spans="2:3" x14ac:dyDescent="0.3">
      <c r="B23" s="62"/>
      <c r="C23" s="62"/>
    </row>
    <row r="24" spans="2:3" ht="30.9" customHeight="1" x14ac:dyDescent="0.3">
      <c r="B24" s="151" t="str">
        <f>"Nota: La información publicada al "&amp;DAY(A1)&amp;" de "&amp;TEXT(A1,"mmmm")&amp;" de "&amp;YEAR(A1)&amp;" corresponde a datos provisionales. En el presente boletín se incluye la información de las entidades activas al "&amp;DAY(A1)&amp;" de "&amp;TEXT(A1,"mmmm")&amp;" de "&amp;YEAR(A1)&amp;"."</f>
        <v>Nota: La información publicada al 31 de enero de 2019 corresponde a datos provisionales. En el presente boletín se incluye la información de las entidades activas al 31 de enero de 2019.</v>
      </c>
      <c r="C24" s="151"/>
    </row>
    <row r="25" spans="2:3" ht="6" customHeight="1" x14ac:dyDescent="0.3">
      <c r="B25" s="95"/>
      <c r="C25" s="95"/>
    </row>
    <row r="26" spans="2:3" ht="10.8" customHeight="1" x14ac:dyDescent="0.3">
      <c r="B26" s="95"/>
      <c r="C26" s="95"/>
    </row>
    <row r="27" spans="2:3" x14ac:dyDescent="0.3">
      <c r="B27" s="63" t="s">
        <v>2029</v>
      </c>
      <c r="C27" s="64"/>
    </row>
    <row r="28" spans="2:3" x14ac:dyDescent="0.3">
      <c r="B28" s="65" t="s">
        <v>2030</v>
      </c>
      <c r="C28" s="64"/>
    </row>
    <row r="29" spans="2:3" x14ac:dyDescent="0.3">
      <c r="B29" s="96" t="s">
        <v>2682</v>
      </c>
      <c r="C29" s="64"/>
    </row>
    <row r="30" spans="2:3" x14ac:dyDescent="0.3">
      <c r="B30" s="66" t="s">
        <v>2663</v>
      </c>
      <c r="C30" s="64"/>
    </row>
    <row r="31" spans="2:3" x14ac:dyDescent="0.3">
      <c r="B31" s="66" t="s">
        <v>2662</v>
      </c>
      <c r="C31" s="64"/>
    </row>
    <row r="32" spans="2:3" x14ac:dyDescent="0.3">
      <c r="C32" s="13"/>
    </row>
    <row r="33" spans="3:3" x14ac:dyDescent="0.3">
      <c r="C33" s="14"/>
    </row>
    <row r="34" spans="3:3" x14ac:dyDescent="0.3">
      <c r="C34" s="14"/>
    </row>
  </sheetData>
  <mergeCells count="5">
    <mergeCell ref="B12:C12"/>
    <mergeCell ref="B24:C24"/>
    <mergeCell ref="B7:C7"/>
    <mergeCell ref="B8:C8"/>
    <mergeCell ref="B9:C9"/>
  </mergeCells>
  <hyperlinks>
    <hyperlink ref="B19" location="'RESULTADOS DEL EJERCICIO'!A1" display="ESTADO DE PERDIDAS Y GANANCIAS"/>
    <hyperlink ref="B21" location="RANKING!A1" display="RANKING"/>
    <hyperlink ref="B22" location="INDICADORES!A1" display="INDICADORES FINANCIEROS "/>
    <hyperlink ref="B16" location="Índice!A1" display="           ÍNDICE "/>
    <hyperlink ref="B17" location="INTRODUCCIÓN!A1" display="INTRODUCCIÓN"/>
    <hyperlink ref="B18" location="'ESTADO FINANCIERO'!A1" display="ESTADO DE SITUACIÓN"/>
    <hyperlink ref="B20" location="'CLASIFICACIÓN DE CARTERA'!A1" display="CLASIFICACIÓN DE CARTERA"/>
  </hyperlink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V19"/>
  <sheetViews>
    <sheetView showGridLines="0" zoomScaleNormal="100" workbookViewId="0"/>
  </sheetViews>
  <sheetFormatPr baseColWidth="10" defaultColWidth="11.44140625" defaultRowHeight="14.4" x14ac:dyDescent="0.3"/>
  <cols>
    <col min="1" max="11" width="11.44140625" style="68"/>
    <col min="12" max="12" width="13.6640625" style="68" customWidth="1"/>
    <col min="13" max="13" width="11.44140625" style="68"/>
    <col min="14" max="14" width="54.33203125" style="69" bestFit="1" customWidth="1"/>
    <col min="15" max="15" width="17.5546875" style="69" bestFit="1" customWidth="1"/>
    <col min="16" max="16" width="47.5546875" style="69" bestFit="1" customWidth="1"/>
    <col min="17" max="17" width="14.88671875" style="69" customWidth="1"/>
    <col min="18" max="20" width="11.44140625" style="69"/>
    <col min="21" max="22" width="11.44140625" style="70"/>
    <col min="23" max="16384" width="11.44140625" style="68"/>
  </cols>
  <sheetData>
    <row r="1" spans="1:13" ht="15.6" x14ac:dyDescent="0.3">
      <c r="A1" s="67"/>
    </row>
    <row r="2" spans="1:13" ht="15.6" x14ac:dyDescent="0.3">
      <c r="A2" s="67"/>
    </row>
    <row r="3" spans="1:13" ht="15.6" x14ac:dyDescent="0.3">
      <c r="A3" s="67"/>
    </row>
    <row r="4" spans="1:13" ht="15.6" x14ac:dyDescent="0.3">
      <c r="A4" s="67"/>
    </row>
    <row r="6" spans="1:13" ht="20.399999999999999" thickBot="1" x14ac:dyDescent="0.45">
      <c r="B6" s="154" t="s">
        <v>270</v>
      </c>
      <c r="C6" s="154"/>
      <c r="D6" s="154"/>
      <c r="E6" s="154"/>
      <c r="F6" s="154"/>
      <c r="G6" s="154"/>
      <c r="H6" s="154"/>
      <c r="I6" s="154"/>
      <c r="K6" s="71"/>
    </row>
    <row r="7" spans="1:13" ht="20.399999999999999" thickTop="1" x14ac:dyDescent="0.4">
      <c r="B7" s="72"/>
      <c r="C7" s="72"/>
      <c r="D7" s="72"/>
      <c r="E7" s="72"/>
      <c r="F7" s="72"/>
      <c r="G7" s="72"/>
      <c r="H7" s="72"/>
      <c r="I7" s="72"/>
      <c r="K7" s="71"/>
    </row>
    <row r="8" spans="1:13" ht="16.5" customHeight="1" x14ac:dyDescent="0.3">
      <c r="B8" s="155" t="s">
        <v>2683</v>
      </c>
      <c r="C8" s="156"/>
      <c r="D8" s="156"/>
      <c r="E8" s="156"/>
      <c r="F8" s="156"/>
      <c r="G8" s="156"/>
      <c r="H8" s="156"/>
      <c r="I8" s="156"/>
      <c r="J8" s="73"/>
      <c r="K8" s="73"/>
      <c r="L8" s="73"/>
    </row>
    <row r="9" spans="1:13" ht="15" customHeight="1" x14ac:dyDescent="0.3">
      <c r="B9" s="156"/>
      <c r="C9" s="156"/>
      <c r="D9" s="156"/>
      <c r="E9" s="156"/>
      <c r="F9" s="156"/>
      <c r="G9" s="156"/>
      <c r="H9" s="156"/>
      <c r="I9" s="156"/>
      <c r="L9" s="69"/>
      <c r="M9" s="69"/>
    </row>
    <row r="10" spans="1:13" ht="15" customHeight="1" x14ac:dyDescent="0.3">
      <c r="B10" s="156"/>
      <c r="C10" s="156"/>
      <c r="D10" s="156"/>
      <c r="E10" s="156"/>
      <c r="F10" s="156"/>
      <c r="G10" s="156"/>
      <c r="H10" s="156"/>
      <c r="I10" s="156"/>
      <c r="L10" s="69"/>
      <c r="M10" s="69"/>
    </row>
    <row r="11" spans="1:13" ht="15" customHeight="1" x14ac:dyDescent="0.3">
      <c r="B11" s="156"/>
      <c r="C11" s="156"/>
      <c r="D11" s="156"/>
      <c r="E11" s="156"/>
      <c r="F11" s="156"/>
      <c r="G11" s="156"/>
      <c r="H11" s="156"/>
      <c r="I11" s="156"/>
      <c r="M11" s="69"/>
    </row>
    <row r="12" spans="1:13" ht="15" customHeight="1" x14ac:dyDescent="0.3">
      <c r="B12" s="156"/>
      <c r="C12" s="156"/>
      <c r="D12" s="156"/>
      <c r="E12" s="156"/>
      <c r="F12" s="156"/>
      <c r="G12" s="156"/>
      <c r="H12" s="156"/>
      <c r="I12" s="156"/>
      <c r="M12" s="69"/>
    </row>
    <row r="13" spans="1:13" ht="15" customHeight="1" x14ac:dyDescent="0.3">
      <c r="B13" s="156"/>
      <c r="C13" s="156"/>
      <c r="D13" s="156"/>
      <c r="E13" s="156"/>
      <c r="F13" s="156"/>
      <c r="G13" s="156"/>
      <c r="H13" s="156"/>
      <c r="I13" s="156"/>
    </row>
    <row r="14" spans="1:13" ht="15" customHeight="1" x14ac:dyDescent="0.3">
      <c r="B14" s="156"/>
      <c r="C14" s="156"/>
      <c r="D14" s="156"/>
      <c r="E14" s="156"/>
      <c r="F14" s="156"/>
      <c r="G14" s="156"/>
      <c r="H14" s="156"/>
      <c r="I14" s="156"/>
    </row>
    <row r="15" spans="1:13" ht="48.75" customHeight="1" x14ac:dyDescent="0.3">
      <c r="B15" s="156"/>
      <c r="C15" s="156"/>
      <c r="D15" s="156"/>
      <c r="E15" s="156"/>
      <c r="F15" s="156"/>
      <c r="G15" s="156"/>
      <c r="H15" s="156"/>
      <c r="I15" s="156"/>
    </row>
    <row r="16" spans="1:13" x14ac:dyDescent="0.3">
      <c r="B16" s="156"/>
      <c r="C16" s="156"/>
      <c r="D16" s="156"/>
      <c r="E16" s="156"/>
      <c r="F16" s="156"/>
      <c r="G16" s="156"/>
      <c r="H16" s="156"/>
      <c r="I16" s="156"/>
    </row>
    <row r="17" spans="2:9" x14ac:dyDescent="0.3">
      <c r="B17" s="156"/>
      <c r="C17" s="156"/>
      <c r="D17" s="156"/>
      <c r="E17" s="156"/>
      <c r="F17" s="156"/>
      <c r="G17" s="156"/>
      <c r="H17" s="156"/>
      <c r="I17" s="156"/>
    </row>
    <row r="18" spans="2:9" x14ac:dyDescent="0.3">
      <c r="B18" s="156"/>
      <c r="C18" s="156"/>
      <c r="D18" s="156"/>
      <c r="E18" s="156"/>
      <c r="F18" s="156"/>
      <c r="G18" s="156"/>
      <c r="H18" s="156"/>
      <c r="I18" s="156"/>
    </row>
    <row r="19" spans="2:9" x14ac:dyDescent="0.3">
      <c r="B19" s="156"/>
      <c r="C19" s="156"/>
      <c r="D19" s="156"/>
      <c r="E19" s="156"/>
      <c r="F19" s="156"/>
      <c r="G19" s="156"/>
      <c r="H19" s="156"/>
      <c r="I19" s="156"/>
    </row>
  </sheetData>
  <mergeCells count="2">
    <mergeCell ref="B6:I6"/>
    <mergeCell ref="B8:I19"/>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5:EN6882"/>
  <sheetViews>
    <sheetView showGridLines="0" zoomScale="80" zoomScaleNormal="80" workbookViewId="0"/>
  </sheetViews>
  <sheetFormatPr baseColWidth="10" defaultColWidth="25.6640625" defaultRowHeight="14.4" x14ac:dyDescent="0.3"/>
  <cols>
    <col min="1" max="1" width="18.33203125" style="62" customWidth="1"/>
    <col min="2" max="2" width="69" style="62" customWidth="1"/>
    <col min="3" max="3" width="9" style="75" customWidth="1"/>
    <col min="4" max="4" width="11.88671875" style="75" customWidth="1"/>
    <col min="5" max="16384" width="25.6640625" style="62"/>
  </cols>
  <sheetData>
    <row r="5" spans="1:144" x14ac:dyDescent="0.3">
      <c r="A5" s="74" t="s">
        <v>560</v>
      </c>
    </row>
    <row r="6" spans="1:144" x14ac:dyDescent="0.3">
      <c r="A6" s="74" t="s">
        <v>1957</v>
      </c>
    </row>
    <row r="7" spans="1:144" x14ac:dyDescent="0.3">
      <c r="A7" s="74" t="str">
        <f>UPPER("PERIODO DEL 1 ENERO DEL 2019 AL "&amp;DAY(ÍNDICE!A1)&amp;" DE "&amp;TEXT(ÍNDICE!A1,"MMMM")&amp;" DEL "&amp;YEAR(ÍNDICE!A1))</f>
        <v>PERIODO DEL 1 ENERO DEL 2019 AL 31 DE ENERO DEL 2019</v>
      </c>
    </row>
    <row r="8" spans="1:144" x14ac:dyDescent="0.3">
      <c r="A8" s="74" t="s">
        <v>269</v>
      </c>
      <c r="C8" s="76"/>
      <c r="D8" s="76"/>
    </row>
    <row r="9" spans="1:144" x14ac:dyDescent="0.3">
      <c r="C9" s="76"/>
      <c r="D9" s="76"/>
    </row>
    <row r="11" spans="1:144" x14ac:dyDescent="0.3">
      <c r="A11" s="97" t="s">
        <v>1953</v>
      </c>
      <c r="B11" s="98"/>
      <c r="C11" s="98"/>
      <c r="D11" s="98"/>
      <c r="E11" s="99" t="s">
        <v>2031</v>
      </c>
      <c r="F11" s="99" t="s">
        <v>28</v>
      </c>
      <c r="G11" s="98"/>
      <c r="H11" s="98"/>
      <c r="I11" s="100"/>
      <c r="J11"/>
      <c r="K11"/>
      <c r="L11"/>
      <c r="M11"/>
      <c r="N11"/>
    </row>
    <row r="12" spans="1:144" x14ac:dyDescent="0.3">
      <c r="A12" s="101"/>
      <c r="B12" s="102"/>
      <c r="C12" s="102"/>
      <c r="D12" s="102"/>
      <c r="E12" s="103">
        <v>43496</v>
      </c>
      <c r="F12" s="102"/>
      <c r="G12" s="102"/>
      <c r="H12" s="102"/>
      <c r="I12" s="104"/>
      <c r="J12"/>
      <c r="K12"/>
      <c r="L12"/>
      <c r="M12"/>
      <c r="N12"/>
    </row>
    <row r="13" spans="1:144" s="77" customFormat="1" x14ac:dyDescent="0.3">
      <c r="A13" s="105" t="s">
        <v>1955</v>
      </c>
      <c r="B13" s="106" t="s">
        <v>1954</v>
      </c>
      <c r="C13" s="106" t="s">
        <v>287</v>
      </c>
      <c r="D13" s="106" t="s">
        <v>288</v>
      </c>
      <c r="E13" s="102" t="s">
        <v>1960</v>
      </c>
      <c r="F13" s="102" t="s">
        <v>1958</v>
      </c>
      <c r="G13" s="102" t="s">
        <v>1959</v>
      </c>
      <c r="H13" s="102" t="s">
        <v>2665</v>
      </c>
      <c r="I13" s="104" t="s">
        <v>2666</v>
      </c>
      <c r="J13"/>
      <c r="K13"/>
      <c r="L13"/>
      <c r="M13"/>
      <c r="N13"/>
      <c r="O13" s="62"/>
      <c r="P13" s="62"/>
      <c r="Q13" s="62"/>
      <c r="R13" s="62"/>
      <c r="S13" s="62"/>
      <c r="T13" s="62"/>
      <c r="U13" s="62"/>
      <c r="V13" s="62"/>
      <c r="W13" s="62"/>
      <c r="X13" s="62"/>
      <c r="Y13" s="62"/>
      <c r="Z13" s="62"/>
      <c r="AA13" s="62"/>
      <c r="AB13" s="62"/>
      <c r="AC13" s="62"/>
      <c r="AD13" s="62"/>
      <c r="AE13" s="62"/>
      <c r="AF13" s="62"/>
      <c r="AG13" s="62"/>
      <c r="AH13" s="62"/>
      <c r="AI13" s="62"/>
      <c r="AJ13" s="62"/>
      <c r="AK13" s="62"/>
      <c r="AL13" s="62"/>
      <c r="AM13" s="62"/>
      <c r="AN13" s="62"/>
      <c r="AO13" s="62"/>
      <c r="AP13" s="62"/>
      <c r="AQ13" s="62"/>
      <c r="AR13" s="62"/>
      <c r="AS13" s="62"/>
      <c r="AT13" s="62"/>
      <c r="AU13" s="62"/>
      <c r="AV13" s="62"/>
      <c r="AW13" s="62"/>
      <c r="AX13" s="62"/>
      <c r="AY13" s="62"/>
      <c r="AZ13" s="62"/>
      <c r="BA13" s="62"/>
      <c r="BB13" s="62"/>
      <c r="BC13" s="62"/>
      <c r="BD13" s="62"/>
      <c r="BE13" s="62"/>
      <c r="BF13" s="62"/>
      <c r="BG13" s="62"/>
      <c r="BH13" s="62"/>
      <c r="BI13" s="62"/>
      <c r="BJ13" s="62"/>
      <c r="BK13" s="62"/>
      <c r="BL13" s="62"/>
      <c r="BM13" s="62"/>
      <c r="BN13" s="62"/>
      <c r="BO13" s="62"/>
      <c r="BP13" s="62"/>
      <c r="BQ13" s="62"/>
      <c r="BR13" s="62"/>
      <c r="BS13" s="62"/>
      <c r="BT13" s="62"/>
      <c r="BU13" s="62"/>
      <c r="BV13" s="62"/>
      <c r="BW13" s="62"/>
      <c r="BX13" s="62"/>
      <c r="BY13" s="62"/>
      <c r="BZ13" s="62"/>
      <c r="CA13" s="62"/>
      <c r="CB13" s="62"/>
      <c r="CC13" s="62"/>
      <c r="CD13" s="62"/>
      <c r="CE13" s="62"/>
      <c r="CF13" s="62"/>
      <c r="CG13" s="62"/>
      <c r="CH13" s="62"/>
      <c r="CI13" s="62"/>
      <c r="CJ13" s="62"/>
      <c r="CK13" s="62"/>
      <c r="CL13" s="62"/>
      <c r="CM13" s="62"/>
      <c r="CN13" s="62"/>
      <c r="CO13" s="62"/>
      <c r="CP13" s="62"/>
      <c r="CQ13" s="62"/>
      <c r="CR13" s="62"/>
      <c r="CS13" s="62"/>
      <c r="CT13" s="62"/>
      <c r="CU13" s="62"/>
      <c r="CV13" s="62"/>
      <c r="CW13" s="62"/>
      <c r="CX13" s="62"/>
      <c r="CY13" s="62"/>
      <c r="CZ13" s="62"/>
      <c r="DA13" s="62"/>
      <c r="DB13" s="62"/>
      <c r="DC13" s="62"/>
      <c r="DD13" s="62"/>
      <c r="DE13" s="62"/>
      <c r="DF13" s="62"/>
      <c r="DG13" s="62"/>
      <c r="DH13" s="62"/>
      <c r="DI13" s="62"/>
      <c r="DJ13" s="62"/>
      <c r="DK13" s="62"/>
      <c r="DL13" s="62"/>
      <c r="DM13" s="62"/>
      <c r="DN13" s="62"/>
      <c r="DO13" s="62"/>
      <c r="DP13" s="62"/>
      <c r="DQ13" s="62"/>
      <c r="DR13" s="62"/>
      <c r="DS13" s="62"/>
      <c r="DT13" s="62"/>
      <c r="DU13" s="62"/>
      <c r="DV13" s="62"/>
      <c r="DW13" s="62"/>
      <c r="DX13" s="62"/>
      <c r="DY13" s="62"/>
      <c r="DZ13" s="62"/>
      <c r="EA13" s="62"/>
      <c r="EB13" s="62"/>
      <c r="EC13" s="62"/>
      <c r="ED13" s="62"/>
      <c r="EE13" s="62"/>
      <c r="EF13" s="62"/>
      <c r="EG13" s="62"/>
      <c r="EH13" s="62"/>
      <c r="EI13" s="62"/>
      <c r="EJ13" s="62"/>
      <c r="EK13" s="62"/>
      <c r="EL13" s="62"/>
      <c r="EM13" s="62"/>
      <c r="EN13" s="62"/>
    </row>
    <row r="14" spans="1:144" x14ac:dyDescent="0.3">
      <c r="A14" s="102" t="s">
        <v>54</v>
      </c>
      <c r="B14" s="102" t="s">
        <v>290</v>
      </c>
      <c r="C14" s="107" t="s">
        <v>54</v>
      </c>
      <c r="D14" s="102">
        <v>1</v>
      </c>
      <c r="E14" s="108">
        <v>27894986.649999999</v>
      </c>
      <c r="F14" s="109">
        <v>185584543.81</v>
      </c>
      <c r="G14" s="109">
        <v>52376778.75</v>
      </c>
      <c r="H14" s="109">
        <v>708619337.00999999</v>
      </c>
      <c r="I14" s="110">
        <v>974475646.21999991</v>
      </c>
      <c r="J14"/>
      <c r="K14"/>
      <c r="L14"/>
      <c r="M14"/>
      <c r="N14"/>
    </row>
    <row r="15" spans="1:144" x14ac:dyDescent="0.3">
      <c r="A15" s="102" t="s">
        <v>57</v>
      </c>
      <c r="B15" s="102" t="s">
        <v>2017</v>
      </c>
      <c r="C15" s="107" t="s">
        <v>54</v>
      </c>
      <c r="D15" s="102">
        <v>2</v>
      </c>
      <c r="E15" s="111">
        <v>1226371.1599999999</v>
      </c>
      <c r="F15" s="112">
        <v>9475567.1600000001</v>
      </c>
      <c r="G15" s="112">
        <v>3396107.3</v>
      </c>
      <c r="H15" s="112">
        <v>29417960.43</v>
      </c>
      <c r="I15" s="113">
        <v>43516006.049999997</v>
      </c>
      <c r="J15"/>
      <c r="K15"/>
      <c r="L15"/>
      <c r="M15"/>
      <c r="N15"/>
    </row>
    <row r="16" spans="1:144" x14ac:dyDescent="0.3">
      <c r="A16" s="102" t="s">
        <v>561</v>
      </c>
      <c r="B16" s="102" t="s">
        <v>2032</v>
      </c>
      <c r="C16" s="107" t="s">
        <v>54</v>
      </c>
      <c r="D16" s="102">
        <v>4</v>
      </c>
      <c r="E16" s="111">
        <v>72091.210000000006</v>
      </c>
      <c r="F16" s="112">
        <v>1858342.96</v>
      </c>
      <c r="G16" s="112">
        <v>331114.65999999997</v>
      </c>
      <c r="H16" s="112">
        <v>3446190.56</v>
      </c>
      <c r="I16" s="113">
        <v>5707739.3899999997</v>
      </c>
      <c r="J16"/>
      <c r="K16"/>
      <c r="L16"/>
      <c r="M16"/>
      <c r="N16"/>
    </row>
    <row r="17" spans="1:14" x14ac:dyDescent="0.3">
      <c r="A17" s="102" t="s">
        <v>562</v>
      </c>
      <c r="B17" s="102" t="s">
        <v>2033</v>
      </c>
      <c r="C17" s="107" t="s">
        <v>54</v>
      </c>
      <c r="D17" s="102">
        <v>6</v>
      </c>
      <c r="E17" s="111">
        <v>71591.210000000006</v>
      </c>
      <c r="F17" s="112">
        <v>1857992.96</v>
      </c>
      <c r="G17" s="112">
        <v>330464.65999999997</v>
      </c>
      <c r="H17" s="112">
        <v>3436630.56</v>
      </c>
      <c r="I17" s="113">
        <v>5696679.3899999997</v>
      </c>
      <c r="J17"/>
      <c r="K17"/>
      <c r="L17"/>
      <c r="M17"/>
      <c r="N17"/>
    </row>
    <row r="18" spans="1:14" x14ac:dyDescent="0.3">
      <c r="A18" s="102" t="s">
        <v>563</v>
      </c>
      <c r="B18" s="102" t="s">
        <v>2034</v>
      </c>
      <c r="C18" s="107" t="s">
        <v>54</v>
      </c>
      <c r="D18" s="102">
        <v>6</v>
      </c>
      <c r="E18" s="111">
        <v>500</v>
      </c>
      <c r="F18" s="112">
        <v>350</v>
      </c>
      <c r="G18" s="112">
        <v>650</v>
      </c>
      <c r="H18" s="112">
        <v>9560</v>
      </c>
      <c r="I18" s="113">
        <v>11060</v>
      </c>
      <c r="J18"/>
      <c r="K18"/>
      <c r="L18"/>
      <c r="M18"/>
      <c r="N18"/>
    </row>
    <row r="19" spans="1:14" x14ac:dyDescent="0.3">
      <c r="A19" s="102" t="s">
        <v>1962</v>
      </c>
      <c r="B19" s="102" t="s">
        <v>2035</v>
      </c>
      <c r="C19" s="107" t="s">
        <v>54</v>
      </c>
      <c r="D19" s="102">
        <v>4</v>
      </c>
      <c r="E19" s="111">
        <v>595644.91</v>
      </c>
      <c r="F19" s="112">
        <v>4232516.55</v>
      </c>
      <c r="G19" s="112">
        <v>1359155.1</v>
      </c>
      <c r="H19" s="112">
        <v>11712100.300000001</v>
      </c>
      <c r="I19" s="113">
        <v>17899416.859999999</v>
      </c>
      <c r="J19"/>
      <c r="K19"/>
      <c r="L19"/>
      <c r="M19"/>
      <c r="N19"/>
    </row>
    <row r="20" spans="1:14" x14ac:dyDescent="0.3">
      <c r="A20" s="102" t="s">
        <v>1963</v>
      </c>
      <c r="B20" s="102" t="s">
        <v>2036</v>
      </c>
      <c r="C20" s="107" t="s">
        <v>54</v>
      </c>
      <c r="D20" s="102">
        <v>6</v>
      </c>
      <c r="E20" s="111">
        <v>595644.91</v>
      </c>
      <c r="F20" s="112">
        <v>4232516.55</v>
      </c>
      <c r="G20" s="112">
        <v>1359155.1</v>
      </c>
      <c r="H20" s="112">
        <v>11712100.300000001</v>
      </c>
      <c r="I20" s="113">
        <v>17899416.859999999</v>
      </c>
      <c r="J20"/>
      <c r="K20"/>
      <c r="L20"/>
      <c r="M20"/>
      <c r="N20"/>
    </row>
    <row r="21" spans="1:14" x14ac:dyDescent="0.3">
      <c r="A21" s="102" t="s">
        <v>1964</v>
      </c>
      <c r="B21" s="102" t="s">
        <v>2037</v>
      </c>
      <c r="C21" s="107" t="s">
        <v>54</v>
      </c>
      <c r="D21" s="102">
        <v>6</v>
      </c>
      <c r="E21" s="111">
        <v>0</v>
      </c>
      <c r="F21" s="112">
        <v>0</v>
      </c>
      <c r="G21" s="112">
        <v>0</v>
      </c>
      <c r="H21" s="112">
        <v>0</v>
      </c>
      <c r="I21" s="113">
        <v>0</v>
      </c>
      <c r="J21"/>
      <c r="K21"/>
      <c r="L21"/>
      <c r="M21"/>
      <c r="N21"/>
    </row>
    <row r="22" spans="1:14" x14ac:dyDescent="0.3">
      <c r="A22" s="102" t="s">
        <v>1961</v>
      </c>
      <c r="B22" s="102" t="s">
        <v>2038</v>
      </c>
      <c r="C22" s="107" t="s">
        <v>54</v>
      </c>
      <c r="D22" s="102">
        <v>6</v>
      </c>
      <c r="E22" s="111">
        <v>0</v>
      </c>
      <c r="F22" s="112">
        <v>0</v>
      </c>
      <c r="G22" s="112">
        <v>0</v>
      </c>
      <c r="H22" s="112">
        <v>0</v>
      </c>
      <c r="I22" s="113">
        <v>0</v>
      </c>
      <c r="J22"/>
      <c r="K22"/>
      <c r="L22"/>
      <c r="M22"/>
      <c r="N22"/>
    </row>
    <row r="23" spans="1:14" x14ac:dyDescent="0.3">
      <c r="A23" s="102" t="s">
        <v>564</v>
      </c>
      <c r="B23" s="102" t="s">
        <v>2039</v>
      </c>
      <c r="C23" s="107" t="s">
        <v>54</v>
      </c>
      <c r="D23" s="102">
        <v>4</v>
      </c>
      <c r="E23" s="111">
        <v>550118.04</v>
      </c>
      <c r="F23" s="112">
        <v>3375409.95</v>
      </c>
      <c r="G23" s="112">
        <v>1688841.44</v>
      </c>
      <c r="H23" s="112">
        <v>13601042.869999999</v>
      </c>
      <c r="I23" s="113">
        <v>19215412.300000001</v>
      </c>
      <c r="J23"/>
      <c r="K23"/>
      <c r="L23"/>
      <c r="M23"/>
      <c r="N23"/>
    </row>
    <row r="24" spans="1:14" x14ac:dyDescent="0.3">
      <c r="A24" s="102" t="s">
        <v>565</v>
      </c>
      <c r="B24" s="102" t="s">
        <v>2036</v>
      </c>
      <c r="C24" s="107" t="s">
        <v>54</v>
      </c>
      <c r="D24" s="102">
        <v>6</v>
      </c>
      <c r="E24" s="111">
        <v>0</v>
      </c>
      <c r="F24" s="112">
        <v>0</v>
      </c>
      <c r="G24" s="112">
        <v>0</v>
      </c>
      <c r="H24" s="112">
        <v>0</v>
      </c>
      <c r="I24" s="113">
        <v>0</v>
      </c>
      <c r="J24"/>
      <c r="K24"/>
      <c r="L24"/>
      <c r="M24"/>
      <c r="N24"/>
    </row>
    <row r="25" spans="1:14" x14ac:dyDescent="0.3">
      <c r="A25" s="102" t="s">
        <v>566</v>
      </c>
      <c r="B25" s="102" t="s">
        <v>2040</v>
      </c>
      <c r="C25" s="107" t="s">
        <v>54</v>
      </c>
      <c r="D25" s="102">
        <v>6</v>
      </c>
      <c r="E25" s="111">
        <v>550118.04</v>
      </c>
      <c r="F25" s="112">
        <v>3042305.51</v>
      </c>
      <c r="G25" s="112">
        <v>1688841.44</v>
      </c>
      <c r="H25" s="112">
        <v>12725813.6</v>
      </c>
      <c r="I25" s="113">
        <v>18007078.59</v>
      </c>
      <c r="J25"/>
      <c r="K25"/>
      <c r="L25"/>
      <c r="M25"/>
      <c r="N25"/>
    </row>
    <row r="26" spans="1:14" x14ac:dyDescent="0.3">
      <c r="A26" s="102" t="s">
        <v>567</v>
      </c>
      <c r="B26" s="102" t="s">
        <v>2041</v>
      </c>
      <c r="C26" s="107" t="s">
        <v>54</v>
      </c>
      <c r="D26" s="102">
        <v>6</v>
      </c>
      <c r="E26" s="111">
        <v>0</v>
      </c>
      <c r="F26" s="112">
        <v>318442.77</v>
      </c>
      <c r="G26" s="112">
        <v>0</v>
      </c>
      <c r="H26" s="112">
        <v>875229.27</v>
      </c>
      <c r="I26" s="113">
        <v>1193672.04</v>
      </c>
      <c r="J26"/>
      <c r="K26"/>
      <c r="L26"/>
      <c r="M26"/>
      <c r="N26"/>
    </row>
    <row r="27" spans="1:14" x14ac:dyDescent="0.3">
      <c r="A27" s="102" t="s">
        <v>568</v>
      </c>
      <c r="B27" s="102" t="s">
        <v>2042</v>
      </c>
      <c r="C27" s="107" t="s">
        <v>54</v>
      </c>
      <c r="D27" s="102">
        <v>6</v>
      </c>
      <c r="E27" s="111">
        <v>0</v>
      </c>
      <c r="F27" s="112">
        <v>14661.67</v>
      </c>
      <c r="G27" s="112">
        <v>0</v>
      </c>
      <c r="H27" s="112">
        <v>0</v>
      </c>
      <c r="I27" s="113">
        <v>14661.67</v>
      </c>
      <c r="J27"/>
      <c r="K27"/>
      <c r="L27"/>
      <c r="M27"/>
      <c r="N27"/>
    </row>
    <row r="28" spans="1:14" x14ac:dyDescent="0.3">
      <c r="A28" s="102" t="s">
        <v>569</v>
      </c>
      <c r="B28" s="102" t="s">
        <v>2043</v>
      </c>
      <c r="C28" s="107" t="s">
        <v>54</v>
      </c>
      <c r="D28" s="102">
        <v>4</v>
      </c>
      <c r="E28" s="111">
        <v>8517</v>
      </c>
      <c r="F28" s="112">
        <v>0</v>
      </c>
      <c r="G28" s="112">
        <v>16996.099999999999</v>
      </c>
      <c r="H28" s="112">
        <v>658626.69999999995</v>
      </c>
      <c r="I28" s="113">
        <v>684139.8</v>
      </c>
      <c r="J28"/>
      <c r="K28"/>
      <c r="L28"/>
      <c r="M28"/>
      <c r="N28"/>
    </row>
    <row r="29" spans="1:14" x14ac:dyDescent="0.3">
      <c r="A29" s="102" t="s">
        <v>570</v>
      </c>
      <c r="B29" s="102" t="s">
        <v>2043</v>
      </c>
      <c r="C29" s="107" t="s">
        <v>54</v>
      </c>
      <c r="D29" s="102">
        <v>6</v>
      </c>
      <c r="E29" s="111">
        <v>8517</v>
      </c>
      <c r="F29" s="112">
        <v>0</v>
      </c>
      <c r="G29" s="112">
        <v>16996.099999999999</v>
      </c>
      <c r="H29" s="112">
        <v>658626.69999999995</v>
      </c>
      <c r="I29" s="113">
        <v>684139.8</v>
      </c>
      <c r="J29"/>
      <c r="K29"/>
      <c r="L29"/>
      <c r="M29"/>
      <c r="N29"/>
    </row>
    <row r="30" spans="1:14" x14ac:dyDescent="0.3">
      <c r="A30" s="102" t="s">
        <v>571</v>
      </c>
      <c r="B30" s="102" t="s">
        <v>2044</v>
      </c>
      <c r="C30" s="107" t="s">
        <v>54</v>
      </c>
      <c r="D30" s="102">
        <v>4</v>
      </c>
      <c r="E30" s="111">
        <v>0</v>
      </c>
      <c r="F30" s="112">
        <v>9297.7000000000007</v>
      </c>
      <c r="G30" s="112">
        <v>0</v>
      </c>
      <c r="H30" s="112">
        <v>0</v>
      </c>
      <c r="I30" s="113">
        <v>9297.7000000000007</v>
      </c>
      <c r="J30"/>
      <c r="K30"/>
      <c r="L30"/>
      <c r="M30"/>
      <c r="N30"/>
    </row>
    <row r="31" spans="1:14" x14ac:dyDescent="0.3">
      <c r="A31" s="102" t="s">
        <v>572</v>
      </c>
      <c r="B31" s="102" t="s">
        <v>2045</v>
      </c>
      <c r="C31" s="107" t="s">
        <v>54</v>
      </c>
      <c r="D31" s="102">
        <v>6</v>
      </c>
      <c r="E31" s="111">
        <v>0</v>
      </c>
      <c r="F31" s="112">
        <v>9297.7000000000007</v>
      </c>
      <c r="G31" s="112">
        <v>0</v>
      </c>
      <c r="H31" s="112">
        <v>0</v>
      </c>
      <c r="I31" s="113">
        <v>9297.7000000000007</v>
      </c>
      <c r="J31"/>
      <c r="K31"/>
      <c r="L31"/>
      <c r="M31"/>
      <c r="N31"/>
    </row>
    <row r="32" spans="1:14" x14ac:dyDescent="0.3">
      <c r="A32" s="102" t="s">
        <v>573</v>
      </c>
      <c r="B32" s="102" t="s">
        <v>2046</v>
      </c>
      <c r="C32" s="107" t="s">
        <v>54</v>
      </c>
      <c r="D32" s="102">
        <v>6</v>
      </c>
      <c r="E32" s="111">
        <v>0</v>
      </c>
      <c r="F32" s="112">
        <v>0</v>
      </c>
      <c r="G32" s="112">
        <v>0</v>
      </c>
      <c r="H32" s="112">
        <v>0</v>
      </c>
      <c r="I32" s="113">
        <v>0</v>
      </c>
      <c r="J32"/>
      <c r="K32"/>
      <c r="L32"/>
      <c r="M32"/>
      <c r="N32"/>
    </row>
    <row r="33" spans="1:14" x14ac:dyDescent="0.3">
      <c r="A33" s="102" t="s">
        <v>67</v>
      </c>
      <c r="B33" s="102" t="s">
        <v>2015</v>
      </c>
      <c r="C33" s="107" t="s">
        <v>54</v>
      </c>
      <c r="D33" s="102">
        <v>2</v>
      </c>
      <c r="E33" s="111">
        <v>0</v>
      </c>
      <c r="F33" s="112">
        <v>0</v>
      </c>
      <c r="G33" s="112">
        <v>0</v>
      </c>
      <c r="H33" s="112">
        <v>0</v>
      </c>
      <c r="I33" s="113">
        <v>0</v>
      </c>
      <c r="J33"/>
      <c r="K33"/>
      <c r="L33"/>
      <c r="M33"/>
      <c r="N33"/>
    </row>
    <row r="34" spans="1:14" x14ac:dyDescent="0.3">
      <c r="A34" s="102" t="s">
        <v>574</v>
      </c>
      <c r="B34" s="102" t="s">
        <v>2047</v>
      </c>
      <c r="C34" s="107" t="s">
        <v>54</v>
      </c>
      <c r="D34" s="102">
        <v>4</v>
      </c>
      <c r="E34" s="111">
        <v>0</v>
      </c>
      <c r="F34" s="112">
        <v>0</v>
      </c>
      <c r="G34" s="112">
        <v>0</v>
      </c>
      <c r="H34" s="112">
        <v>0</v>
      </c>
      <c r="I34" s="113">
        <v>0</v>
      </c>
      <c r="J34"/>
      <c r="K34"/>
      <c r="L34"/>
      <c r="M34"/>
      <c r="N34"/>
    </row>
    <row r="35" spans="1:14" x14ac:dyDescent="0.3">
      <c r="A35" s="102" t="s">
        <v>575</v>
      </c>
      <c r="B35" s="102" t="s">
        <v>2048</v>
      </c>
      <c r="C35" s="107" t="s">
        <v>54</v>
      </c>
      <c r="D35" s="102">
        <v>6</v>
      </c>
      <c r="E35" s="111">
        <v>0</v>
      </c>
      <c r="F35" s="112">
        <v>0</v>
      </c>
      <c r="G35" s="112">
        <v>0</v>
      </c>
      <c r="H35" s="112">
        <v>0</v>
      </c>
      <c r="I35" s="113">
        <v>0</v>
      </c>
      <c r="J35"/>
      <c r="K35"/>
      <c r="L35"/>
      <c r="M35"/>
      <c r="N35"/>
    </row>
    <row r="36" spans="1:14" x14ac:dyDescent="0.3">
      <c r="A36" s="102" t="s">
        <v>576</v>
      </c>
      <c r="B36" s="102" t="s">
        <v>2049</v>
      </c>
      <c r="C36" s="107" t="s">
        <v>54</v>
      </c>
      <c r="D36" s="102">
        <v>6</v>
      </c>
      <c r="E36" s="111">
        <v>0</v>
      </c>
      <c r="F36" s="112">
        <v>0</v>
      </c>
      <c r="G36" s="112">
        <v>0</v>
      </c>
      <c r="H36" s="112">
        <v>0</v>
      </c>
      <c r="I36" s="113">
        <v>0</v>
      </c>
      <c r="J36"/>
      <c r="K36"/>
      <c r="L36"/>
      <c r="M36"/>
      <c r="N36"/>
    </row>
    <row r="37" spans="1:14" x14ac:dyDescent="0.3">
      <c r="A37" s="102" t="s">
        <v>577</v>
      </c>
      <c r="B37" s="102" t="s">
        <v>2042</v>
      </c>
      <c r="C37" s="107" t="s">
        <v>54</v>
      </c>
      <c r="D37" s="102">
        <v>6</v>
      </c>
      <c r="E37" s="111">
        <v>0</v>
      </c>
      <c r="F37" s="112">
        <v>0</v>
      </c>
      <c r="G37" s="112">
        <v>0</v>
      </c>
      <c r="H37" s="112">
        <v>0</v>
      </c>
      <c r="I37" s="113">
        <v>0</v>
      </c>
      <c r="J37"/>
      <c r="K37"/>
      <c r="L37"/>
      <c r="M37"/>
      <c r="N37"/>
    </row>
    <row r="38" spans="1:14" x14ac:dyDescent="0.3">
      <c r="A38" s="102" t="s">
        <v>578</v>
      </c>
      <c r="B38" s="102" t="s">
        <v>2050</v>
      </c>
      <c r="C38" s="107" t="s">
        <v>54</v>
      </c>
      <c r="D38" s="102">
        <v>4</v>
      </c>
      <c r="E38" s="111">
        <v>0</v>
      </c>
      <c r="F38" s="112">
        <v>0</v>
      </c>
      <c r="G38" s="112">
        <v>0</v>
      </c>
      <c r="H38" s="112">
        <v>0</v>
      </c>
      <c r="I38" s="113">
        <v>0</v>
      </c>
      <c r="J38"/>
      <c r="K38"/>
      <c r="L38"/>
      <c r="M38"/>
      <c r="N38"/>
    </row>
    <row r="39" spans="1:14" x14ac:dyDescent="0.3">
      <c r="A39" s="102" t="s">
        <v>579</v>
      </c>
      <c r="B39" s="102" t="s">
        <v>2051</v>
      </c>
      <c r="C39" s="107" t="s">
        <v>54</v>
      </c>
      <c r="D39" s="102">
        <v>6</v>
      </c>
      <c r="E39" s="111">
        <v>0</v>
      </c>
      <c r="F39" s="112">
        <v>0</v>
      </c>
      <c r="G39" s="112">
        <v>0</v>
      </c>
      <c r="H39" s="112">
        <v>0</v>
      </c>
      <c r="I39" s="113">
        <v>0</v>
      </c>
      <c r="J39"/>
      <c r="K39"/>
      <c r="L39"/>
      <c r="M39"/>
      <c r="N39"/>
    </row>
    <row r="40" spans="1:14" x14ac:dyDescent="0.3">
      <c r="A40" s="102" t="s">
        <v>580</v>
      </c>
      <c r="B40" s="102" t="s">
        <v>2048</v>
      </c>
      <c r="C40" s="107" t="s">
        <v>54</v>
      </c>
      <c r="D40" s="102">
        <v>6</v>
      </c>
      <c r="E40" s="111">
        <v>0</v>
      </c>
      <c r="F40" s="112">
        <v>0</v>
      </c>
      <c r="G40" s="112">
        <v>0</v>
      </c>
      <c r="H40" s="112">
        <v>0</v>
      </c>
      <c r="I40" s="113">
        <v>0</v>
      </c>
      <c r="J40"/>
      <c r="K40"/>
      <c r="L40"/>
      <c r="M40"/>
      <c r="N40"/>
    </row>
    <row r="41" spans="1:14" x14ac:dyDescent="0.3">
      <c r="A41" s="102" t="s">
        <v>581</v>
      </c>
      <c r="B41" s="102" t="s">
        <v>2049</v>
      </c>
      <c r="C41" s="107" t="s">
        <v>54</v>
      </c>
      <c r="D41" s="102">
        <v>6</v>
      </c>
      <c r="E41" s="111">
        <v>0</v>
      </c>
      <c r="F41" s="112">
        <v>0</v>
      </c>
      <c r="G41" s="112">
        <v>0</v>
      </c>
      <c r="H41" s="112">
        <v>0</v>
      </c>
      <c r="I41" s="113">
        <v>0</v>
      </c>
      <c r="J41"/>
      <c r="K41"/>
      <c r="L41"/>
      <c r="M41"/>
      <c r="N41"/>
    </row>
    <row r="42" spans="1:14" x14ac:dyDescent="0.3">
      <c r="A42" s="102" t="s">
        <v>582</v>
      </c>
      <c r="B42" s="102" t="s">
        <v>2042</v>
      </c>
      <c r="C42" s="107" t="s">
        <v>54</v>
      </c>
      <c r="D42" s="102">
        <v>6</v>
      </c>
      <c r="E42" s="111">
        <v>0</v>
      </c>
      <c r="F42" s="112">
        <v>0</v>
      </c>
      <c r="G42" s="112">
        <v>0</v>
      </c>
      <c r="H42" s="112">
        <v>0</v>
      </c>
      <c r="I42" s="113">
        <v>0</v>
      </c>
      <c r="J42"/>
      <c r="K42"/>
      <c r="L42"/>
      <c r="M42"/>
      <c r="N42"/>
    </row>
    <row r="43" spans="1:14" x14ac:dyDescent="0.3">
      <c r="A43" s="102" t="s">
        <v>583</v>
      </c>
      <c r="B43" s="102" t="s">
        <v>2052</v>
      </c>
      <c r="C43" s="107" t="s">
        <v>54</v>
      </c>
      <c r="D43" s="102">
        <v>4</v>
      </c>
      <c r="E43" s="111">
        <v>0</v>
      </c>
      <c r="F43" s="112">
        <v>0</v>
      </c>
      <c r="G43" s="112">
        <v>0</v>
      </c>
      <c r="H43" s="112">
        <v>0</v>
      </c>
      <c r="I43" s="113">
        <v>0</v>
      </c>
      <c r="J43"/>
      <c r="K43"/>
      <c r="L43"/>
      <c r="M43"/>
      <c r="N43"/>
    </row>
    <row r="44" spans="1:14" x14ac:dyDescent="0.3">
      <c r="A44" s="102" t="s">
        <v>584</v>
      </c>
      <c r="B44" s="102" t="s">
        <v>2053</v>
      </c>
      <c r="C44" s="107" t="s">
        <v>54</v>
      </c>
      <c r="D44" s="102">
        <v>6</v>
      </c>
      <c r="E44" s="111">
        <v>0</v>
      </c>
      <c r="F44" s="112">
        <v>0</v>
      </c>
      <c r="G44" s="112">
        <v>0</v>
      </c>
      <c r="H44" s="112">
        <v>0</v>
      </c>
      <c r="I44" s="113">
        <v>0</v>
      </c>
      <c r="J44"/>
      <c r="K44"/>
      <c r="L44"/>
      <c r="M44"/>
      <c r="N44"/>
    </row>
    <row r="45" spans="1:14" x14ac:dyDescent="0.3">
      <c r="A45" s="102" t="s">
        <v>585</v>
      </c>
      <c r="B45" s="102" t="s">
        <v>2054</v>
      </c>
      <c r="C45" s="107" t="s">
        <v>54</v>
      </c>
      <c r="D45" s="102">
        <v>6</v>
      </c>
      <c r="E45" s="111">
        <v>0</v>
      </c>
      <c r="F45" s="112">
        <v>0</v>
      </c>
      <c r="G45" s="112">
        <v>0</v>
      </c>
      <c r="H45" s="112">
        <v>0</v>
      </c>
      <c r="I45" s="113">
        <v>0</v>
      </c>
      <c r="J45"/>
      <c r="K45"/>
      <c r="L45"/>
      <c r="M45"/>
      <c r="N45"/>
    </row>
    <row r="46" spans="1:14" x14ac:dyDescent="0.3">
      <c r="A46" s="102" t="s">
        <v>586</v>
      </c>
      <c r="B46" s="102" t="s">
        <v>2018</v>
      </c>
      <c r="C46" s="107" t="s">
        <v>54</v>
      </c>
      <c r="D46" s="102">
        <v>2</v>
      </c>
      <c r="E46" s="111">
        <v>3277862.62</v>
      </c>
      <c r="F46" s="112">
        <v>16458339.09</v>
      </c>
      <c r="G46" s="112">
        <v>4047225.87</v>
      </c>
      <c r="H46" s="112">
        <v>110097138.53</v>
      </c>
      <c r="I46" s="113">
        <v>133880566.11000001</v>
      </c>
      <c r="J46"/>
      <c r="K46"/>
      <c r="L46"/>
      <c r="M46"/>
      <c r="N46"/>
    </row>
    <row r="47" spans="1:14" x14ac:dyDescent="0.3">
      <c r="A47" s="102" t="s">
        <v>587</v>
      </c>
      <c r="B47" s="102" t="s">
        <v>2055</v>
      </c>
      <c r="C47" s="107" t="s">
        <v>54</v>
      </c>
      <c r="D47" s="102">
        <v>4</v>
      </c>
      <c r="E47" s="111">
        <v>0</v>
      </c>
      <c r="F47" s="112">
        <v>0</v>
      </c>
      <c r="G47" s="112">
        <v>0</v>
      </c>
      <c r="H47" s="112">
        <v>0</v>
      </c>
      <c r="I47" s="113">
        <v>0</v>
      </c>
      <c r="J47"/>
      <c r="K47"/>
      <c r="L47"/>
      <c r="M47"/>
      <c r="N47"/>
    </row>
    <row r="48" spans="1:14" x14ac:dyDescent="0.3">
      <c r="A48" s="102" t="s">
        <v>588</v>
      </c>
      <c r="B48" s="102" t="s">
        <v>2056</v>
      </c>
      <c r="C48" s="107" t="s">
        <v>54</v>
      </c>
      <c r="D48" s="102">
        <v>6</v>
      </c>
      <c r="E48" s="111">
        <v>0</v>
      </c>
      <c r="F48" s="112">
        <v>0</v>
      </c>
      <c r="G48" s="112">
        <v>0</v>
      </c>
      <c r="H48" s="112">
        <v>0</v>
      </c>
      <c r="I48" s="113">
        <v>0</v>
      </c>
      <c r="J48"/>
      <c r="K48"/>
      <c r="L48"/>
      <c r="M48"/>
      <c r="N48"/>
    </row>
    <row r="49" spans="1:14" x14ac:dyDescent="0.3">
      <c r="A49" s="102" t="s">
        <v>589</v>
      </c>
      <c r="B49" s="102" t="s">
        <v>2057</v>
      </c>
      <c r="C49" s="107" t="s">
        <v>54</v>
      </c>
      <c r="D49" s="102">
        <v>6</v>
      </c>
      <c r="E49" s="111">
        <v>0</v>
      </c>
      <c r="F49" s="112">
        <v>0</v>
      </c>
      <c r="G49" s="112">
        <v>0</v>
      </c>
      <c r="H49" s="112">
        <v>0</v>
      </c>
      <c r="I49" s="113">
        <v>0</v>
      </c>
      <c r="J49"/>
      <c r="K49"/>
      <c r="L49"/>
      <c r="M49"/>
      <c r="N49"/>
    </row>
    <row r="50" spans="1:14" x14ac:dyDescent="0.3">
      <c r="A50" s="102" t="s">
        <v>590</v>
      </c>
      <c r="B50" s="102" t="s">
        <v>2058</v>
      </c>
      <c r="C50" s="107" t="s">
        <v>54</v>
      </c>
      <c r="D50" s="102">
        <v>6</v>
      </c>
      <c r="E50" s="111">
        <v>0</v>
      </c>
      <c r="F50" s="112">
        <v>0</v>
      </c>
      <c r="G50" s="112">
        <v>0</v>
      </c>
      <c r="H50" s="112">
        <v>0</v>
      </c>
      <c r="I50" s="113">
        <v>0</v>
      </c>
      <c r="J50"/>
      <c r="K50"/>
      <c r="L50"/>
      <c r="M50"/>
      <c r="N50"/>
    </row>
    <row r="51" spans="1:14" x14ac:dyDescent="0.3">
      <c r="A51" s="102" t="s">
        <v>591</v>
      </c>
      <c r="B51" s="102" t="s">
        <v>2059</v>
      </c>
      <c r="C51" s="107" t="s">
        <v>54</v>
      </c>
      <c r="D51" s="102">
        <v>6</v>
      </c>
      <c r="E51" s="111">
        <v>0</v>
      </c>
      <c r="F51" s="112">
        <v>0</v>
      </c>
      <c r="G51" s="112">
        <v>0</v>
      </c>
      <c r="H51" s="112">
        <v>0</v>
      </c>
      <c r="I51" s="113">
        <v>0</v>
      </c>
      <c r="J51"/>
      <c r="K51"/>
      <c r="L51"/>
      <c r="M51"/>
      <c r="N51"/>
    </row>
    <row r="52" spans="1:14" x14ac:dyDescent="0.3">
      <c r="A52" s="102" t="s">
        <v>592</v>
      </c>
      <c r="B52" s="102" t="s">
        <v>2060</v>
      </c>
      <c r="C52" s="107" t="s">
        <v>54</v>
      </c>
      <c r="D52" s="102">
        <v>6</v>
      </c>
      <c r="E52" s="111">
        <v>0</v>
      </c>
      <c r="F52" s="112">
        <v>0</v>
      </c>
      <c r="G52" s="112">
        <v>0</v>
      </c>
      <c r="H52" s="112">
        <v>0</v>
      </c>
      <c r="I52" s="113">
        <v>0</v>
      </c>
      <c r="J52"/>
      <c r="K52"/>
      <c r="L52"/>
      <c r="M52"/>
      <c r="N52"/>
    </row>
    <row r="53" spans="1:14" x14ac:dyDescent="0.3">
      <c r="A53" s="102" t="s">
        <v>593</v>
      </c>
      <c r="B53" s="102" t="s">
        <v>2061</v>
      </c>
      <c r="C53" s="107" t="s">
        <v>54</v>
      </c>
      <c r="D53" s="102">
        <v>6</v>
      </c>
      <c r="E53" s="111">
        <v>0</v>
      </c>
      <c r="F53" s="112">
        <v>0</v>
      </c>
      <c r="G53" s="112">
        <v>0</v>
      </c>
      <c r="H53" s="112">
        <v>0</v>
      </c>
      <c r="I53" s="113">
        <v>0</v>
      </c>
      <c r="J53"/>
      <c r="K53"/>
      <c r="L53"/>
      <c r="M53"/>
      <c r="N53"/>
    </row>
    <row r="54" spans="1:14" x14ac:dyDescent="0.3">
      <c r="A54" s="102" t="s">
        <v>594</v>
      </c>
      <c r="B54" s="102" t="s">
        <v>2062</v>
      </c>
      <c r="C54" s="107" t="s">
        <v>54</v>
      </c>
      <c r="D54" s="102">
        <v>6</v>
      </c>
      <c r="E54" s="111">
        <v>0</v>
      </c>
      <c r="F54" s="112">
        <v>0</v>
      </c>
      <c r="G54" s="112">
        <v>0</v>
      </c>
      <c r="H54" s="112">
        <v>0</v>
      </c>
      <c r="I54" s="113">
        <v>0</v>
      </c>
      <c r="J54"/>
      <c r="K54"/>
      <c r="L54"/>
      <c r="M54"/>
      <c r="N54"/>
    </row>
    <row r="55" spans="1:14" x14ac:dyDescent="0.3">
      <c r="A55" s="102" t="s">
        <v>595</v>
      </c>
      <c r="B55" s="102" t="s">
        <v>2063</v>
      </c>
      <c r="C55" s="107" t="s">
        <v>54</v>
      </c>
      <c r="D55" s="102">
        <v>6</v>
      </c>
      <c r="E55" s="111">
        <v>0</v>
      </c>
      <c r="F55" s="112">
        <v>0</v>
      </c>
      <c r="G55" s="112">
        <v>0</v>
      </c>
      <c r="H55" s="112">
        <v>0</v>
      </c>
      <c r="I55" s="113">
        <v>0</v>
      </c>
      <c r="J55"/>
      <c r="K55"/>
      <c r="L55"/>
      <c r="M55"/>
      <c r="N55"/>
    </row>
    <row r="56" spans="1:14" x14ac:dyDescent="0.3">
      <c r="A56" s="102" t="s">
        <v>596</v>
      </c>
      <c r="B56" s="102" t="s">
        <v>2064</v>
      </c>
      <c r="C56" s="107" t="s">
        <v>54</v>
      </c>
      <c r="D56" s="102">
        <v>6</v>
      </c>
      <c r="E56" s="111">
        <v>0</v>
      </c>
      <c r="F56" s="112">
        <v>0</v>
      </c>
      <c r="G56" s="112">
        <v>0</v>
      </c>
      <c r="H56" s="112">
        <v>0</v>
      </c>
      <c r="I56" s="113">
        <v>0</v>
      </c>
      <c r="J56"/>
      <c r="K56"/>
      <c r="L56"/>
      <c r="M56"/>
      <c r="N56"/>
    </row>
    <row r="57" spans="1:14" x14ac:dyDescent="0.3">
      <c r="A57" s="102" t="s">
        <v>597</v>
      </c>
      <c r="B57" s="102" t="s">
        <v>2065</v>
      </c>
      <c r="C57" s="107" t="s">
        <v>54</v>
      </c>
      <c r="D57" s="102">
        <v>6</v>
      </c>
      <c r="E57" s="111">
        <v>0</v>
      </c>
      <c r="F57" s="112">
        <v>0</v>
      </c>
      <c r="G57" s="112">
        <v>0</v>
      </c>
      <c r="H57" s="112">
        <v>0</v>
      </c>
      <c r="I57" s="113">
        <v>0</v>
      </c>
      <c r="J57"/>
      <c r="K57"/>
      <c r="L57"/>
      <c r="M57"/>
      <c r="N57"/>
    </row>
    <row r="58" spans="1:14" x14ac:dyDescent="0.3">
      <c r="A58" s="102" t="s">
        <v>598</v>
      </c>
      <c r="B58" s="102" t="s">
        <v>2066</v>
      </c>
      <c r="C58" s="107" t="s">
        <v>54</v>
      </c>
      <c r="D58" s="102">
        <v>4</v>
      </c>
      <c r="E58" s="111">
        <v>0</v>
      </c>
      <c r="F58" s="112">
        <v>0</v>
      </c>
      <c r="G58" s="112">
        <v>0</v>
      </c>
      <c r="H58" s="112">
        <v>0</v>
      </c>
      <c r="I58" s="113">
        <v>0</v>
      </c>
      <c r="J58"/>
      <c r="K58"/>
      <c r="L58"/>
      <c r="M58"/>
      <c r="N58"/>
    </row>
    <row r="59" spans="1:14" x14ac:dyDescent="0.3">
      <c r="A59" s="102" t="s">
        <v>599</v>
      </c>
      <c r="B59" s="102" t="s">
        <v>2067</v>
      </c>
      <c r="C59" s="107" t="s">
        <v>54</v>
      </c>
      <c r="D59" s="102">
        <v>6</v>
      </c>
      <c r="E59" s="111">
        <v>0</v>
      </c>
      <c r="F59" s="112">
        <v>0</v>
      </c>
      <c r="G59" s="112">
        <v>0</v>
      </c>
      <c r="H59" s="112">
        <v>0</v>
      </c>
      <c r="I59" s="113">
        <v>0</v>
      </c>
      <c r="J59"/>
      <c r="K59"/>
      <c r="L59"/>
      <c r="M59"/>
      <c r="N59"/>
    </row>
    <row r="60" spans="1:14" x14ac:dyDescent="0.3">
      <c r="A60" s="102" t="s">
        <v>600</v>
      </c>
      <c r="B60" s="102" t="s">
        <v>2068</v>
      </c>
      <c r="C60" s="107" t="s">
        <v>54</v>
      </c>
      <c r="D60" s="102">
        <v>6</v>
      </c>
      <c r="E60" s="111">
        <v>0</v>
      </c>
      <c r="F60" s="112">
        <v>0</v>
      </c>
      <c r="G60" s="112">
        <v>0</v>
      </c>
      <c r="H60" s="112">
        <v>0</v>
      </c>
      <c r="I60" s="113">
        <v>0</v>
      </c>
      <c r="J60"/>
      <c r="K60"/>
      <c r="L60"/>
      <c r="M60"/>
      <c r="N60"/>
    </row>
    <row r="61" spans="1:14" x14ac:dyDescent="0.3">
      <c r="A61" s="102" t="s">
        <v>601</v>
      </c>
      <c r="B61" s="102" t="s">
        <v>2069</v>
      </c>
      <c r="C61" s="107" t="s">
        <v>54</v>
      </c>
      <c r="D61" s="102">
        <v>6</v>
      </c>
      <c r="E61" s="111">
        <v>0</v>
      </c>
      <c r="F61" s="112">
        <v>0</v>
      </c>
      <c r="G61" s="112">
        <v>0</v>
      </c>
      <c r="H61" s="112">
        <v>0</v>
      </c>
      <c r="I61" s="113">
        <v>0</v>
      </c>
      <c r="J61"/>
      <c r="K61"/>
      <c r="L61"/>
      <c r="M61"/>
      <c r="N61"/>
    </row>
    <row r="62" spans="1:14" x14ac:dyDescent="0.3">
      <c r="A62" s="102" t="s">
        <v>602</v>
      </c>
      <c r="B62" s="102" t="s">
        <v>2070</v>
      </c>
      <c r="C62" s="107" t="s">
        <v>54</v>
      </c>
      <c r="D62" s="102">
        <v>6</v>
      </c>
      <c r="E62" s="111">
        <v>0</v>
      </c>
      <c r="F62" s="112">
        <v>0</v>
      </c>
      <c r="G62" s="112">
        <v>0</v>
      </c>
      <c r="H62" s="112">
        <v>0</v>
      </c>
      <c r="I62" s="113">
        <v>0</v>
      </c>
      <c r="J62"/>
      <c r="K62"/>
      <c r="L62"/>
      <c r="M62"/>
      <c r="N62"/>
    </row>
    <row r="63" spans="1:14" x14ac:dyDescent="0.3">
      <c r="A63" s="102" t="s">
        <v>603</v>
      </c>
      <c r="B63" s="102" t="s">
        <v>2071</v>
      </c>
      <c r="C63" s="107" t="s">
        <v>54</v>
      </c>
      <c r="D63" s="102">
        <v>6</v>
      </c>
      <c r="E63" s="111">
        <v>0</v>
      </c>
      <c r="F63" s="112">
        <v>0</v>
      </c>
      <c r="G63" s="112">
        <v>0</v>
      </c>
      <c r="H63" s="112">
        <v>0</v>
      </c>
      <c r="I63" s="113">
        <v>0</v>
      </c>
      <c r="J63"/>
      <c r="K63"/>
      <c r="L63"/>
      <c r="M63"/>
      <c r="N63"/>
    </row>
    <row r="64" spans="1:14" x14ac:dyDescent="0.3">
      <c r="A64" s="102" t="s">
        <v>604</v>
      </c>
      <c r="B64" s="102" t="s">
        <v>2072</v>
      </c>
      <c r="C64" s="107" t="s">
        <v>54</v>
      </c>
      <c r="D64" s="102">
        <v>4</v>
      </c>
      <c r="E64" s="111">
        <v>2210361.5699999998</v>
      </c>
      <c r="F64" s="112">
        <v>14445000</v>
      </c>
      <c r="G64" s="112">
        <v>1865859.02</v>
      </c>
      <c r="H64" s="112">
        <v>17110735.469999999</v>
      </c>
      <c r="I64" s="113">
        <v>35631956.060000002</v>
      </c>
      <c r="J64"/>
      <c r="K64"/>
      <c r="L64"/>
      <c r="M64"/>
      <c r="N64"/>
    </row>
    <row r="65" spans="1:14" x14ac:dyDescent="0.3">
      <c r="A65" s="102" t="s">
        <v>605</v>
      </c>
      <c r="B65" s="102" t="s">
        <v>2056</v>
      </c>
      <c r="C65" s="107" t="s">
        <v>54</v>
      </c>
      <c r="D65" s="102">
        <v>6</v>
      </c>
      <c r="E65" s="111">
        <v>0</v>
      </c>
      <c r="F65" s="112">
        <v>2400000</v>
      </c>
      <c r="G65" s="112">
        <v>0</v>
      </c>
      <c r="H65" s="112">
        <v>3701157.06</v>
      </c>
      <c r="I65" s="113">
        <v>6101157.0600000005</v>
      </c>
      <c r="J65"/>
      <c r="K65"/>
      <c r="L65"/>
      <c r="M65"/>
      <c r="N65"/>
    </row>
    <row r="66" spans="1:14" x14ac:dyDescent="0.3">
      <c r="A66" s="102" t="s">
        <v>606</v>
      </c>
      <c r="B66" s="102" t="s">
        <v>2057</v>
      </c>
      <c r="C66" s="107" t="s">
        <v>54</v>
      </c>
      <c r="D66" s="102">
        <v>6</v>
      </c>
      <c r="E66" s="111">
        <v>107207.82</v>
      </c>
      <c r="F66" s="112">
        <v>3300000</v>
      </c>
      <c r="G66" s="112">
        <v>110000</v>
      </c>
      <c r="H66" s="112">
        <v>301227.18</v>
      </c>
      <c r="I66" s="113">
        <v>3818435</v>
      </c>
      <c r="J66"/>
      <c r="K66"/>
      <c r="L66"/>
      <c r="M66"/>
      <c r="N66"/>
    </row>
    <row r="67" spans="1:14" x14ac:dyDescent="0.3">
      <c r="A67" s="102" t="s">
        <v>607</v>
      </c>
      <c r="B67" s="102" t="s">
        <v>2058</v>
      </c>
      <c r="C67" s="107" t="s">
        <v>54</v>
      </c>
      <c r="D67" s="102">
        <v>6</v>
      </c>
      <c r="E67" s="111">
        <v>50904.17</v>
      </c>
      <c r="F67" s="112">
        <v>500000</v>
      </c>
      <c r="G67" s="112">
        <v>0</v>
      </c>
      <c r="H67" s="112">
        <v>0</v>
      </c>
      <c r="I67" s="113">
        <v>550904.17000000004</v>
      </c>
      <c r="J67"/>
      <c r="K67"/>
      <c r="L67"/>
      <c r="M67"/>
      <c r="N67"/>
    </row>
    <row r="68" spans="1:14" x14ac:dyDescent="0.3">
      <c r="A68" s="102" t="s">
        <v>608</v>
      </c>
      <c r="B68" s="102" t="s">
        <v>2059</v>
      </c>
      <c r="C68" s="107" t="s">
        <v>54</v>
      </c>
      <c r="D68" s="102">
        <v>6</v>
      </c>
      <c r="E68" s="111">
        <v>102612.5</v>
      </c>
      <c r="F68" s="112">
        <v>0</v>
      </c>
      <c r="G68" s="112">
        <v>0</v>
      </c>
      <c r="H68" s="112">
        <v>0</v>
      </c>
      <c r="I68" s="113">
        <v>102612.5</v>
      </c>
      <c r="J68"/>
      <c r="K68"/>
      <c r="L68"/>
      <c r="M68"/>
      <c r="N68"/>
    </row>
    <row r="69" spans="1:14" x14ac:dyDescent="0.3">
      <c r="A69" s="102" t="s">
        <v>609</v>
      </c>
      <c r="B69" s="102" t="s">
        <v>2060</v>
      </c>
      <c r="C69" s="107" t="s">
        <v>54</v>
      </c>
      <c r="D69" s="102">
        <v>6</v>
      </c>
      <c r="E69" s="111">
        <v>0</v>
      </c>
      <c r="F69" s="112">
        <v>0</v>
      </c>
      <c r="G69" s="112">
        <v>0</v>
      </c>
      <c r="H69" s="112">
        <v>12108351.23</v>
      </c>
      <c r="I69" s="113">
        <v>12108351.23</v>
      </c>
      <c r="J69"/>
      <c r="K69"/>
      <c r="L69"/>
      <c r="M69"/>
      <c r="N69"/>
    </row>
    <row r="70" spans="1:14" x14ac:dyDescent="0.3">
      <c r="A70" s="102" t="s">
        <v>610</v>
      </c>
      <c r="B70" s="102" t="s">
        <v>2061</v>
      </c>
      <c r="C70" s="107" t="s">
        <v>54</v>
      </c>
      <c r="D70" s="102">
        <v>6</v>
      </c>
      <c r="E70" s="111">
        <v>846691.55</v>
      </c>
      <c r="F70" s="112">
        <v>1700000</v>
      </c>
      <c r="G70" s="112">
        <v>674295.81</v>
      </c>
      <c r="H70" s="112">
        <v>1000000</v>
      </c>
      <c r="I70" s="113">
        <v>4220987.3600000003</v>
      </c>
      <c r="J70"/>
      <c r="K70"/>
      <c r="L70"/>
      <c r="M70"/>
      <c r="N70"/>
    </row>
    <row r="71" spans="1:14" x14ac:dyDescent="0.3">
      <c r="A71" s="102" t="s">
        <v>611</v>
      </c>
      <c r="B71" s="102" t="s">
        <v>2062</v>
      </c>
      <c r="C71" s="107" t="s">
        <v>54</v>
      </c>
      <c r="D71" s="102">
        <v>6</v>
      </c>
      <c r="E71" s="111">
        <v>383155.6</v>
      </c>
      <c r="F71" s="112">
        <v>6400000</v>
      </c>
      <c r="G71" s="112">
        <v>865629.07</v>
      </c>
      <c r="H71" s="112">
        <v>0</v>
      </c>
      <c r="I71" s="113">
        <v>7648784.6699999999</v>
      </c>
      <c r="J71"/>
      <c r="K71"/>
      <c r="L71"/>
      <c r="M71"/>
      <c r="N71"/>
    </row>
    <row r="72" spans="1:14" x14ac:dyDescent="0.3">
      <c r="A72" s="102" t="s">
        <v>612</v>
      </c>
      <c r="B72" s="102" t="s">
        <v>2063</v>
      </c>
      <c r="C72" s="107" t="s">
        <v>54</v>
      </c>
      <c r="D72" s="102">
        <v>6</v>
      </c>
      <c r="E72" s="111">
        <v>647350.96</v>
      </c>
      <c r="F72" s="112">
        <v>145000</v>
      </c>
      <c r="G72" s="112">
        <v>215934.14</v>
      </c>
      <c r="H72" s="112">
        <v>0</v>
      </c>
      <c r="I72" s="113">
        <v>1008285.1</v>
      </c>
      <c r="J72"/>
      <c r="K72"/>
      <c r="L72"/>
      <c r="M72"/>
      <c r="N72"/>
    </row>
    <row r="73" spans="1:14" x14ac:dyDescent="0.3">
      <c r="A73" s="102" t="s">
        <v>613</v>
      </c>
      <c r="B73" s="102" t="s">
        <v>2064</v>
      </c>
      <c r="C73" s="107" t="s">
        <v>54</v>
      </c>
      <c r="D73" s="102">
        <v>6</v>
      </c>
      <c r="E73" s="111">
        <v>72438.97</v>
      </c>
      <c r="F73" s="112">
        <v>0</v>
      </c>
      <c r="G73" s="112">
        <v>0</v>
      </c>
      <c r="H73" s="112">
        <v>0</v>
      </c>
      <c r="I73" s="113">
        <v>72438.97</v>
      </c>
      <c r="J73"/>
      <c r="K73"/>
      <c r="L73"/>
      <c r="M73"/>
      <c r="N73"/>
    </row>
    <row r="74" spans="1:14" x14ac:dyDescent="0.3">
      <c r="A74" s="102" t="s">
        <v>614</v>
      </c>
      <c r="B74" s="102" t="s">
        <v>2065</v>
      </c>
      <c r="C74" s="107" t="s">
        <v>54</v>
      </c>
      <c r="D74" s="102">
        <v>6</v>
      </c>
      <c r="E74" s="111">
        <v>0</v>
      </c>
      <c r="F74" s="112">
        <v>0</v>
      </c>
      <c r="G74" s="112">
        <v>0</v>
      </c>
      <c r="H74" s="112">
        <v>0</v>
      </c>
      <c r="I74" s="113">
        <v>0</v>
      </c>
      <c r="J74"/>
      <c r="K74"/>
      <c r="L74"/>
      <c r="M74"/>
      <c r="N74"/>
    </row>
    <row r="75" spans="1:14" x14ac:dyDescent="0.3">
      <c r="A75" s="102" t="s">
        <v>615</v>
      </c>
      <c r="B75" s="102" t="s">
        <v>2073</v>
      </c>
      <c r="C75" s="107" t="s">
        <v>54</v>
      </c>
      <c r="D75" s="102">
        <v>4</v>
      </c>
      <c r="E75" s="111">
        <v>0</v>
      </c>
      <c r="F75" s="112">
        <v>1700000</v>
      </c>
      <c r="G75" s="112">
        <v>400000</v>
      </c>
      <c r="H75" s="112">
        <v>5900484</v>
      </c>
      <c r="I75" s="113">
        <v>8000484</v>
      </c>
      <c r="J75"/>
      <c r="K75"/>
      <c r="L75"/>
      <c r="M75"/>
      <c r="N75"/>
    </row>
    <row r="76" spans="1:14" x14ac:dyDescent="0.3">
      <c r="A76" s="102" t="s">
        <v>616</v>
      </c>
      <c r="B76" s="102" t="s">
        <v>2067</v>
      </c>
      <c r="C76" s="107" t="s">
        <v>54</v>
      </c>
      <c r="D76" s="102">
        <v>6</v>
      </c>
      <c r="E76" s="111">
        <v>0</v>
      </c>
      <c r="F76" s="112">
        <v>1700000</v>
      </c>
      <c r="G76" s="112">
        <v>0</v>
      </c>
      <c r="H76" s="112">
        <v>4300289.13</v>
      </c>
      <c r="I76" s="113">
        <v>6000289.1299999999</v>
      </c>
      <c r="J76"/>
      <c r="K76"/>
      <c r="L76"/>
      <c r="M76"/>
      <c r="N76"/>
    </row>
    <row r="77" spans="1:14" x14ac:dyDescent="0.3">
      <c r="A77" s="102" t="s">
        <v>617</v>
      </c>
      <c r="B77" s="102" t="s">
        <v>2068</v>
      </c>
      <c r="C77" s="107" t="s">
        <v>54</v>
      </c>
      <c r="D77" s="102">
        <v>6</v>
      </c>
      <c r="E77" s="111">
        <v>0</v>
      </c>
      <c r="F77" s="112">
        <v>0</v>
      </c>
      <c r="G77" s="112">
        <v>400000</v>
      </c>
      <c r="H77" s="112">
        <v>1600194.87</v>
      </c>
      <c r="I77" s="113">
        <v>2000194.8699999999</v>
      </c>
      <c r="J77"/>
      <c r="K77"/>
      <c r="L77"/>
      <c r="M77"/>
      <c r="N77"/>
    </row>
    <row r="78" spans="1:14" x14ac:dyDescent="0.3">
      <c r="A78" s="102" t="s">
        <v>618</v>
      </c>
      <c r="B78" s="102" t="s">
        <v>2069</v>
      </c>
      <c r="C78" s="107" t="s">
        <v>54</v>
      </c>
      <c r="D78" s="102">
        <v>6</v>
      </c>
      <c r="E78" s="111">
        <v>0</v>
      </c>
      <c r="F78" s="112">
        <v>0</v>
      </c>
      <c r="G78" s="112">
        <v>0</v>
      </c>
      <c r="H78" s="112">
        <v>0</v>
      </c>
      <c r="I78" s="113">
        <v>0</v>
      </c>
      <c r="J78"/>
      <c r="K78"/>
      <c r="L78"/>
      <c r="M78"/>
      <c r="N78"/>
    </row>
    <row r="79" spans="1:14" x14ac:dyDescent="0.3">
      <c r="A79" s="102" t="s">
        <v>619</v>
      </c>
      <c r="B79" s="102" t="s">
        <v>2070</v>
      </c>
      <c r="C79" s="107" t="s">
        <v>54</v>
      </c>
      <c r="D79" s="102">
        <v>6</v>
      </c>
      <c r="E79" s="111">
        <v>0</v>
      </c>
      <c r="F79" s="112">
        <v>0</v>
      </c>
      <c r="G79" s="112">
        <v>0</v>
      </c>
      <c r="H79" s="112">
        <v>0</v>
      </c>
      <c r="I79" s="113">
        <v>0</v>
      </c>
      <c r="J79"/>
      <c r="K79"/>
      <c r="L79"/>
      <c r="M79"/>
      <c r="N79"/>
    </row>
    <row r="80" spans="1:14" x14ac:dyDescent="0.3">
      <c r="A80" s="102" t="s">
        <v>620</v>
      </c>
      <c r="B80" s="102" t="s">
        <v>2071</v>
      </c>
      <c r="C80" s="107" t="s">
        <v>54</v>
      </c>
      <c r="D80" s="102">
        <v>6</v>
      </c>
      <c r="E80" s="111">
        <v>0</v>
      </c>
      <c r="F80" s="112">
        <v>0</v>
      </c>
      <c r="G80" s="112">
        <v>0</v>
      </c>
      <c r="H80" s="112">
        <v>0</v>
      </c>
      <c r="I80" s="113">
        <v>0</v>
      </c>
      <c r="J80"/>
      <c r="K80"/>
      <c r="L80"/>
      <c r="M80"/>
      <c r="N80"/>
    </row>
    <row r="81" spans="1:14" x14ac:dyDescent="0.3">
      <c r="A81" s="102" t="s">
        <v>621</v>
      </c>
      <c r="B81" s="102" t="s">
        <v>2074</v>
      </c>
      <c r="C81" s="107" t="s">
        <v>54</v>
      </c>
      <c r="D81" s="102">
        <v>4</v>
      </c>
      <c r="E81" s="111">
        <v>50000</v>
      </c>
      <c r="F81" s="112">
        <v>0</v>
      </c>
      <c r="G81" s="112">
        <v>0</v>
      </c>
      <c r="H81" s="112">
        <v>0</v>
      </c>
      <c r="I81" s="113">
        <v>50000</v>
      </c>
      <c r="J81"/>
      <c r="K81"/>
      <c r="L81"/>
      <c r="M81"/>
      <c r="N81"/>
    </row>
    <row r="82" spans="1:14" x14ac:dyDescent="0.3">
      <c r="A82" s="102" t="s">
        <v>622</v>
      </c>
      <c r="B82" s="102" t="s">
        <v>2056</v>
      </c>
      <c r="C82" s="107" t="s">
        <v>54</v>
      </c>
      <c r="D82" s="102">
        <v>6</v>
      </c>
      <c r="E82" s="111">
        <v>0</v>
      </c>
      <c r="F82" s="112">
        <v>0</v>
      </c>
      <c r="G82" s="112">
        <v>0</v>
      </c>
      <c r="H82" s="112">
        <v>0</v>
      </c>
      <c r="I82" s="113">
        <v>0</v>
      </c>
      <c r="J82"/>
      <c r="K82"/>
      <c r="L82"/>
      <c r="M82"/>
      <c r="N82"/>
    </row>
    <row r="83" spans="1:14" x14ac:dyDescent="0.3">
      <c r="A83" s="102" t="s">
        <v>623</v>
      </c>
      <c r="B83" s="102" t="s">
        <v>2057</v>
      </c>
      <c r="C83" s="107" t="s">
        <v>54</v>
      </c>
      <c r="D83" s="102">
        <v>6</v>
      </c>
      <c r="E83" s="111">
        <v>0</v>
      </c>
      <c r="F83" s="112">
        <v>0</v>
      </c>
      <c r="G83" s="112">
        <v>0</v>
      </c>
      <c r="H83" s="112">
        <v>0</v>
      </c>
      <c r="I83" s="113">
        <v>0</v>
      </c>
      <c r="J83"/>
      <c r="K83"/>
      <c r="L83"/>
      <c r="M83"/>
      <c r="N83"/>
    </row>
    <row r="84" spans="1:14" x14ac:dyDescent="0.3">
      <c r="A84" s="102" t="s">
        <v>624</v>
      </c>
      <c r="B84" s="102" t="s">
        <v>2058</v>
      </c>
      <c r="C84" s="107" t="s">
        <v>54</v>
      </c>
      <c r="D84" s="102">
        <v>6</v>
      </c>
      <c r="E84" s="111">
        <v>0</v>
      </c>
      <c r="F84" s="112">
        <v>0</v>
      </c>
      <c r="G84" s="112">
        <v>0</v>
      </c>
      <c r="H84" s="112">
        <v>0</v>
      </c>
      <c r="I84" s="113">
        <v>0</v>
      </c>
      <c r="J84"/>
      <c r="K84"/>
      <c r="L84"/>
      <c r="M84"/>
      <c r="N84"/>
    </row>
    <row r="85" spans="1:14" x14ac:dyDescent="0.3">
      <c r="A85" s="102" t="s">
        <v>625</v>
      </c>
      <c r="B85" s="102" t="s">
        <v>2075</v>
      </c>
      <c r="C85" s="107" t="s">
        <v>54</v>
      </c>
      <c r="D85" s="102">
        <v>6</v>
      </c>
      <c r="E85" s="111">
        <v>0</v>
      </c>
      <c r="F85" s="112">
        <v>0</v>
      </c>
      <c r="G85" s="112">
        <v>0</v>
      </c>
      <c r="H85" s="112">
        <v>0</v>
      </c>
      <c r="I85" s="113">
        <v>0</v>
      </c>
      <c r="J85"/>
      <c r="K85"/>
      <c r="L85"/>
      <c r="M85"/>
      <c r="N85"/>
    </row>
    <row r="86" spans="1:14" x14ac:dyDescent="0.3">
      <c r="A86" s="102" t="s">
        <v>626</v>
      </c>
      <c r="B86" s="102" t="s">
        <v>2076</v>
      </c>
      <c r="C86" s="107" t="s">
        <v>54</v>
      </c>
      <c r="D86" s="102">
        <v>6</v>
      </c>
      <c r="E86" s="111">
        <v>0</v>
      </c>
      <c r="F86" s="112">
        <v>0</v>
      </c>
      <c r="G86" s="112">
        <v>0</v>
      </c>
      <c r="H86" s="112">
        <v>0</v>
      </c>
      <c r="I86" s="113">
        <v>0</v>
      </c>
      <c r="J86"/>
      <c r="K86"/>
      <c r="L86"/>
      <c r="M86"/>
      <c r="N86"/>
    </row>
    <row r="87" spans="1:14" x14ac:dyDescent="0.3">
      <c r="A87" s="102" t="s">
        <v>627</v>
      </c>
      <c r="B87" s="102" t="s">
        <v>2077</v>
      </c>
      <c r="C87" s="107" t="s">
        <v>54</v>
      </c>
      <c r="D87" s="102">
        <v>6</v>
      </c>
      <c r="E87" s="111">
        <v>0</v>
      </c>
      <c r="F87" s="112">
        <v>0</v>
      </c>
      <c r="G87" s="112">
        <v>0</v>
      </c>
      <c r="H87" s="112">
        <v>0</v>
      </c>
      <c r="I87" s="113">
        <v>0</v>
      </c>
      <c r="J87"/>
      <c r="K87"/>
      <c r="L87"/>
      <c r="M87"/>
      <c r="N87"/>
    </row>
    <row r="88" spans="1:14" x14ac:dyDescent="0.3">
      <c r="A88" s="102" t="s">
        <v>628</v>
      </c>
      <c r="B88" s="102" t="s">
        <v>2078</v>
      </c>
      <c r="C88" s="107" t="s">
        <v>54</v>
      </c>
      <c r="D88" s="102">
        <v>6</v>
      </c>
      <c r="E88" s="111">
        <v>0</v>
      </c>
      <c r="F88" s="112">
        <v>0</v>
      </c>
      <c r="G88" s="112">
        <v>0</v>
      </c>
      <c r="H88" s="112">
        <v>0</v>
      </c>
      <c r="I88" s="113">
        <v>0</v>
      </c>
      <c r="J88"/>
      <c r="K88"/>
      <c r="L88"/>
      <c r="M88"/>
      <c r="N88"/>
    </row>
    <row r="89" spans="1:14" x14ac:dyDescent="0.3">
      <c r="A89" s="102" t="s">
        <v>629</v>
      </c>
      <c r="B89" s="102" t="s">
        <v>2079</v>
      </c>
      <c r="C89" s="107" t="s">
        <v>54</v>
      </c>
      <c r="D89" s="102">
        <v>6</v>
      </c>
      <c r="E89" s="111">
        <v>0</v>
      </c>
      <c r="F89" s="112">
        <v>0</v>
      </c>
      <c r="G89" s="112">
        <v>0</v>
      </c>
      <c r="H89" s="112">
        <v>0</v>
      </c>
      <c r="I89" s="113">
        <v>0</v>
      </c>
      <c r="J89"/>
      <c r="K89"/>
      <c r="L89"/>
      <c r="M89"/>
      <c r="N89"/>
    </row>
    <row r="90" spans="1:14" x14ac:dyDescent="0.3">
      <c r="A90" s="102" t="s">
        <v>630</v>
      </c>
      <c r="B90" s="102" t="s">
        <v>2061</v>
      </c>
      <c r="C90" s="107" t="s">
        <v>54</v>
      </c>
      <c r="D90" s="102">
        <v>6</v>
      </c>
      <c r="E90" s="111">
        <v>0</v>
      </c>
      <c r="F90" s="112">
        <v>0</v>
      </c>
      <c r="G90" s="112">
        <v>0</v>
      </c>
      <c r="H90" s="112">
        <v>0</v>
      </c>
      <c r="I90" s="113">
        <v>0</v>
      </c>
      <c r="J90"/>
      <c r="K90"/>
      <c r="L90"/>
      <c r="M90"/>
      <c r="N90"/>
    </row>
    <row r="91" spans="1:14" x14ac:dyDescent="0.3">
      <c r="A91" s="102" t="s">
        <v>631</v>
      </c>
      <c r="B91" s="102" t="s">
        <v>2062</v>
      </c>
      <c r="C91" s="107" t="s">
        <v>54</v>
      </c>
      <c r="D91" s="102">
        <v>6</v>
      </c>
      <c r="E91" s="111">
        <v>50000</v>
      </c>
      <c r="F91" s="112">
        <v>0</v>
      </c>
      <c r="G91" s="112">
        <v>0</v>
      </c>
      <c r="H91" s="112">
        <v>0</v>
      </c>
      <c r="I91" s="113">
        <v>50000</v>
      </c>
      <c r="J91"/>
      <c r="K91"/>
      <c r="L91"/>
      <c r="M91"/>
      <c r="N91"/>
    </row>
    <row r="92" spans="1:14" x14ac:dyDescent="0.3">
      <c r="A92" s="102" t="s">
        <v>632</v>
      </c>
      <c r="B92" s="102" t="s">
        <v>2063</v>
      </c>
      <c r="C92" s="107" t="s">
        <v>54</v>
      </c>
      <c r="D92" s="102">
        <v>6</v>
      </c>
      <c r="E92" s="111">
        <v>0</v>
      </c>
      <c r="F92" s="112">
        <v>0</v>
      </c>
      <c r="G92" s="112">
        <v>0</v>
      </c>
      <c r="H92" s="112">
        <v>0</v>
      </c>
      <c r="I92" s="113">
        <v>0</v>
      </c>
      <c r="J92"/>
      <c r="K92"/>
      <c r="L92"/>
      <c r="M92"/>
      <c r="N92"/>
    </row>
    <row r="93" spans="1:14" x14ac:dyDescent="0.3">
      <c r="A93" s="102" t="s">
        <v>633</v>
      </c>
      <c r="B93" s="102" t="s">
        <v>2080</v>
      </c>
      <c r="C93" s="107" t="s">
        <v>54</v>
      </c>
      <c r="D93" s="102">
        <v>6</v>
      </c>
      <c r="E93" s="111">
        <v>0</v>
      </c>
      <c r="F93" s="112">
        <v>0</v>
      </c>
      <c r="G93" s="112">
        <v>0</v>
      </c>
      <c r="H93" s="112">
        <v>0</v>
      </c>
      <c r="I93" s="113">
        <v>0</v>
      </c>
      <c r="J93"/>
      <c r="K93"/>
      <c r="L93"/>
      <c r="M93"/>
      <c r="N93"/>
    </row>
    <row r="94" spans="1:14" x14ac:dyDescent="0.3">
      <c r="A94" s="102" t="s">
        <v>634</v>
      </c>
      <c r="B94" s="102" t="s">
        <v>2081</v>
      </c>
      <c r="C94" s="107" t="s">
        <v>54</v>
      </c>
      <c r="D94" s="102">
        <v>6</v>
      </c>
      <c r="E94" s="111">
        <v>0</v>
      </c>
      <c r="F94" s="112">
        <v>0</v>
      </c>
      <c r="G94" s="112">
        <v>0</v>
      </c>
      <c r="H94" s="112">
        <v>0</v>
      </c>
      <c r="I94" s="113">
        <v>0</v>
      </c>
      <c r="J94"/>
      <c r="K94"/>
      <c r="L94"/>
      <c r="M94"/>
      <c r="N94"/>
    </row>
    <row r="95" spans="1:14" x14ac:dyDescent="0.3">
      <c r="A95" s="102" t="s">
        <v>635</v>
      </c>
      <c r="B95" s="102" t="s">
        <v>2082</v>
      </c>
      <c r="C95" s="107" t="s">
        <v>54</v>
      </c>
      <c r="D95" s="102">
        <v>6</v>
      </c>
      <c r="E95" s="111">
        <v>0</v>
      </c>
      <c r="F95" s="112">
        <v>0</v>
      </c>
      <c r="G95" s="112">
        <v>0</v>
      </c>
      <c r="H95" s="112">
        <v>0</v>
      </c>
      <c r="I95" s="113">
        <v>0</v>
      </c>
      <c r="J95"/>
      <c r="K95"/>
      <c r="L95"/>
      <c r="M95"/>
      <c r="N95"/>
    </row>
    <row r="96" spans="1:14" x14ac:dyDescent="0.3">
      <c r="A96" s="102" t="s">
        <v>636</v>
      </c>
      <c r="B96" s="102" t="s">
        <v>2083</v>
      </c>
      <c r="C96" s="107" t="s">
        <v>54</v>
      </c>
      <c r="D96" s="102">
        <v>6</v>
      </c>
      <c r="E96" s="111">
        <v>0</v>
      </c>
      <c r="F96" s="112">
        <v>0</v>
      </c>
      <c r="G96" s="112">
        <v>0</v>
      </c>
      <c r="H96" s="112">
        <v>0</v>
      </c>
      <c r="I96" s="113">
        <v>0</v>
      </c>
      <c r="J96"/>
      <c r="K96"/>
      <c r="L96"/>
      <c r="M96"/>
      <c r="N96"/>
    </row>
    <row r="97" spans="1:14" x14ac:dyDescent="0.3">
      <c r="A97" s="102" t="s">
        <v>637</v>
      </c>
      <c r="B97" s="102" t="s">
        <v>2084</v>
      </c>
      <c r="C97" s="107" t="s">
        <v>54</v>
      </c>
      <c r="D97" s="102">
        <v>6</v>
      </c>
      <c r="E97" s="111">
        <v>0</v>
      </c>
      <c r="F97" s="112">
        <v>0</v>
      </c>
      <c r="G97" s="112">
        <v>0</v>
      </c>
      <c r="H97" s="112">
        <v>0</v>
      </c>
      <c r="I97" s="113">
        <v>0</v>
      </c>
      <c r="J97"/>
      <c r="K97"/>
      <c r="L97"/>
      <c r="M97"/>
      <c r="N97"/>
    </row>
    <row r="98" spans="1:14" x14ac:dyDescent="0.3">
      <c r="A98" s="102" t="s">
        <v>638</v>
      </c>
      <c r="B98" s="102" t="s">
        <v>2085</v>
      </c>
      <c r="C98" s="107" t="s">
        <v>54</v>
      </c>
      <c r="D98" s="102">
        <v>4</v>
      </c>
      <c r="E98" s="111">
        <v>917501.05</v>
      </c>
      <c r="F98" s="112">
        <v>0</v>
      </c>
      <c r="G98" s="112">
        <v>1781366.85</v>
      </c>
      <c r="H98" s="112">
        <v>86806370.359999999</v>
      </c>
      <c r="I98" s="113">
        <v>89505238.260000005</v>
      </c>
      <c r="J98"/>
      <c r="K98"/>
      <c r="L98"/>
      <c r="M98"/>
      <c r="N98"/>
    </row>
    <row r="99" spans="1:14" x14ac:dyDescent="0.3">
      <c r="A99" s="102" t="s">
        <v>639</v>
      </c>
      <c r="B99" s="102" t="s">
        <v>2067</v>
      </c>
      <c r="C99" s="107" t="s">
        <v>54</v>
      </c>
      <c r="D99" s="102">
        <v>6</v>
      </c>
      <c r="E99" s="111">
        <v>0</v>
      </c>
      <c r="F99" s="112">
        <v>0</v>
      </c>
      <c r="G99" s="112">
        <v>0</v>
      </c>
      <c r="H99" s="112">
        <v>0</v>
      </c>
      <c r="I99" s="113">
        <v>0</v>
      </c>
      <c r="J99"/>
      <c r="K99"/>
      <c r="L99"/>
      <c r="M99"/>
      <c r="N99"/>
    </row>
    <row r="100" spans="1:14" x14ac:dyDescent="0.3">
      <c r="A100" s="102" t="s">
        <v>640</v>
      </c>
      <c r="B100" s="102" t="s">
        <v>2068</v>
      </c>
      <c r="C100" s="107" t="s">
        <v>54</v>
      </c>
      <c r="D100" s="102">
        <v>6</v>
      </c>
      <c r="E100" s="111">
        <v>0</v>
      </c>
      <c r="F100" s="112">
        <v>0</v>
      </c>
      <c r="G100" s="112">
        <v>0</v>
      </c>
      <c r="H100" s="112">
        <v>0</v>
      </c>
      <c r="I100" s="113">
        <v>0</v>
      </c>
      <c r="J100"/>
      <c r="K100"/>
      <c r="L100"/>
      <c r="M100"/>
      <c r="N100"/>
    </row>
    <row r="101" spans="1:14" x14ac:dyDescent="0.3">
      <c r="A101" s="102" t="s">
        <v>641</v>
      </c>
      <c r="B101" s="102" t="s">
        <v>2069</v>
      </c>
      <c r="C101" s="107" t="s">
        <v>54</v>
      </c>
      <c r="D101" s="102">
        <v>6</v>
      </c>
      <c r="E101" s="111">
        <v>917501.05</v>
      </c>
      <c r="F101" s="112">
        <v>0</v>
      </c>
      <c r="G101" s="112">
        <v>1781366.85</v>
      </c>
      <c r="H101" s="112">
        <v>0</v>
      </c>
      <c r="I101" s="113">
        <v>2698867.9</v>
      </c>
      <c r="J101"/>
      <c r="K101"/>
      <c r="L101"/>
      <c r="M101"/>
      <c r="N101"/>
    </row>
    <row r="102" spans="1:14" x14ac:dyDescent="0.3">
      <c r="A102" s="102" t="s">
        <v>642</v>
      </c>
      <c r="B102" s="102" t="s">
        <v>2086</v>
      </c>
      <c r="C102" s="107" t="s">
        <v>54</v>
      </c>
      <c r="D102" s="102">
        <v>6</v>
      </c>
      <c r="E102" s="111">
        <v>0</v>
      </c>
      <c r="F102" s="112">
        <v>0</v>
      </c>
      <c r="G102" s="112">
        <v>0</v>
      </c>
      <c r="H102" s="112">
        <v>15492992.23</v>
      </c>
      <c r="I102" s="113">
        <v>15492992.23</v>
      </c>
      <c r="J102"/>
      <c r="K102"/>
      <c r="L102"/>
      <c r="M102"/>
      <c r="N102"/>
    </row>
    <row r="103" spans="1:14" x14ac:dyDescent="0.3">
      <c r="A103" s="102" t="s">
        <v>643</v>
      </c>
      <c r="B103" s="102" t="s">
        <v>2087</v>
      </c>
      <c r="C103" s="107" t="s">
        <v>54</v>
      </c>
      <c r="D103" s="102">
        <v>6</v>
      </c>
      <c r="E103" s="111">
        <v>0</v>
      </c>
      <c r="F103" s="112">
        <v>0</v>
      </c>
      <c r="G103" s="112">
        <v>0</v>
      </c>
      <c r="H103" s="112">
        <v>27689251.43</v>
      </c>
      <c r="I103" s="113">
        <v>27689251.43</v>
      </c>
      <c r="J103"/>
      <c r="K103"/>
      <c r="L103"/>
      <c r="M103"/>
      <c r="N103"/>
    </row>
    <row r="104" spans="1:14" x14ac:dyDescent="0.3">
      <c r="A104" s="102" t="s">
        <v>644</v>
      </c>
      <c r="B104" s="102" t="s">
        <v>2088</v>
      </c>
      <c r="C104" s="107" t="s">
        <v>54</v>
      </c>
      <c r="D104" s="102">
        <v>6</v>
      </c>
      <c r="E104" s="111">
        <v>0</v>
      </c>
      <c r="F104" s="112">
        <v>0</v>
      </c>
      <c r="G104" s="112">
        <v>0</v>
      </c>
      <c r="H104" s="112">
        <v>37147790.399999999</v>
      </c>
      <c r="I104" s="113">
        <v>37147790.399999999</v>
      </c>
      <c r="J104"/>
      <c r="K104"/>
      <c r="L104"/>
      <c r="M104"/>
      <c r="N104"/>
    </row>
    <row r="105" spans="1:14" x14ac:dyDescent="0.3">
      <c r="A105" s="102" t="s">
        <v>645</v>
      </c>
      <c r="B105" s="102" t="s">
        <v>2089</v>
      </c>
      <c r="C105" s="107" t="s">
        <v>54</v>
      </c>
      <c r="D105" s="102">
        <v>6</v>
      </c>
      <c r="E105" s="111">
        <v>0</v>
      </c>
      <c r="F105" s="112">
        <v>0</v>
      </c>
      <c r="G105" s="112">
        <v>0</v>
      </c>
      <c r="H105" s="112">
        <v>6476336.2999999998</v>
      </c>
      <c r="I105" s="113">
        <v>6476336.2999999998</v>
      </c>
      <c r="J105"/>
      <c r="K105"/>
      <c r="L105"/>
      <c r="M105"/>
      <c r="N105"/>
    </row>
    <row r="106" spans="1:14" x14ac:dyDescent="0.3">
      <c r="A106" s="102" t="s">
        <v>646</v>
      </c>
      <c r="B106" s="102" t="s">
        <v>2090</v>
      </c>
      <c r="C106" s="107" t="s">
        <v>54</v>
      </c>
      <c r="D106" s="102">
        <v>6</v>
      </c>
      <c r="E106" s="111">
        <v>0</v>
      </c>
      <c r="F106" s="112">
        <v>0</v>
      </c>
      <c r="G106" s="112">
        <v>0</v>
      </c>
      <c r="H106" s="112">
        <v>0</v>
      </c>
      <c r="I106" s="113">
        <v>0</v>
      </c>
      <c r="J106"/>
      <c r="K106"/>
      <c r="L106"/>
      <c r="M106"/>
      <c r="N106"/>
    </row>
    <row r="107" spans="1:14" x14ac:dyDescent="0.3">
      <c r="A107" s="102" t="s">
        <v>647</v>
      </c>
      <c r="B107" s="102" t="s">
        <v>2091</v>
      </c>
      <c r="C107" s="107" t="s">
        <v>54</v>
      </c>
      <c r="D107" s="102">
        <v>4</v>
      </c>
      <c r="E107" s="111">
        <v>100000</v>
      </c>
      <c r="F107" s="112">
        <v>316515.78999999998</v>
      </c>
      <c r="G107" s="112">
        <v>0</v>
      </c>
      <c r="H107" s="112">
        <v>456175.21</v>
      </c>
      <c r="I107" s="113">
        <v>872691</v>
      </c>
      <c r="J107"/>
      <c r="K107"/>
      <c r="L107"/>
      <c r="M107"/>
      <c r="N107"/>
    </row>
    <row r="108" spans="1:14" x14ac:dyDescent="0.3">
      <c r="A108" s="102" t="s">
        <v>648</v>
      </c>
      <c r="B108" s="102" t="s">
        <v>2092</v>
      </c>
      <c r="C108" s="107" t="s">
        <v>54</v>
      </c>
      <c r="D108" s="102">
        <v>6</v>
      </c>
      <c r="E108" s="111">
        <v>0</v>
      </c>
      <c r="F108" s="112">
        <v>0</v>
      </c>
      <c r="G108" s="112">
        <v>0</v>
      </c>
      <c r="H108" s="112">
        <v>0</v>
      </c>
      <c r="I108" s="113">
        <v>0</v>
      </c>
      <c r="J108"/>
      <c r="K108"/>
      <c r="L108"/>
      <c r="M108"/>
      <c r="N108"/>
    </row>
    <row r="109" spans="1:14" x14ac:dyDescent="0.3">
      <c r="A109" s="102" t="s">
        <v>649</v>
      </c>
      <c r="B109" s="102" t="s">
        <v>2093</v>
      </c>
      <c r="C109" s="107" t="s">
        <v>54</v>
      </c>
      <c r="D109" s="102">
        <v>6</v>
      </c>
      <c r="E109" s="111">
        <v>0</v>
      </c>
      <c r="F109" s="112">
        <v>0</v>
      </c>
      <c r="G109" s="112">
        <v>0</v>
      </c>
      <c r="H109" s="112">
        <v>456175.21</v>
      </c>
      <c r="I109" s="113">
        <v>456175.21</v>
      </c>
      <c r="J109"/>
      <c r="K109"/>
      <c r="L109"/>
      <c r="M109"/>
      <c r="N109"/>
    </row>
    <row r="110" spans="1:14" x14ac:dyDescent="0.3">
      <c r="A110" s="102" t="s">
        <v>1965</v>
      </c>
      <c r="B110" s="102" t="s">
        <v>2094</v>
      </c>
      <c r="C110" s="107" t="s">
        <v>54</v>
      </c>
      <c r="D110" s="102">
        <v>6</v>
      </c>
      <c r="E110" s="111">
        <v>100000</v>
      </c>
      <c r="F110" s="112">
        <v>0</v>
      </c>
      <c r="G110" s="112">
        <v>0</v>
      </c>
      <c r="H110" s="112">
        <v>0</v>
      </c>
      <c r="I110" s="113">
        <v>100000</v>
      </c>
      <c r="J110"/>
      <c r="K110"/>
      <c r="L110"/>
      <c r="M110"/>
      <c r="N110"/>
    </row>
    <row r="111" spans="1:14" x14ac:dyDescent="0.3">
      <c r="A111" s="102" t="s">
        <v>650</v>
      </c>
      <c r="B111" s="102" t="s">
        <v>2095</v>
      </c>
      <c r="C111" s="107" t="s">
        <v>54</v>
      </c>
      <c r="D111" s="102">
        <v>6</v>
      </c>
      <c r="E111" s="111">
        <v>0</v>
      </c>
      <c r="F111" s="112">
        <v>316515.78999999998</v>
      </c>
      <c r="G111" s="112">
        <v>0</v>
      </c>
      <c r="H111" s="112">
        <v>0</v>
      </c>
      <c r="I111" s="113">
        <v>316515.78999999998</v>
      </c>
      <c r="J111"/>
      <c r="K111"/>
      <c r="L111"/>
      <c r="M111"/>
      <c r="N111"/>
    </row>
    <row r="112" spans="1:14" x14ac:dyDescent="0.3">
      <c r="A112" s="102" t="s">
        <v>651</v>
      </c>
      <c r="B112" s="102" t="s">
        <v>2096</v>
      </c>
      <c r="C112" s="107" t="s">
        <v>54</v>
      </c>
      <c r="D112" s="102">
        <v>6</v>
      </c>
      <c r="E112" s="111">
        <v>0</v>
      </c>
      <c r="F112" s="112">
        <v>0</v>
      </c>
      <c r="G112" s="112">
        <v>0</v>
      </c>
      <c r="H112" s="112">
        <v>0</v>
      </c>
      <c r="I112" s="113">
        <v>0</v>
      </c>
      <c r="J112"/>
      <c r="K112"/>
      <c r="L112"/>
      <c r="M112"/>
      <c r="N112"/>
    </row>
    <row r="113" spans="1:14" x14ac:dyDescent="0.3">
      <c r="A113" s="102" t="s">
        <v>652</v>
      </c>
      <c r="B113" s="102" t="s">
        <v>2097</v>
      </c>
      <c r="C113" s="107" t="s">
        <v>54</v>
      </c>
      <c r="D113" s="102">
        <v>4</v>
      </c>
      <c r="E113" s="111">
        <v>0</v>
      </c>
      <c r="F113" s="112">
        <v>-3176.7</v>
      </c>
      <c r="G113" s="112">
        <v>0</v>
      </c>
      <c r="H113" s="112">
        <v>-176626.51</v>
      </c>
      <c r="I113" s="113">
        <v>-179803.21</v>
      </c>
      <c r="J113"/>
      <c r="K113"/>
      <c r="L113"/>
      <c r="M113"/>
      <c r="N113"/>
    </row>
    <row r="114" spans="1:14" x14ac:dyDescent="0.3">
      <c r="A114" s="102" t="s">
        <v>653</v>
      </c>
      <c r="B114" s="102" t="s">
        <v>2098</v>
      </c>
      <c r="C114" s="107" t="s">
        <v>54</v>
      </c>
      <c r="D114" s="102">
        <v>6</v>
      </c>
      <c r="E114" s="111">
        <v>0</v>
      </c>
      <c r="F114" s="112">
        <v>-3176.7</v>
      </c>
      <c r="G114" s="112">
        <v>0</v>
      </c>
      <c r="H114" s="112">
        <v>0</v>
      </c>
      <c r="I114" s="113">
        <v>-3176.7</v>
      </c>
      <c r="J114"/>
      <c r="K114"/>
      <c r="L114"/>
      <c r="M114"/>
      <c r="N114"/>
    </row>
    <row r="115" spans="1:14" x14ac:dyDescent="0.3">
      <c r="A115" s="102" t="s">
        <v>654</v>
      </c>
      <c r="B115" s="102" t="s">
        <v>2099</v>
      </c>
      <c r="C115" s="107" t="s">
        <v>54</v>
      </c>
      <c r="D115" s="102">
        <v>6</v>
      </c>
      <c r="E115" s="111">
        <v>0</v>
      </c>
      <c r="F115" s="112">
        <v>0</v>
      </c>
      <c r="G115" s="112">
        <v>0</v>
      </c>
      <c r="H115" s="112">
        <v>-176626.51</v>
      </c>
      <c r="I115" s="113">
        <v>-176626.51</v>
      </c>
      <c r="J115"/>
      <c r="K115"/>
      <c r="L115"/>
      <c r="M115"/>
      <c r="N115"/>
    </row>
    <row r="116" spans="1:14" x14ac:dyDescent="0.3">
      <c r="A116" s="102" t="s">
        <v>655</v>
      </c>
      <c r="B116" s="102" t="s">
        <v>2100</v>
      </c>
      <c r="C116" s="107" t="s">
        <v>54</v>
      </c>
      <c r="D116" s="102">
        <v>2</v>
      </c>
      <c r="E116" s="111">
        <v>18566278.5</v>
      </c>
      <c r="F116" s="112">
        <v>143988855.16999999</v>
      </c>
      <c r="G116" s="112">
        <v>40082661.770000003</v>
      </c>
      <c r="H116" s="112">
        <v>381555889.13</v>
      </c>
      <c r="I116" s="113">
        <v>584193684.56999993</v>
      </c>
      <c r="J116"/>
      <c r="K116"/>
      <c r="L116"/>
      <c r="M116"/>
      <c r="N116"/>
    </row>
    <row r="117" spans="1:14" x14ac:dyDescent="0.3">
      <c r="A117" s="102" t="s">
        <v>656</v>
      </c>
      <c r="B117" s="102" t="s">
        <v>2101</v>
      </c>
      <c r="C117" s="107" t="s">
        <v>54</v>
      </c>
      <c r="D117" s="102">
        <v>4</v>
      </c>
      <c r="E117" s="111">
        <v>0</v>
      </c>
      <c r="F117" s="112">
        <v>4532641.0599999996</v>
      </c>
      <c r="G117" s="112">
        <v>396850.45</v>
      </c>
      <c r="H117" s="112">
        <v>64115508.460000001</v>
      </c>
      <c r="I117" s="113">
        <v>69044999.969999999</v>
      </c>
      <c r="J117"/>
      <c r="K117"/>
      <c r="L117"/>
      <c r="M117"/>
      <c r="N117"/>
    </row>
    <row r="118" spans="1:14" x14ac:dyDescent="0.3">
      <c r="A118" s="102" t="s">
        <v>657</v>
      </c>
      <c r="B118" s="102" t="s">
        <v>2067</v>
      </c>
      <c r="C118" s="107" t="s">
        <v>54</v>
      </c>
      <c r="D118" s="102">
        <v>6</v>
      </c>
      <c r="E118" s="111">
        <v>0</v>
      </c>
      <c r="F118" s="112">
        <v>27116.35</v>
      </c>
      <c r="G118" s="112">
        <v>16107.65</v>
      </c>
      <c r="H118" s="112">
        <v>8347329.5899999999</v>
      </c>
      <c r="I118" s="113">
        <v>8390553.5899999999</v>
      </c>
      <c r="J118"/>
      <c r="K118"/>
      <c r="L118"/>
      <c r="M118"/>
      <c r="N118"/>
    </row>
    <row r="119" spans="1:14" x14ac:dyDescent="0.3">
      <c r="A119" s="102" t="s">
        <v>658</v>
      </c>
      <c r="B119" s="102" t="s">
        <v>2068</v>
      </c>
      <c r="C119" s="107" t="s">
        <v>54</v>
      </c>
      <c r="D119" s="102">
        <v>6</v>
      </c>
      <c r="E119" s="111">
        <v>0</v>
      </c>
      <c r="F119" s="112">
        <v>53196.74</v>
      </c>
      <c r="G119" s="112">
        <v>20216.11</v>
      </c>
      <c r="H119" s="112">
        <v>15602143.130000001</v>
      </c>
      <c r="I119" s="113">
        <v>15675555.98</v>
      </c>
      <c r="J119"/>
      <c r="K119"/>
      <c r="L119"/>
      <c r="M119"/>
      <c r="N119"/>
    </row>
    <row r="120" spans="1:14" x14ac:dyDescent="0.3">
      <c r="A120" s="102" t="s">
        <v>659</v>
      </c>
      <c r="B120" s="102" t="s">
        <v>2069</v>
      </c>
      <c r="C120" s="107" t="s">
        <v>54</v>
      </c>
      <c r="D120" s="102">
        <v>6</v>
      </c>
      <c r="E120" s="111">
        <v>0</v>
      </c>
      <c r="F120" s="112">
        <v>81652.2</v>
      </c>
      <c r="G120" s="112">
        <v>30326.11</v>
      </c>
      <c r="H120" s="112">
        <v>9893145.5</v>
      </c>
      <c r="I120" s="113">
        <v>10005123.810000001</v>
      </c>
      <c r="J120"/>
      <c r="K120"/>
      <c r="L120"/>
      <c r="M120"/>
      <c r="N120"/>
    </row>
    <row r="121" spans="1:14" x14ac:dyDescent="0.3">
      <c r="A121" s="102" t="s">
        <v>660</v>
      </c>
      <c r="B121" s="102" t="s">
        <v>2070</v>
      </c>
      <c r="C121" s="107" t="s">
        <v>54</v>
      </c>
      <c r="D121" s="102">
        <v>6</v>
      </c>
      <c r="E121" s="111">
        <v>0</v>
      </c>
      <c r="F121" s="112">
        <v>166909.51999999999</v>
      </c>
      <c r="G121" s="112">
        <v>49076.06</v>
      </c>
      <c r="H121" s="112">
        <v>6019772.4699999997</v>
      </c>
      <c r="I121" s="113">
        <v>6235758.0499999998</v>
      </c>
      <c r="J121"/>
      <c r="K121"/>
      <c r="L121"/>
      <c r="M121"/>
      <c r="N121"/>
    </row>
    <row r="122" spans="1:14" x14ac:dyDescent="0.3">
      <c r="A122" s="102" t="s">
        <v>661</v>
      </c>
      <c r="B122" s="102" t="s">
        <v>2071</v>
      </c>
      <c r="C122" s="107" t="s">
        <v>54</v>
      </c>
      <c r="D122" s="102">
        <v>6</v>
      </c>
      <c r="E122" s="111">
        <v>0</v>
      </c>
      <c r="F122" s="112">
        <v>4203766.25</v>
      </c>
      <c r="G122" s="112">
        <v>281124.52</v>
      </c>
      <c r="H122" s="112">
        <v>24253117.77</v>
      </c>
      <c r="I122" s="113">
        <v>28738008.539999999</v>
      </c>
      <c r="J122"/>
      <c r="K122"/>
      <c r="L122"/>
      <c r="M122"/>
      <c r="N122"/>
    </row>
    <row r="123" spans="1:14" x14ac:dyDescent="0.3">
      <c r="A123" s="102" t="s">
        <v>662</v>
      </c>
      <c r="B123" s="102" t="s">
        <v>2102</v>
      </c>
      <c r="C123" s="107" t="s">
        <v>54</v>
      </c>
      <c r="D123" s="102">
        <v>4</v>
      </c>
      <c r="E123" s="111">
        <v>5093209.32</v>
      </c>
      <c r="F123" s="112">
        <v>16270250.59</v>
      </c>
      <c r="G123" s="112">
        <v>18599113.699999999</v>
      </c>
      <c r="H123" s="112">
        <v>73179040.390000001</v>
      </c>
      <c r="I123" s="113">
        <v>113141614</v>
      </c>
      <c r="J123"/>
      <c r="K123"/>
      <c r="L123"/>
      <c r="M123"/>
      <c r="N123"/>
    </row>
    <row r="124" spans="1:14" x14ac:dyDescent="0.3">
      <c r="A124" s="102" t="s">
        <v>663</v>
      </c>
      <c r="B124" s="102" t="s">
        <v>2067</v>
      </c>
      <c r="C124" s="107" t="s">
        <v>54</v>
      </c>
      <c r="D124" s="102">
        <v>6</v>
      </c>
      <c r="E124" s="111">
        <v>128155.09</v>
      </c>
      <c r="F124" s="112">
        <v>1903637.8</v>
      </c>
      <c r="G124" s="112">
        <v>828903.16</v>
      </c>
      <c r="H124" s="112">
        <v>16188518.640000001</v>
      </c>
      <c r="I124" s="113">
        <v>19049214.690000001</v>
      </c>
      <c r="J124"/>
      <c r="K124"/>
      <c r="L124"/>
      <c r="M124"/>
      <c r="N124"/>
    </row>
    <row r="125" spans="1:14" x14ac:dyDescent="0.3">
      <c r="A125" s="102" t="s">
        <v>664</v>
      </c>
      <c r="B125" s="102" t="s">
        <v>2068</v>
      </c>
      <c r="C125" s="107" t="s">
        <v>54</v>
      </c>
      <c r="D125" s="102">
        <v>6</v>
      </c>
      <c r="E125" s="111">
        <v>211320.43</v>
      </c>
      <c r="F125" s="112">
        <v>1152220.54</v>
      </c>
      <c r="G125" s="112">
        <v>1093574.97</v>
      </c>
      <c r="H125" s="112">
        <v>9016126.9399999995</v>
      </c>
      <c r="I125" s="113">
        <v>11473242.880000001</v>
      </c>
      <c r="J125"/>
      <c r="K125"/>
      <c r="L125"/>
      <c r="M125"/>
      <c r="N125"/>
    </row>
    <row r="126" spans="1:14" x14ac:dyDescent="0.3">
      <c r="A126" s="102" t="s">
        <v>665</v>
      </c>
      <c r="B126" s="102" t="s">
        <v>2069</v>
      </c>
      <c r="C126" s="107" t="s">
        <v>54</v>
      </c>
      <c r="D126" s="102">
        <v>6</v>
      </c>
      <c r="E126" s="111">
        <v>295614.46000000002</v>
      </c>
      <c r="F126" s="112">
        <v>1304877.45</v>
      </c>
      <c r="G126" s="112">
        <v>1475955.72</v>
      </c>
      <c r="H126" s="112">
        <v>7661989.5700000003</v>
      </c>
      <c r="I126" s="113">
        <v>10738437.199999999</v>
      </c>
      <c r="J126"/>
      <c r="K126"/>
      <c r="L126"/>
      <c r="M126"/>
      <c r="N126"/>
    </row>
    <row r="127" spans="1:14" x14ac:dyDescent="0.3">
      <c r="A127" s="102" t="s">
        <v>666</v>
      </c>
      <c r="B127" s="102" t="s">
        <v>2070</v>
      </c>
      <c r="C127" s="107" t="s">
        <v>54</v>
      </c>
      <c r="D127" s="102">
        <v>6</v>
      </c>
      <c r="E127" s="111">
        <v>557689.96</v>
      </c>
      <c r="F127" s="112">
        <v>1917255.53</v>
      </c>
      <c r="G127" s="112">
        <v>2749547.98</v>
      </c>
      <c r="H127" s="112">
        <v>11219814.109999999</v>
      </c>
      <c r="I127" s="113">
        <v>16444307.58</v>
      </c>
      <c r="J127"/>
      <c r="K127"/>
      <c r="L127"/>
      <c r="M127"/>
      <c r="N127"/>
    </row>
    <row r="128" spans="1:14" x14ac:dyDescent="0.3">
      <c r="A128" s="102" t="s">
        <v>667</v>
      </c>
      <c r="B128" s="102" t="s">
        <v>2071</v>
      </c>
      <c r="C128" s="107" t="s">
        <v>54</v>
      </c>
      <c r="D128" s="102">
        <v>6</v>
      </c>
      <c r="E128" s="111">
        <v>3900429.38</v>
      </c>
      <c r="F128" s="112">
        <v>9992259.2699999996</v>
      </c>
      <c r="G128" s="112">
        <v>12451131.869999999</v>
      </c>
      <c r="H128" s="112">
        <v>29092591.129999999</v>
      </c>
      <c r="I128" s="113">
        <v>55436411.649999999</v>
      </c>
      <c r="J128"/>
      <c r="K128"/>
      <c r="L128"/>
      <c r="M128"/>
      <c r="N128"/>
    </row>
    <row r="129" spans="1:14" x14ac:dyDescent="0.3">
      <c r="A129" s="102" t="s">
        <v>668</v>
      </c>
      <c r="B129" s="102" t="s">
        <v>2103</v>
      </c>
      <c r="C129" s="107" t="s">
        <v>54</v>
      </c>
      <c r="D129" s="102">
        <v>4</v>
      </c>
      <c r="E129" s="111">
        <v>5233434.37</v>
      </c>
      <c r="F129" s="112">
        <v>107732798.63</v>
      </c>
      <c r="G129" s="112">
        <v>15042108.16</v>
      </c>
      <c r="H129" s="112">
        <v>155516392.38999999</v>
      </c>
      <c r="I129" s="113">
        <v>283524733.54999995</v>
      </c>
      <c r="J129"/>
      <c r="K129"/>
      <c r="L129"/>
      <c r="M129"/>
      <c r="N129"/>
    </row>
    <row r="130" spans="1:14" x14ac:dyDescent="0.3">
      <c r="A130" s="102" t="s">
        <v>669</v>
      </c>
      <c r="B130" s="102" t="s">
        <v>2067</v>
      </c>
      <c r="C130" s="107" t="s">
        <v>54</v>
      </c>
      <c r="D130" s="102">
        <v>6</v>
      </c>
      <c r="E130" s="111">
        <v>47710.81</v>
      </c>
      <c r="F130" s="112">
        <v>855220.97</v>
      </c>
      <c r="G130" s="112">
        <v>160786.51999999999</v>
      </c>
      <c r="H130" s="112">
        <v>1792789.49</v>
      </c>
      <c r="I130" s="113">
        <v>2856507.79</v>
      </c>
      <c r="J130"/>
      <c r="K130"/>
      <c r="L130"/>
      <c r="M130"/>
      <c r="N130"/>
    </row>
    <row r="131" spans="1:14" x14ac:dyDescent="0.3">
      <c r="A131" s="102" t="s">
        <v>670</v>
      </c>
      <c r="B131" s="102" t="s">
        <v>2068</v>
      </c>
      <c r="C131" s="107" t="s">
        <v>54</v>
      </c>
      <c r="D131" s="102">
        <v>6</v>
      </c>
      <c r="E131" s="111">
        <v>89087.84</v>
      </c>
      <c r="F131" s="112">
        <v>1537580.7</v>
      </c>
      <c r="G131" s="112">
        <v>256225.04</v>
      </c>
      <c r="H131" s="112">
        <v>2488109.7799999998</v>
      </c>
      <c r="I131" s="113">
        <v>4371003.3600000003</v>
      </c>
      <c r="J131"/>
      <c r="K131"/>
      <c r="L131"/>
      <c r="M131"/>
      <c r="N131"/>
    </row>
    <row r="132" spans="1:14" x14ac:dyDescent="0.3">
      <c r="A132" s="102" t="s">
        <v>671</v>
      </c>
      <c r="B132" s="102" t="s">
        <v>2069</v>
      </c>
      <c r="C132" s="107" t="s">
        <v>54</v>
      </c>
      <c r="D132" s="102">
        <v>6</v>
      </c>
      <c r="E132" s="111">
        <v>131712.95999999999</v>
      </c>
      <c r="F132" s="112">
        <v>2330407.9500000002</v>
      </c>
      <c r="G132" s="112">
        <v>385593.43</v>
      </c>
      <c r="H132" s="112">
        <v>3644286.31</v>
      </c>
      <c r="I132" s="113">
        <v>6492000.6500000004</v>
      </c>
      <c r="J132"/>
      <c r="K132"/>
      <c r="L132"/>
      <c r="M132"/>
      <c r="N132"/>
    </row>
    <row r="133" spans="1:14" x14ac:dyDescent="0.3">
      <c r="A133" s="102" t="s">
        <v>672</v>
      </c>
      <c r="B133" s="102" t="s">
        <v>2070</v>
      </c>
      <c r="C133" s="107" t="s">
        <v>54</v>
      </c>
      <c r="D133" s="102">
        <v>6</v>
      </c>
      <c r="E133" s="111">
        <v>248268.09</v>
      </c>
      <c r="F133" s="112">
        <v>4674676.82</v>
      </c>
      <c r="G133" s="112">
        <v>774678.47</v>
      </c>
      <c r="H133" s="112">
        <v>6466632.4699999997</v>
      </c>
      <c r="I133" s="113">
        <v>12164255.85</v>
      </c>
      <c r="J133"/>
      <c r="K133"/>
      <c r="L133"/>
      <c r="M133"/>
      <c r="N133"/>
    </row>
    <row r="134" spans="1:14" x14ac:dyDescent="0.3">
      <c r="A134" s="102" t="s">
        <v>673</v>
      </c>
      <c r="B134" s="102" t="s">
        <v>2071</v>
      </c>
      <c r="C134" s="107" t="s">
        <v>54</v>
      </c>
      <c r="D134" s="102">
        <v>6</v>
      </c>
      <c r="E134" s="111">
        <v>4716654.67</v>
      </c>
      <c r="F134" s="112">
        <v>98334912.189999998</v>
      </c>
      <c r="G134" s="112">
        <v>13464824.699999999</v>
      </c>
      <c r="H134" s="112">
        <v>141124574.34</v>
      </c>
      <c r="I134" s="113">
        <v>257640965.89999998</v>
      </c>
      <c r="J134"/>
      <c r="K134"/>
      <c r="L134"/>
      <c r="M134"/>
      <c r="N134"/>
    </row>
    <row r="135" spans="1:14" x14ac:dyDescent="0.3">
      <c r="A135" s="102" t="s">
        <v>674</v>
      </c>
      <c r="B135" s="102" t="s">
        <v>2104</v>
      </c>
      <c r="C135" s="107" t="s">
        <v>54</v>
      </c>
      <c r="D135" s="102">
        <v>4</v>
      </c>
      <c r="E135" s="111">
        <v>5573896.0800000001</v>
      </c>
      <c r="F135" s="112">
        <v>387631.37</v>
      </c>
      <c r="G135" s="112">
        <v>5981297.6200000001</v>
      </c>
      <c r="H135" s="112">
        <v>41747088.609999999</v>
      </c>
      <c r="I135" s="113">
        <v>53689913.68</v>
      </c>
      <c r="J135"/>
      <c r="K135"/>
      <c r="L135"/>
      <c r="M135"/>
      <c r="N135"/>
    </row>
    <row r="136" spans="1:14" x14ac:dyDescent="0.3">
      <c r="A136" s="102" t="s">
        <v>675</v>
      </c>
      <c r="B136" s="102" t="s">
        <v>2067</v>
      </c>
      <c r="C136" s="107" t="s">
        <v>54</v>
      </c>
      <c r="D136" s="102">
        <v>6</v>
      </c>
      <c r="E136" s="111">
        <v>143169.95000000001</v>
      </c>
      <c r="F136" s="112">
        <v>21824.87</v>
      </c>
      <c r="G136" s="112">
        <v>214119.91</v>
      </c>
      <c r="H136" s="112">
        <v>1679050.63</v>
      </c>
      <c r="I136" s="113">
        <v>2058165.36</v>
      </c>
      <c r="J136"/>
      <c r="K136"/>
      <c r="L136"/>
      <c r="M136"/>
      <c r="N136"/>
    </row>
    <row r="137" spans="1:14" x14ac:dyDescent="0.3">
      <c r="A137" s="102" t="s">
        <v>676</v>
      </c>
      <c r="B137" s="102" t="s">
        <v>2068</v>
      </c>
      <c r="C137" s="107" t="s">
        <v>54</v>
      </c>
      <c r="D137" s="102">
        <v>6</v>
      </c>
      <c r="E137" s="111">
        <v>248327.32</v>
      </c>
      <c r="F137" s="112">
        <v>35409.449999999997</v>
      </c>
      <c r="G137" s="112">
        <v>392743.2</v>
      </c>
      <c r="H137" s="112">
        <v>3264641.87</v>
      </c>
      <c r="I137" s="113">
        <v>3941121.84</v>
      </c>
      <c r="J137"/>
      <c r="K137"/>
      <c r="L137"/>
      <c r="M137"/>
      <c r="N137"/>
    </row>
    <row r="138" spans="1:14" x14ac:dyDescent="0.3">
      <c r="A138" s="102" t="s">
        <v>677</v>
      </c>
      <c r="B138" s="102" t="s">
        <v>2069</v>
      </c>
      <c r="C138" s="107" t="s">
        <v>54</v>
      </c>
      <c r="D138" s="102">
        <v>6</v>
      </c>
      <c r="E138" s="111">
        <v>378734.86</v>
      </c>
      <c r="F138" s="112">
        <v>49529.35</v>
      </c>
      <c r="G138" s="112">
        <v>597708.94999999995</v>
      </c>
      <c r="H138" s="112">
        <v>4634739.42</v>
      </c>
      <c r="I138" s="113">
        <v>5660712.5800000001</v>
      </c>
      <c r="J138"/>
      <c r="K138"/>
      <c r="L138"/>
      <c r="M138"/>
      <c r="N138"/>
    </row>
    <row r="139" spans="1:14" x14ac:dyDescent="0.3">
      <c r="A139" s="102" t="s">
        <v>678</v>
      </c>
      <c r="B139" s="102" t="s">
        <v>2070</v>
      </c>
      <c r="C139" s="107" t="s">
        <v>54</v>
      </c>
      <c r="D139" s="102">
        <v>6</v>
      </c>
      <c r="E139" s="111">
        <v>720722.43</v>
      </c>
      <c r="F139" s="112">
        <v>82748.25</v>
      </c>
      <c r="G139" s="112">
        <v>1121964.21</v>
      </c>
      <c r="H139" s="112">
        <v>8917087.9900000002</v>
      </c>
      <c r="I139" s="113">
        <v>10842522.880000001</v>
      </c>
      <c r="J139"/>
      <c r="K139"/>
      <c r="L139"/>
      <c r="M139"/>
      <c r="N139"/>
    </row>
    <row r="140" spans="1:14" x14ac:dyDescent="0.3">
      <c r="A140" s="102" t="s">
        <v>679</v>
      </c>
      <c r="B140" s="102" t="s">
        <v>2071</v>
      </c>
      <c r="C140" s="107" t="s">
        <v>54</v>
      </c>
      <c r="D140" s="102">
        <v>6</v>
      </c>
      <c r="E140" s="111">
        <v>4082941.52</v>
      </c>
      <c r="F140" s="112">
        <v>198119.45</v>
      </c>
      <c r="G140" s="112">
        <v>3654761.35</v>
      </c>
      <c r="H140" s="112">
        <v>23251568.699999999</v>
      </c>
      <c r="I140" s="113">
        <v>31187391.02</v>
      </c>
      <c r="J140"/>
      <c r="K140"/>
      <c r="L140"/>
      <c r="M140"/>
      <c r="N140"/>
    </row>
    <row r="141" spans="1:14" x14ac:dyDescent="0.3">
      <c r="A141" s="102" t="s">
        <v>680</v>
      </c>
      <c r="B141" s="102" t="s">
        <v>2105</v>
      </c>
      <c r="C141" s="107" t="s">
        <v>54</v>
      </c>
      <c r="D141" s="102">
        <v>4</v>
      </c>
      <c r="E141" s="111">
        <v>0</v>
      </c>
      <c r="F141" s="112">
        <v>0</v>
      </c>
      <c r="G141" s="112">
        <v>0</v>
      </c>
      <c r="H141" s="112">
        <v>1275977.6000000001</v>
      </c>
      <c r="I141" s="113">
        <v>1275977.6000000001</v>
      </c>
      <c r="J141"/>
      <c r="K141"/>
      <c r="L141"/>
      <c r="M141"/>
      <c r="N141"/>
    </row>
    <row r="142" spans="1:14" x14ac:dyDescent="0.3">
      <c r="A142" s="102" t="s">
        <v>681</v>
      </c>
      <c r="B142" s="102" t="s">
        <v>2067</v>
      </c>
      <c r="C142" s="107" t="s">
        <v>54</v>
      </c>
      <c r="D142" s="102">
        <v>6</v>
      </c>
      <c r="E142" s="111">
        <v>0</v>
      </c>
      <c r="F142" s="112">
        <v>0</v>
      </c>
      <c r="G142" s="112">
        <v>0</v>
      </c>
      <c r="H142" s="112">
        <v>34089.75</v>
      </c>
      <c r="I142" s="113">
        <v>34089.75</v>
      </c>
      <c r="J142"/>
      <c r="K142"/>
      <c r="L142"/>
      <c r="M142"/>
      <c r="N142"/>
    </row>
    <row r="143" spans="1:14" x14ac:dyDescent="0.3">
      <c r="A143" s="102" t="s">
        <v>682</v>
      </c>
      <c r="B143" s="102" t="s">
        <v>2068</v>
      </c>
      <c r="C143" s="107" t="s">
        <v>54</v>
      </c>
      <c r="D143" s="102">
        <v>6</v>
      </c>
      <c r="E143" s="111">
        <v>0</v>
      </c>
      <c r="F143" s="112">
        <v>0</v>
      </c>
      <c r="G143" s="112">
        <v>0</v>
      </c>
      <c r="H143" s="112">
        <v>64124.28</v>
      </c>
      <c r="I143" s="113">
        <v>64124.28</v>
      </c>
      <c r="J143"/>
      <c r="K143"/>
      <c r="L143"/>
      <c r="M143"/>
      <c r="N143"/>
    </row>
    <row r="144" spans="1:14" x14ac:dyDescent="0.3">
      <c r="A144" s="102" t="s">
        <v>683</v>
      </c>
      <c r="B144" s="102" t="s">
        <v>2069</v>
      </c>
      <c r="C144" s="107" t="s">
        <v>54</v>
      </c>
      <c r="D144" s="102">
        <v>6</v>
      </c>
      <c r="E144" s="111">
        <v>0</v>
      </c>
      <c r="F144" s="112">
        <v>0</v>
      </c>
      <c r="G144" s="112">
        <v>0</v>
      </c>
      <c r="H144" s="112">
        <v>87856.98</v>
      </c>
      <c r="I144" s="113">
        <v>87856.98</v>
      </c>
      <c r="J144"/>
      <c r="K144"/>
      <c r="L144"/>
      <c r="M144"/>
      <c r="N144"/>
    </row>
    <row r="145" spans="1:14" x14ac:dyDescent="0.3">
      <c r="A145" s="102" t="s">
        <v>684</v>
      </c>
      <c r="B145" s="102" t="s">
        <v>2070</v>
      </c>
      <c r="C145" s="107" t="s">
        <v>54</v>
      </c>
      <c r="D145" s="102">
        <v>6</v>
      </c>
      <c r="E145" s="111">
        <v>0</v>
      </c>
      <c r="F145" s="112">
        <v>0</v>
      </c>
      <c r="G145" s="112">
        <v>0</v>
      </c>
      <c r="H145" s="112">
        <v>182140.79999999999</v>
      </c>
      <c r="I145" s="113">
        <v>182140.79999999999</v>
      </c>
      <c r="J145"/>
      <c r="K145"/>
      <c r="L145"/>
      <c r="M145"/>
      <c r="N145"/>
    </row>
    <row r="146" spans="1:14" x14ac:dyDescent="0.3">
      <c r="A146" s="102" t="s">
        <v>685</v>
      </c>
      <c r="B146" s="102" t="s">
        <v>2071</v>
      </c>
      <c r="C146" s="107" t="s">
        <v>54</v>
      </c>
      <c r="D146" s="102">
        <v>6</v>
      </c>
      <c r="E146" s="111">
        <v>0</v>
      </c>
      <c r="F146" s="112">
        <v>0</v>
      </c>
      <c r="G146" s="112">
        <v>0</v>
      </c>
      <c r="H146" s="112">
        <v>907765.79</v>
      </c>
      <c r="I146" s="113">
        <v>907765.79</v>
      </c>
      <c r="J146"/>
      <c r="K146"/>
      <c r="L146"/>
      <c r="M146"/>
      <c r="N146"/>
    </row>
    <row r="147" spans="1:14" x14ac:dyDescent="0.3">
      <c r="A147" s="102" t="s">
        <v>686</v>
      </c>
      <c r="B147" s="102" t="s">
        <v>2106</v>
      </c>
      <c r="C147" s="107" t="s">
        <v>54</v>
      </c>
      <c r="D147" s="102">
        <v>4</v>
      </c>
      <c r="E147" s="111">
        <v>0</v>
      </c>
      <c r="F147" s="112">
        <v>14474422.16</v>
      </c>
      <c r="G147" s="112">
        <v>0</v>
      </c>
      <c r="H147" s="112">
        <v>29647985.149999999</v>
      </c>
      <c r="I147" s="113">
        <v>44122407.310000002</v>
      </c>
      <c r="J147"/>
      <c r="K147"/>
      <c r="L147"/>
      <c r="M147"/>
      <c r="N147"/>
    </row>
    <row r="148" spans="1:14" x14ac:dyDescent="0.3">
      <c r="A148" s="102" t="s">
        <v>687</v>
      </c>
      <c r="B148" s="102" t="s">
        <v>2067</v>
      </c>
      <c r="C148" s="107" t="s">
        <v>54</v>
      </c>
      <c r="D148" s="102">
        <v>6</v>
      </c>
      <c r="E148" s="111">
        <v>0</v>
      </c>
      <c r="F148" s="112">
        <v>318521.84999999998</v>
      </c>
      <c r="G148" s="112">
        <v>0</v>
      </c>
      <c r="H148" s="112">
        <v>579261.41</v>
      </c>
      <c r="I148" s="113">
        <v>897783.26</v>
      </c>
      <c r="J148"/>
      <c r="K148"/>
      <c r="L148"/>
      <c r="M148"/>
      <c r="N148"/>
    </row>
    <row r="149" spans="1:14" x14ac:dyDescent="0.3">
      <c r="A149" s="102" t="s">
        <v>688</v>
      </c>
      <c r="B149" s="102" t="s">
        <v>2068</v>
      </c>
      <c r="C149" s="107" t="s">
        <v>54</v>
      </c>
      <c r="D149" s="102">
        <v>6</v>
      </c>
      <c r="E149" s="111">
        <v>0</v>
      </c>
      <c r="F149" s="112">
        <v>588993.89</v>
      </c>
      <c r="G149" s="112">
        <v>0</v>
      </c>
      <c r="H149" s="112">
        <v>1149907.22</v>
      </c>
      <c r="I149" s="113">
        <v>1738901.11</v>
      </c>
      <c r="J149"/>
      <c r="K149"/>
      <c r="L149"/>
      <c r="M149"/>
      <c r="N149"/>
    </row>
    <row r="150" spans="1:14" x14ac:dyDescent="0.3">
      <c r="A150" s="102" t="s">
        <v>689</v>
      </c>
      <c r="B150" s="102" t="s">
        <v>2069</v>
      </c>
      <c r="C150" s="107" t="s">
        <v>54</v>
      </c>
      <c r="D150" s="102">
        <v>6</v>
      </c>
      <c r="E150" s="111">
        <v>0</v>
      </c>
      <c r="F150" s="112">
        <v>913057.43</v>
      </c>
      <c r="G150" s="112">
        <v>0</v>
      </c>
      <c r="H150" s="112">
        <v>1773007.74</v>
      </c>
      <c r="I150" s="113">
        <v>2686065.17</v>
      </c>
      <c r="J150"/>
      <c r="K150"/>
      <c r="L150"/>
      <c r="M150"/>
      <c r="N150"/>
    </row>
    <row r="151" spans="1:14" x14ac:dyDescent="0.3">
      <c r="A151" s="102" t="s">
        <v>690</v>
      </c>
      <c r="B151" s="102" t="s">
        <v>2070</v>
      </c>
      <c r="C151" s="107" t="s">
        <v>54</v>
      </c>
      <c r="D151" s="102">
        <v>6</v>
      </c>
      <c r="E151" s="111">
        <v>0</v>
      </c>
      <c r="F151" s="112">
        <v>1848013.06</v>
      </c>
      <c r="G151" s="112">
        <v>0</v>
      </c>
      <c r="H151" s="112">
        <v>3571524.54</v>
      </c>
      <c r="I151" s="113">
        <v>5419537.5999999996</v>
      </c>
      <c r="J151"/>
      <c r="K151"/>
      <c r="L151"/>
      <c r="M151"/>
      <c r="N151"/>
    </row>
    <row r="152" spans="1:14" x14ac:dyDescent="0.3">
      <c r="A152" s="102" t="s">
        <v>691</v>
      </c>
      <c r="B152" s="102" t="s">
        <v>2071</v>
      </c>
      <c r="C152" s="107" t="s">
        <v>54</v>
      </c>
      <c r="D152" s="102">
        <v>6</v>
      </c>
      <c r="E152" s="111">
        <v>0</v>
      </c>
      <c r="F152" s="112">
        <v>10805835.93</v>
      </c>
      <c r="G152" s="112">
        <v>0</v>
      </c>
      <c r="H152" s="112">
        <v>22574284.239999998</v>
      </c>
      <c r="I152" s="113">
        <v>33380120.170000002</v>
      </c>
      <c r="J152"/>
      <c r="K152"/>
      <c r="L152"/>
      <c r="M152"/>
      <c r="N152"/>
    </row>
    <row r="153" spans="1:14" x14ac:dyDescent="0.3">
      <c r="A153" s="102" t="s">
        <v>692</v>
      </c>
      <c r="B153" s="102" t="s">
        <v>2107</v>
      </c>
      <c r="C153" s="107" t="s">
        <v>54</v>
      </c>
      <c r="D153" s="102">
        <v>4</v>
      </c>
      <c r="E153" s="111">
        <v>0</v>
      </c>
      <c r="F153" s="112">
        <v>0</v>
      </c>
      <c r="G153" s="112">
        <v>0</v>
      </c>
      <c r="H153" s="112">
        <v>10070865.57</v>
      </c>
      <c r="I153" s="113">
        <v>10070865.57</v>
      </c>
      <c r="J153"/>
      <c r="K153"/>
      <c r="L153"/>
      <c r="M153"/>
      <c r="N153"/>
    </row>
    <row r="154" spans="1:14" x14ac:dyDescent="0.3">
      <c r="A154" s="102" t="s">
        <v>693</v>
      </c>
      <c r="B154" s="102" t="s">
        <v>2067</v>
      </c>
      <c r="C154" s="107" t="s">
        <v>54</v>
      </c>
      <c r="D154" s="102">
        <v>6</v>
      </c>
      <c r="E154" s="111">
        <v>0</v>
      </c>
      <c r="F154" s="112">
        <v>0</v>
      </c>
      <c r="G154" s="112">
        <v>0</v>
      </c>
      <c r="H154" s="112">
        <v>54968.89</v>
      </c>
      <c r="I154" s="113">
        <v>54968.89</v>
      </c>
      <c r="J154"/>
      <c r="K154"/>
      <c r="L154"/>
      <c r="M154"/>
      <c r="N154"/>
    </row>
    <row r="155" spans="1:14" x14ac:dyDescent="0.3">
      <c r="A155" s="102" t="s">
        <v>694</v>
      </c>
      <c r="B155" s="102" t="s">
        <v>2068</v>
      </c>
      <c r="C155" s="107" t="s">
        <v>54</v>
      </c>
      <c r="D155" s="102">
        <v>6</v>
      </c>
      <c r="E155" s="111">
        <v>0</v>
      </c>
      <c r="F155" s="112">
        <v>0</v>
      </c>
      <c r="G155" s="112">
        <v>0</v>
      </c>
      <c r="H155" s="112">
        <v>92441.43</v>
      </c>
      <c r="I155" s="113">
        <v>92441.43</v>
      </c>
      <c r="J155"/>
      <c r="K155"/>
      <c r="L155"/>
      <c r="M155"/>
      <c r="N155"/>
    </row>
    <row r="156" spans="1:14" x14ac:dyDescent="0.3">
      <c r="A156" s="102" t="s">
        <v>695</v>
      </c>
      <c r="B156" s="102" t="s">
        <v>2069</v>
      </c>
      <c r="C156" s="107" t="s">
        <v>54</v>
      </c>
      <c r="D156" s="102">
        <v>6</v>
      </c>
      <c r="E156" s="111">
        <v>0</v>
      </c>
      <c r="F156" s="112">
        <v>0</v>
      </c>
      <c r="G156" s="112">
        <v>0</v>
      </c>
      <c r="H156" s="112">
        <v>145100.99</v>
      </c>
      <c r="I156" s="113">
        <v>145100.99</v>
      </c>
      <c r="J156"/>
      <c r="K156"/>
      <c r="L156"/>
      <c r="M156"/>
      <c r="N156"/>
    </row>
    <row r="157" spans="1:14" x14ac:dyDescent="0.3">
      <c r="A157" s="102" t="s">
        <v>696</v>
      </c>
      <c r="B157" s="102" t="s">
        <v>2070</v>
      </c>
      <c r="C157" s="107" t="s">
        <v>54</v>
      </c>
      <c r="D157" s="102">
        <v>6</v>
      </c>
      <c r="E157" s="111">
        <v>0</v>
      </c>
      <c r="F157" s="112">
        <v>0</v>
      </c>
      <c r="G157" s="112">
        <v>0</v>
      </c>
      <c r="H157" s="112">
        <v>277713.93</v>
      </c>
      <c r="I157" s="113">
        <v>277713.93</v>
      </c>
      <c r="J157"/>
      <c r="K157"/>
      <c r="L157"/>
      <c r="M157"/>
      <c r="N157"/>
    </row>
    <row r="158" spans="1:14" x14ac:dyDescent="0.3">
      <c r="A158" s="102" t="s">
        <v>697</v>
      </c>
      <c r="B158" s="102" t="s">
        <v>2071</v>
      </c>
      <c r="C158" s="107" t="s">
        <v>54</v>
      </c>
      <c r="D158" s="102">
        <v>6</v>
      </c>
      <c r="E158" s="111">
        <v>0</v>
      </c>
      <c r="F158" s="112">
        <v>0</v>
      </c>
      <c r="G158" s="112">
        <v>0</v>
      </c>
      <c r="H158" s="112">
        <v>9500640.3300000001</v>
      </c>
      <c r="I158" s="113">
        <v>9500640.3300000001</v>
      </c>
      <c r="J158"/>
      <c r="K158"/>
      <c r="L158"/>
      <c r="M158"/>
      <c r="N158"/>
    </row>
    <row r="159" spans="1:14" x14ac:dyDescent="0.3">
      <c r="A159" s="102" t="s">
        <v>698</v>
      </c>
      <c r="B159" s="102" t="s">
        <v>2108</v>
      </c>
      <c r="C159" s="107" t="s">
        <v>54</v>
      </c>
      <c r="D159" s="102">
        <v>4</v>
      </c>
      <c r="E159" s="111">
        <v>0</v>
      </c>
      <c r="F159" s="112">
        <v>0</v>
      </c>
      <c r="G159" s="112">
        <v>0</v>
      </c>
      <c r="H159" s="112">
        <v>14873.01</v>
      </c>
      <c r="I159" s="113">
        <v>14873.01</v>
      </c>
      <c r="J159"/>
      <c r="K159"/>
      <c r="L159"/>
      <c r="M159"/>
      <c r="N159"/>
    </row>
    <row r="160" spans="1:14" x14ac:dyDescent="0.3">
      <c r="A160" s="102" t="s">
        <v>699</v>
      </c>
      <c r="B160" s="102" t="s">
        <v>2067</v>
      </c>
      <c r="C160" s="107" t="s">
        <v>54</v>
      </c>
      <c r="D160" s="102">
        <v>6</v>
      </c>
      <c r="E160" s="111">
        <v>0</v>
      </c>
      <c r="F160" s="112">
        <v>0</v>
      </c>
      <c r="G160" s="112">
        <v>0</v>
      </c>
      <c r="H160" s="112">
        <v>1753.42</v>
      </c>
      <c r="I160" s="113">
        <v>1753.42</v>
      </c>
      <c r="J160"/>
      <c r="K160"/>
      <c r="L160"/>
      <c r="M160"/>
      <c r="N160"/>
    </row>
    <row r="161" spans="1:14" x14ac:dyDescent="0.3">
      <c r="A161" s="102" t="s">
        <v>700</v>
      </c>
      <c r="B161" s="102" t="s">
        <v>2068</v>
      </c>
      <c r="C161" s="107" t="s">
        <v>54</v>
      </c>
      <c r="D161" s="102">
        <v>6</v>
      </c>
      <c r="E161" s="111">
        <v>0</v>
      </c>
      <c r="F161" s="112">
        <v>0</v>
      </c>
      <c r="G161" s="112">
        <v>0</v>
      </c>
      <c r="H161" s="112">
        <v>3557.33</v>
      </c>
      <c r="I161" s="113">
        <v>3557.33</v>
      </c>
      <c r="J161"/>
      <c r="K161"/>
      <c r="L161"/>
      <c r="M161"/>
      <c r="N161"/>
    </row>
    <row r="162" spans="1:14" x14ac:dyDescent="0.3">
      <c r="A162" s="102" t="s">
        <v>701</v>
      </c>
      <c r="B162" s="102" t="s">
        <v>2069</v>
      </c>
      <c r="C162" s="107" t="s">
        <v>54</v>
      </c>
      <c r="D162" s="102">
        <v>6</v>
      </c>
      <c r="E162" s="111">
        <v>0</v>
      </c>
      <c r="F162" s="112">
        <v>0</v>
      </c>
      <c r="G162" s="112">
        <v>0</v>
      </c>
      <c r="H162" s="112">
        <v>3504.06</v>
      </c>
      <c r="I162" s="113">
        <v>3504.06</v>
      </c>
      <c r="J162"/>
      <c r="K162"/>
      <c r="L162"/>
      <c r="M162"/>
      <c r="N162"/>
    </row>
    <row r="163" spans="1:14" x14ac:dyDescent="0.3">
      <c r="A163" s="102" t="s">
        <v>702</v>
      </c>
      <c r="B163" s="102" t="s">
        <v>2070</v>
      </c>
      <c r="C163" s="107" t="s">
        <v>54</v>
      </c>
      <c r="D163" s="102">
        <v>6</v>
      </c>
      <c r="E163" s="111">
        <v>0</v>
      </c>
      <c r="F163" s="112">
        <v>0</v>
      </c>
      <c r="G163" s="112">
        <v>0</v>
      </c>
      <c r="H163" s="112">
        <v>6058.2</v>
      </c>
      <c r="I163" s="113">
        <v>6058.2</v>
      </c>
      <c r="J163"/>
      <c r="K163"/>
      <c r="L163"/>
      <c r="M163"/>
      <c r="N163"/>
    </row>
    <row r="164" spans="1:14" x14ac:dyDescent="0.3">
      <c r="A164" s="102" t="s">
        <v>703</v>
      </c>
      <c r="B164" s="102" t="s">
        <v>2071</v>
      </c>
      <c r="C164" s="107" t="s">
        <v>54</v>
      </c>
      <c r="D164" s="102">
        <v>6</v>
      </c>
      <c r="E164" s="111">
        <v>0</v>
      </c>
      <c r="F164" s="112">
        <v>0</v>
      </c>
      <c r="G164" s="112">
        <v>0</v>
      </c>
      <c r="H164" s="112">
        <v>0</v>
      </c>
      <c r="I164" s="113">
        <v>0</v>
      </c>
      <c r="J164"/>
      <c r="K164"/>
      <c r="L164"/>
      <c r="M164"/>
      <c r="N164"/>
    </row>
    <row r="165" spans="1:14" x14ac:dyDescent="0.3">
      <c r="A165" s="102" t="s">
        <v>704</v>
      </c>
      <c r="B165" s="102" t="s">
        <v>2109</v>
      </c>
      <c r="C165" s="107" t="s">
        <v>54</v>
      </c>
      <c r="D165" s="102">
        <v>4</v>
      </c>
      <c r="E165" s="111">
        <v>668839.94999999995</v>
      </c>
      <c r="F165" s="112">
        <v>0</v>
      </c>
      <c r="G165" s="112">
        <v>13183.34</v>
      </c>
      <c r="H165" s="112">
        <v>220299.8</v>
      </c>
      <c r="I165" s="113">
        <v>902323.09</v>
      </c>
      <c r="J165"/>
      <c r="K165"/>
      <c r="L165"/>
      <c r="M165"/>
      <c r="N165"/>
    </row>
    <row r="166" spans="1:14" x14ac:dyDescent="0.3">
      <c r="A166" s="102" t="s">
        <v>705</v>
      </c>
      <c r="B166" s="102" t="s">
        <v>2067</v>
      </c>
      <c r="C166" s="107" t="s">
        <v>54</v>
      </c>
      <c r="D166" s="102">
        <v>6</v>
      </c>
      <c r="E166" s="111">
        <v>10072.43</v>
      </c>
      <c r="F166" s="112">
        <v>0</v>
      </c>
      <c r="G166" s="112">
        <v>156.71</v>
      </c>
      <c r="H166" s="112">
        <v>27161.439999999999</v>
      </c>
      <c r="I166" s="113">
        <v>37390.58</v>
      </c>
      <c r="J166"/>
      <c r="K166"/>
      <c r="L166"/>
      <c r="M166"/>
      <c r="N166"/>
    </row>
    <row r="167" spans="1:14" x14ac:dyDescent="0.3">
      <c r="A167" s="102" t="s">
        <v>706</v>
      </c>
      <c r="B167" s="102" t="s">
        <v>2068</v>
      </c>
      <c r="C167" s="107" t="s">
        <v>54</v>
      </c>
      <c r="D167" s="102">
        <v>6</v>
      </c>
      <c r="E167" s="111">
        <v>13766.07</v>
      </c>
      <c r="F167" s="112">
        <v>0</v>
      </c>
      <c r="G167" s="112">
        <v>319.68</v>
      </c>
      <c r="H167" s="112">
        <v>24512.92</v>
      </c>
      <c r="I167" s="113">
        <v>38598.67</v>
      </c>
      <c r="J167"/>
      <c r="K167"/>
      <c r="L167"/>
      <c r="M167"/>
      <c r="N167"/>
    </row>
    <row r="168" spans="1:14" x14ac:dyDescent="0.3">
      <c r="A168" s="102" t="s">
        <v>707</v>
      </c>
      <c r="B168" s="102" t="s">
        <v>2069</v>
      </c>
      <c r="C168" s="107" t="s">
        <v>54</v>
      </c>
      <c r="D168" s="102">
        <v>6</v>
      </c>
      <c r="E168" s="111">
        <v>19459.45</v>
      </c>
      <c r="F168" s="112">
        <v>0</v>
      </c>
      <c r="G168" s="112">
        <v>495.57</v>
      </c>
      <c r="H168" s="112">
        <v>30061.37</v>
      </c>
      <c r="I168" s="113">
        <v>50016.39</v>
      </c>
      <c r="J168"/>
      <c r="K168"/>
      <c r="L168"/>
      <c r="M168"/>
      <c r="N168"/>
    </row>
    <row r="169" spans="1:14" x14ac:dyDescent="0.3">
      <c r="A169" s="102" t="s">
        <v>708</v>
      </c>
      <c r="B169" s="102" t="s">
        <v>2070</v>
      </c>
      <c r="C169" s="107" t="s">
        <v>54</v>
      </c>
      <c r="D169" s="102">
        <v>6</v>
      </c>
      <c r="E169" s="111">
        <v>39555.800000000003</v>
      </c>
      <c r="F169" s="112">
        <v>0</v>
      </c>
      <c r="G169" s="112">
        <v>1051.82</v>
      </c>
      <c r="H169" s="112">
        <v>49898.75</v>
      </c>
      <c r="I169" s="113">
        <v>90506.37</v>
      </c>
      <c r="J169"/>
      <c r="K169"/>
      <c r="L169"/>
      <c r="M169"/>
      <c r="N169"/>
    </row>
    <row r="170" spans="1:14" x14ac:dyDescent="0.3">
      <c r="A170" s="102" t="s">
        <v>709</v>
      </c>
      <c r="B170" s="102" t="s">
        <v>2071</v>
      </c>
      <c r="C170" s="107" t="s">
        <v>54</v>
      </c>
      <c r="D170" s="102">
        <v>6</v>
      </c>
      <c r="E170" s="111">
        <v>585986.19999999995</v>
      </c>
      <c r="F170" s="112">
        <v>0</v>
      </c>
      <c r="G170" s="112">
        <v>11159.56</v>
      </c>
      <c r="H170" s="112">
        <v>88665.32</v>
      </c>
      <c r="I170" s="113">
        <v>685811.08</v>
      </c>
      <c r="J170"/>
      <c r="K170"/>
      <c r="L170"/>
      <c r="M170"/>
      <c r="N170"/>
    </row>
    <row r="171" spans="1:14" x14ac:dyDescent="0.3">
      <c r="A171" s="102" t="s">
        <v>710</v>
      </c>
      <c r="B171" s="102" t="s">
        <v>2110</v>
      </c>
      <c r="C171" s="107" t="s">
        <v>54</v>
      </c>
      <c r="D171" s="102">
        <v>4</v>
      </c>
      <c r="E171" s="111">
        <v>426386.59</v>
      </c>
      <c r="F171" s="112">
        <v>0</v>
      </c>
      <c r="G171" s="112">
        <v>23835.27</v>
      </c>
      <c r="H171" s="112">
        <v>0</v>
      </c>
      <c r="I171" s="113">
        <v>450221.86</v>
      </c>
      <c r="J171"/>
      <c r="K171"/>
      <c r="L171"/>
      <c r="M171"/>
      <c r="N171"/>
    </row>
    <row r="172" spans="1:14" x14ac:dyDescent="0.3">
      <c r="A172" s="102" t="s">
        <v>711</v>
      </c>
      <c r="B172" s="102" t="s">
        <v>2067</v>
      </c>
      <c r="C172" s="107" t="s">
        <v>54</v>
      </c>
      <c r="D172" s="102">
        <v>6</v>
      </c>
      <c r="E172" s="111">
        <v>4946.6499999999996</v>
      </c>
      <c r="F172" s="112">
        <v>0</v>
      </c>
      <c r="G172" s="112">
        <v>63.5</v>
      </c>
      <c r="H172" s="112">
        <v>0</v>
      </c>
      <c r="I172" s="113">
        <v>5010.1499999999996</v>
      </c>
      <c r="J172"/>
      <c r="K172"/>
      <c r="L172"/>
      <c r="M172"/>
      <c r="N172"/>
    </row>
    <row r="173" spans="1:14" x14ac:dyDescent="0.3">
      <c r="A173" s="102" t="s">
        <v>712</v>
      </c>
      <c r="B173" s="102" t="s">
        <v>2068</v>
      </c>
      <c r="C173" s="107" t="s">
        <v>54</v>
      </c>
      <c r="D173" s="102">
        <v>6</v>
      </c>
      <c r="E173" s="111">
        <v>7413.34</v>
      </c>
      <c r="F173" s="112">
        <v>0</v>
      </c>
      <c r="G173" s="112">
        <v>128.68</v>
      </c>
      <c r="H173" s="112">
        <v>0</v>
      </c>
      <c r="I173" s="113">
        <v>7542.02</v>
      </c>
      <c r="J173"/>
      <c r="K173"/>
      <c r="L173"/>
      <c r="M173"/>
      <c r="N173"/>
    </row>
    <row r="174" spans="1:14" x14ac:dyDescent="0.3">
      <c r="A174" s="102" t="s">
        <v>713</v>
      </c>
      <c r="B174" s="102" t="s">
        <v>2069</v>
      </c>
      <c r="C174" s="107" t="s">
        <v>54</v>
      </c>
      <c r="D174" s="102">
        <v>6</v>
      </c>
      <c r="E174" s="111">
        <v>8891.0300000000007</v>
      </c>
      <c r="F174" s="112">
        <v>0</v>
      </c>
      <c r="G174" s="112">
        <v>197.26</v>
      </c>
      <c r="H174" s="112">
        <v>0</v>
      </c>
      <c r="I174" s="113">
        <v>9088.2900000000009</v>
      </c>
      <c r="J174"/>
      <c r="K174"/>
      <c r="L174"/>
      <c r="M174"/>
      <c r="N174"/>
    </row>
    <row r="175" spans="1:14" x14ac:dyDescent="0.3">
      <c r="A175" s="102" t="s">
        <v>714</v>
      </c>
      <c r="B175" s="102" t="s">
        <v>2070</v>
      </c>
      <c r="C175" s="107" t="s">
        <v>54</v>
      </c>
      <c r="D175" s="102">
        <v>6</v>
      </c>
      <c r="E175" s="111">
        <v>18978.919999999998</v>
      </c>
      <c r="F175" s="112">
        <v>0</v>
      </c>
      <c r="G175" s="112">
        <v>410.33</v>
      </c>
      <c r="H175" s="112">
        <v>0</v>
      </c>
      <c r="I175" s="113">
        <v>19389.25</v>
      </c>
      <c r="J175"/>
      <c r="K175"/>
      <c r="L175"/>
      <c r="M175"/>
      <c r="N175"/>
    </row>
    <row r="176" spans="1:14" x14ac:dyDescent="0.3">
      <c r="A176" s="102" t="s">
        <v>715</v>
      </c>
      <c r="B176" s="102" t="s">
        <v>2071</v>
      </c>
      <c r="C176" s="107" t="s">
        <v>54</v>
      </c>
      <c r="D176" s="102">
        <v>6</v>
      </c>
      <c r="E176" s="111">
        <v>386156.65</v>
      </c>
      <c r="F176" s="112">
        <v>0</v>
      </c>
      <c r="G176" s="112">
        <v>23035.5</v>
      </c>
      <c r="H176" s="112">
        <v>0</v>
      </c>
      <c r="I176" s="113">
        <v>409192.15</v>
      </c>
      <c r="J176"/>
      <c r="K176"/>
      <c r="L176"/>
      <c r="M176"/>
      <c r="N176"/>
    </row>
    <row r="177" spans="1:14" x14ac:dyDescent="0.3">
      <c r="A177" s="102" t="s">
        <v>716</v>
      </c>
      <c r="B177" s="102" t="s">
        <v>2111</v>
      </c>
      <c r="C177" s="107" t="s">
        <v>54</v>
      </c>
      <c r="D177" s="102">
        <v>4</v>
      </c>
      <c r="E177" s="111">
        <v>1008054.42</v>
      </c>
      <c r="F177" s="112">
        <v>0</v>
      </c>
      <c r="G177" s="112">
        <v>11700.26</v>
      </c>
      <c r="H177" s="112">
        <v>3418.28</v>
      </c>
      <c r="I177" s="113">
        <v>1023172.96</v>
      </c>
      <c r="J177"/>
      <c r="K177"/>
      <c r="L177"/>
      <c r="M177"/>
      <c r="N177"/>
    </row>
    <row r="178" spans="1:14" x14ac:dyDescent="0.3">
      <c r="A178" s="102" t="s">
        <v>717</v>
      </c>
      <c r="B178" s="102" t="s">
        <v>2067</v>
      </c>
      <c r="C178" s="107" t="s">
        <v>54</v>
      </c>
      <c r="D178" s="102">
        <v>6</v>
      </c>
      <c r="E178" s="111">
        <v>17658.900000000001</v>
      </c>
      <c r="F178" s="112">
        <v>0</v>
      </c>
      <c r="G178" s="112">
        <v>254.77</v>
      </c>
      <c r="H178" s="112">
        <v>355.34</v>
      </c>
      <c r="I178" s="113">
        <v>18269.009999999998</v>
      </c>
      <c r="J178"/>
      <c r="K178"/>
      <c r="L178"/>
      <c r="M178"/>
      <c r="N178"/>
    </row>
    <row r="179" spans="1:14" x14ac:dyDescent="0.3">
      <c r="A179" s="102" t="s">
        <v>718</v>
      </c>
      <c r="B179" s="102" t="s">
        <v>2068</v>
      </c>
      <c r="C179" s="107" t="s">
        <v>54</v>
      </c>
      <c r="D179" s="102">
        <v>6</v>
      </c>
      <c r="E179" s="111">
        <v>23699.77</v>
      </c>
      <c r="F179" s="112">
        <v>0</v>
      </c>
      <c r="G179" s="112">
        <v>522.98</v>
      </c>
      <c r="H179" s="112">
        <v>548.76</v>
      </c>
      <c r="I179" s="113">
        <v>24771.51</v>
      </c>
      <c r="J179"/>
      <c r="K179"/>
      <c r="L179"/>
      <c r="M179"/>
      <c r="N179"/>
    </row>
    <row r="180" spans="1:14" x14ac:dyDescent="0.3">
      <c r="A180" s="102" t="s">
        <v>719</v>
      </c>
      <c r="B180" s="102" t="s">
        <v>2069</v>
      </c>
      <c r="C180" s="107" t="s">
        <v>54</v>
      </c>
      <c r="D180" s="102">
        <v>6</v>
      </c>
      <c r="E180" s="111">
        <v>36182.339999999997</v>
      </c>
      <c r="F180" s="112">
        <v>0</v>
      </c>
      <c r="G180" s="112">
        <v>819.3</v>
      </c>
      <c r="H180" s="112">
        <v>845.52</v>
      </c>
      <c r="I180" s="113">
        <v>37847.160000000003</v>
      </c>
      <c r="J180"/>
      <c r="K180"/>
      <c r="L180"/>
      <c r="M180"/>
      <c r="N180"/>
    </row>
    <row r="181" spans="1:14" x14ac:dyDescent="0.3">
      <c r="A181" s="102" t="s">
        <v>720</v>
      </c>
      <c r="B181" s="102" t="s">
        <v>2070</v>
      </c>
      <c r="C181" s="107" t="s">
        <v>54</v>
      </c>
      <c r="D181" s="102">
        <v>6</v>
      </c>
      <c r="E181" s="111">
        <v>71430.7</v>
      </c>
      <c r="F181" s="112">
        <v>0</v>
      </c>
      <c r="G181" s="112">
        <v>1772.25</v>
      </c>
      <c r="H181" s="112">
        <v>1668.66</v>
      </c>
      <c r="I181" s="113">
        <v>74871.61</v>
      </c>
      <c r="J181"/>
      <c r="K181"/>
      <c r="L181"/>
      <c r="M181"/>
      <c r="N181"/>
    </row>
    <row r="182" spans="1:14" x14ac:dyDescent="0.3">
      <c r="A182" s="102" t="s">
        <v>721</v>
      </c>
      <c r="B182" s="102" t="s">
        <v>2071</v>
      </c>
      <c r="C182" s="107" t="s">
        <v>54</v>
      </c>
      <c r="D182" s="102">
        <v>6</v>
      </c>
      <c r="E182" s="111">
        <v>859082.71</v>
      </c>
      <c r="F182" s="112">
        <v>0</v>
      </c>
      <c r="G182" s="112">
        <v>8330.9599999999991</v>
      </c>
      <c r="H182" s="112">
        <v>0</v>
      </c>
      <c r="I182" s="113">
        <v>867413.67</v>
      </c>
      <c r="J182"/>
      <c r="K182"/>
      <c r="L182"/>
      <c r="M182"/>
      <c r="N182"/>
    </row>
    <row r="183" spans="1:14" x14ac:dyDescent="0.3">
      <c r="A183" s="102" t="s">
        <v>722</v>
      </c>
      <c r="B183" s="102" t="s">
        <v>2112</v>
      </c>
      <c r="C183" s="107" t="s">
        <v>54</v>
      </c>
      <c r="D183" s="102">
        <v>4</v>
      </c>
      <c r="E183" s="111">
        <v>0</v>
      </c>
      <c r="F183" s="112">
        <v>0</v>
      </c>
      <c r="G183" s="112">
        <v>0</v>
      </c>
      <c r="H183" s="112">
        <v>0</v>
      </c>
      <c r="I183" s="113">
        <v>0</v>
      </c>
      <c r="J183"/>
      <c r="K183"/>
      <c r="L183"/>
      <c r="M183"/>
      <c r="N183"/>
    </row>
    <row r="184" spans="1:14" x14ac:dyDescent="0.3">
      <c r="A184" s="102" t="s">
        <v>723</v>
      </c>
      <c r="B184" s="102" t="s">
        <v>2067</v>
      </c>
      <c r="C184" s="107" t="s">
        <v>54</v>
      </c>
      <c r="D184" s="102">
        <v>6</v>
      </c>
      <c r="E184" s="111">
        <v>0</v>
      </c>
      <c r="F184" s="112">
        <v>0</v>
      </c>
      <c r="G184" s="112">
        <v>0</v>
      </c>
      <c r="H184" s="112">
        <v>0</v>
      </c>
      <c r="I184" s="113">
        <v>0</v>
      </c>
      <c r="J184"/>
      <c r="K184"/>
      <c r="L184"/>
      <c r="M184"/>
      <c r="N184"/>
    </row>
    <row r="185" spans="1:14" x14ac:dyDescent="0.3">
      <c r="A185" s="102" t="s">
        <v>724</v>
      </c>
      <c r="B185" s="102" t="s">
        <v>2068</v>
      </c>
      <c r="C185" s="107" t="s">
        <v>54</v>
      </c>
      <c r="D185" s="102">
        <v>6</v>
      </c>
      <c r="E185" s="111">
        <v>0</v>
      </c>
      <c r="F185" s="112">
        <v>0</v>
      </c>
      <c r="G185" s="112">
        <v>0</v>
      </c>
      <c r="H185" s="112">
        <v>0</v>
      </c>
      <c r="I185" s="113">
        <v>0</v>
      </c>
      <c r="J185"/>
      <c r="K185"/>
      <c r="L185"/>
      <c r="M185"/>
      <c r="N185"/>
    </row>
    <row r="186" spans="1:14" x14ac:dyDescent="0.3">
      <c r="A186" s="102" t="s">
        <v>725</v>
      </c>
      <c r="B186" s="102" t="s">
        <v>2069</v>
      </c>
      <c r="C186" s="107" t="s">
        <v>54</v>
      </c>
      <c r="D186" s="102">
        <v>6</v>
      </c>
      <c r="E186" s="111">
        <v>0</v>
      </c>
      <c r="F186" s="112">
        <v>0</v>
      </c>
      <c r="G186" s="112">
        <v>0</v>
      </c>
      <c r="H186" s="112">
        <v>0</v>
      </c>
      <c r="I186" s="113">
        <v>0</v>
      </c>
      <c r="J186"/>
      <c r="K186"/>
      <c r="L186"/>
      <c r="M186"/>
      <c r="N186"/>
    </row>
    <row r="187" spans="1:14" x14ac:dyDescent="0.3">
      <c r="A187" s="102" t="s">
        <v>726</v>
      </c>
      <c r="B187" s="102" t="s">
        <v>2070</v>
      </c>
      <c r="C187" s="107" t="s">
        <v>54</v>
      </c>
      <c r="D187" s="102">
        <v>6</v>
      </c>
      <c r="E187" s="111">
        <v>0</v>
      </c>
      <c r="F187" s="112">
        <v>0</v>
      </c>
      <c r="G187" s="112">
        <v>0</v>
      </c>
      <c r="H187" s="112">
        <v>0</v>
      </c>
      <c r="I187" s="113">
        <v>0</v>
      </c>
      <c r="J187"/>
      <c r="K187"/>
      <c r="L187"/>
      <c r="M187"/>
      <c r="N187"/>
    </row>
    <row r="188" spans="1:14" x14ac:dyDescent="0.3">
      <c r="A188" s="102" t="s">
        <v>727</v>
      </c>
      <c r="B188" s="102" t="s">
        <v>2071</v>
      </c>
      <c r="C188" s="107" t="s">
        <v>54</v>
      </c>
      <c r="D188" s="102">
        <v>6</v>
      </c>
      <c r="E188" s="111">
        <v>0</v>
      </c>
      <c r="F188" s="112">
        <v>0</v>
      </c>
      <c r="G188" s="112">
        <v>0</v>
      </c>
      <c r="H188" s="112">
        <v>0</v>
      </c>
      <c r="I188" s="113">
        <v>0</v>
      </c>
      <c r="J188"/>
      <c r="K188"/>
      <c r="L188"/>
      <c r="M188"/>
      <c r="N188"/>
    </row>
    <row r="189" spans="1:14" x14ac:dyDescent="0.3">
      <c r="A189" s="102" t="s">
        <v>728</v>
      </c>
      <c r="B189" s="102" t="s">
        <v>2113</v>
      </c>
      <c r="C189" s="107" t="s">
        <v>54</v>
      </c>
      <c r="D189" s="102">
        <v>4</v>
      </c>
      <c r="E189" s="111">
        <v>0</v>
      </c>
      <c r="F189" s="112">
        <v>0</v>
      </c>
      <c r="G189" s="112">
        <v>0</v>
      </c>
      <c r="H189" s="112">
        <v>18237.54</v>
      </c>
      <c r="I189" s="113">
        <v>18237.54</v>
      </c>
      <c r="J189"/>
      <c r="K189"/>
      <c r="L189"/>
      <c r="M189"/>
      <c r="N189"/>
    </row>
    <row r="190" spans="1:14" x14ac:dyDescent="0.3">
      <c r="A190" s="102" t="s">
        <v>729</v>
      </c>
      <c r="B190" s="102" t="s">
        <v>2067</v>
      </c>
      <c r="C190" s="107" t="s">
        <v>54</v>
      </c>
      <c r="D190" s="102">
        <v>6</v>
      </c>
      <c r="E190" s="111">
        <v>0</v>
      </c>
      <c r="F190" s="112">
        <v>0</v>
      </c>
      <c r="G190" s="112">
        <v>0</v>
      </c>
      <c r="H190" s="112">
        <v>568.25</v>
      </c>
      <c r="I190" s="113">
        <v>568.25</v>
      </c>
      <c r="J190"/>
      <c r="K190"/>
      <c r="L190"/>
      <c r="M190"/>
      <c r="N190"/>
    </row>
    <row r="191" spans="1:14" x14ac:dyDescent="0.3">
      <c r="A191" s="102" t="s">
        <v>730</v>
      </c>
      <c r="B191" s="102" t="s">
        <v>2068</v>
      </c>
      <c r="C191" s="107" t="s">
        <v>54</v>
      </c>
      <c r="D191" s="102">
        <v>6</v>
      </c>
      <c r="E191" s="111">
        <v>0</v>
      </c>
      <c r="F191" s="112">
        <v>0</v>
      </c>
      <c r="G191" s="112">
        <v>0</v>
      </c>
      <c r="H191" s="112">
        <v>1152.31</v>
      </c>
      <c r="I191" s="113">
        <v>1152.31</v>
      </c>
      <c r="J191"/>
      <c r="K191"/>
      <c r="L191"/>
      <c r="M191"/>
      <c r="N191"/>
    </row>
    <row r="192" spans="1:14" x14ac:dyDescent="0.3">
      <c r="A192" s="102" t="s">
        <v>731</v>
      </c>
      <c r="B192" s="102" t="s">
        <v>2069</v>
      </c>
      <c r="C192" s="107" t="s">
        <v>54</v>
      </c>
      <c r="D192" s="102">
        <v>6</v>
      </c>
      <c r="E192" s="111">
        <v>0</v>
      </c>
      <c r="F192" s="112">
        <v>0</v>
      </c>
      <c r="G192" s="112">
        <v>0</v>
      </c>
      <c r="H192" s="112">
        <v>1790.72</v>
      </c>
      <c r="I192" s="113">
        <v>1790.72</v>
      </c>
      <c r="J192"/>
      <c r="K192"/>
      <c r="L192"/>
      <c r="M192"/>
      <c r="N192"/>
    </row>
    <row r="193" spans="1:14" x14ac:dyDescent="0.3">
      <c r="A193" s="102" t="s">
        <v>732</v>
      </c>
      <c r="B193" s="102" t="s">
        <v>2070</v>
      </c>
      <c r="C193" s="107" t="s">
        <v>54</v>
      </c>
      <c r="D193" s="102">
        <v>6</v>
      </c>
      <c r="E193" s="111">
        <v>0</v>
      </c>
      <c r="F193" s="112">
        <v>0</v>
      </c>
      <c r="G193" s="112">
        <v>0</v>
      </c>
      <c r="H193" s="112">
        <v>3800.43</v>
      </c>
      <c r="I193" s="113">
        <v>3800.43</v>
      </c>
      <c r="J193"/>
      <c r="K193"/>
      <c r="L193"/>
      <c r="M193"/>
      <c r="N193"/>
    </row>
    <row r="194" spans="1:14" x14ac:dyDescent="0.3">
      <c r="A194" s="102" t="s">
        <v>733</v>
      </c>
      <c r="B194" s="102" t="s">
        <v>2071</v>
      </c>
      <c r="C194" s="107" t="s">
        <v>54</v>
      </c>
      <c r="D194" s="102">
        <v>6</v>
      </c>
      <c r="E194" s="111">
        <v>0</v>
      </c>
      <c r="F194" s="112">
        <v>0</v>
      </c>
      <c r="G194" s="112">
        <v>0</v>
      </c>
      <c r="H194" s="112">
        <v>10925.83</v>
      </c>
      <c r="I194" s="113">
        <v>10925.83</v>
      </c>
      <c r="J194"/>
      <c r="K194"/>
      <c r="L194"/>
      <c r="M194"/>
      <c r="N194"/>
    </row>
    <row r="195" spans="1:14" x14ac:dyDescent="0.3">
      <c r="A195" s="102" t="s">
        <v>734</v>
      </c>
      <c r="B195" s="102" t="s">
        <v>2114</v>
      </c>
      <c r="C195" s="107" t="s">
        <v>54</v>
      </c>
      <c r="D195" s="102">
        <v>4</v>
      </c>
      <c r="E195" s="111">
        <v>0</v>
      </c>
      <c r="F195" s="112">
        <v>0</v>
      </c>
      <c r="G195" s="112">
        <v>0</v>
      </c>
      <c r="H195" s="112">
        <v>0</v>
      </c>
      <c r="I195" s="113">
        <v>0</v>
      </c>
      <c r="J195"/>
      <c r="K195"/>
      <c r="L195"/>
      <c r="M195"/>
      <c r="N195"/>
    </row>
    <row r="196" spans="1:14" x14ac:dyDescent="0.3">
      <c r="A196" s="102" t="s">
        <v>735</v>
      </c>
      <c r="B196" s="102" t="s">
        <v>2067</v>
      </c>
      <c r="C196" s="107" t="s">
        <v>54</v>
      </c>
      <c r="D196" s="102">
        <v>6</v>
      </c>
      <c r="E196" s="111">
        <v>0</v>
      </c>
      <c r="F196" s="112">
        <v>0</v>
      </c>
      <c r="G196" s="112">
        <v>0</v>
      </c>
      <c r="H196" s="112">
        <v>0</v>
      </c>
      <c r="I196" s="113">
        <v>0</v>
      </c>
      <c r="J196"/>
      <c r="K196"/>
      <c r="L196"/>
      <c r="M196"/>
      <c r="N196"/>
    </row>
    <row r="197" spans="1:14" x14ac:dyDescent="0.3">
      <c r="A197" s="102" t="s">
        <v>736</v>
      </c>
      <c r="B197" s="102" t="s">
        <v>2068</v>
      </c>
      <c r="C197" s="107" t="s">
        <v>54</v>
      </c>
      <c r="D197" s="102">
        <v>6</v>
      </c>
      <c r="E197" s="111">
        <v>0</v>
      </c>
      <c r="F197" s="112">
        <v>0</v>
      </c>
      <c r="G197" s="112">
        <v>0</v>
      </c>
      <c r="H197" s="112">
        <v>0</v>
      </c>
      <c r="I197" s="113">
        <v>0</v>
      </c>
      <c r="J197"/>
      <c r="K197"/>
      <c r="L197"/>
      <c r="M197"/>
      <c r="N197"/>
    </row>
    <row r="198" spans="1:14" x14ac:dyDescent="0.3">
      <c r="A198" s="102" t="s">
        <v>737</v>
      </c>
      <c r="B198" s="102" t="s">
        <v>2069</v>
      </c>
      <c r="C198" s="107" t="s">
        <v>54</v>
      </c>
      <c r="D198" s="102">
        <v>6</v>
      </c>
      <c r="E198" s="111">
        <v>0</v>
      </c>
      <c r="F198" s="112">
        <v>0</v>
      </c>
      <c r="G198" s="112">
        <v>0</v>
      </c>
      <c r="H198" s="112">
        <v>0</v>
      </c>
      <c r="I198" s="113">
        <v>0</v>
      </c>
      <c r="J198"/>
      <c r="K198"/>
      <c r="L198"/>
      <c r="M198"/>
      <c r="N198"/>
    </row>
    <row r="199" spans="1:14" x14ac:dyDescent="0.3">
      <c r="A199" s="102" t="s">
        <v>738</v>
      </c>
      <c r="B199" s="102" t="s">
        <v>2070</v>
      </c>
      <c r="C199" s="107" t="s">
        <v>54</v>
      </c>
      <c r="D199" s="102">
        <v>6</v>
      </c>
      <c r="E199" s="111">
        <v>0</v>
      </c>
      <c r="F199" s="112">
        <v>0</v>
      </c>
      <c r="G199" s="112">
        <v>0</v>
      </c>
      <c r="H199" s="112">
        <v>0</v>
      </c>
      <c r="I199" s="113">
        <v>0</v>
      </c>
      <c r="J199"/>
      <c r="K199"/>
      <c r="L199"/>
      <c r="M199"/>
      <c r="N199"/>
    </row>
    <row r="200" spans="1:14" x14ac:dyDescent="0.3">
      <c r="A200" s="102" t="s">
        <v>739</v>
      </c>
      <c r="B200" s="102" t="s">
        <v>2071</v>
      </c>
      <c r="C200" s="107" t="s">
        <v>54</v>
      </c>
      <c r="D200" s="102">
        <v>6</v>
      </c>
      <c r="E200" s="111">
        <v>0</v>
      </c>
      <c r="F200" s="112">
        <v>0</v>
      </c>
      <c r="G200" s="112">
        <v>0</v>
      </c>
      <c r="H200" s="112">
        <v>0</v>
      </c>
      <c r="I200" s="113">
        <v>0</v>
      </c>
      <c r="J200"/>
      <c r="K200"/>
      <c r="L200"/>
      <c r="M200"/>
      <c r="N200"/>
    </row>
    <row r="201" spans="1:14" x14ac:dyDescent="0.3">
      <c r="A201" s="102" t="s">
        <v>740</v>
      </c>
      <c r="B201" s="102" t="s">
        <v>2115</v>
      </c>
      <c r="C201" s="107" t="s">
        <v>54</v>
      </c>
      <c r="D201" s="102">
        <v>4</v>
      </c>
      <c r="E201" s="111">
        <v>0</v>
      </c>
      <c r="F201" s="112">
        <v>0</v>
      </c>
      <c r="G201" s="112">
        <v>0</v>
      </c>
      <c r="H201" s="112">
        <v>0</v>
      </c>
      <c r="I201" s="113">
        <v>0</v>
      </c>
      <c r="J201"/>
      <c r="K201"/>
      <c r="L201"/>
      <c r="M201"/>
      <c r="N201"/>
    </row>
    <row r="202" spans="1:14" x14ac:dyDescent="0.3">
      <c r="A202" s="102" t="s">
        <v>741</v>
      </c>
      <c r="B202" s="102" t="s">
        <v>2067</v>
      </c>
      <c r="C202" s="107" t="s">
        <v>54</v>
      </c>
      <c r="D202" s="102">
        <v>6</v>
      </c>
      <c r="E202" s="111">
        <v>0</v>
      </c>
      <c r="F202" s="112">
        <v>0</v>
      </c>
      <c r="G202" s="112">
        <v>0</v>
      </c>
      <c r="H202" s="112">
        <v>0</v>
      </c>
      <c r="I202" s="113">
        <v>0</v>
      </c>
      <c r="J202"/>
      <c r="K202"/>
      <c r="L202"/>
      <c r="M202"/>
      <c r="N202"/>
    </row>
    <row r="203" spans="1:14" x14ac:dyDescent="0.3">
      <c r="A203" s="102" t="s">
        <v>742</v>
      </c>
      <c r="B203" s="102" t="s">
        <v>2068</v>
      </c>
      <c r="C203" s="107" t="s">
        <v>54</v>
      </c>
      <c r="D203" s="102">
        <v>6</v>
      </c>
      <c r="E203" s="111">
        <v>0</v>
      </c>
      <c r="F203" s="112">
        <v>0</v>
      </c>
      <c r="G203" s="112">
        <v>0</v>
      </c>
      <c r="H203" s="112">
        <v>0</v>
      </c>
      <c r="I203" s="113">
        <v>0</v>
      </c>
      <c r="J203"/>
      <c r="K203"/>
      <c r="L203"/>
      <c r="M203"/>
      <c r="N203"/>
    </row>
    <row r="204" spans="1:14" x14ac:dyDescent="0.3">
      <c r="A204" s="102" t="s">
        <v>743</v>
      </c>
      <c r="B204" s="102" t="s">
        <v>2069</v>
      </c>
      <c r="C204" s="107" t="s">
        <v>54</v>
      </c>
      <c r="D204" s="102">
        <v>6</v>
      </c>
      <c r="E204" s="111">
        <v>0</v>
      </c>
      <c r="F204" s="112">
        <v>0</v>
      </c>
      <c r="G204" s="112">
        <v>0</v>
      </c>
      <c r="H204" s="112">
        <v>0</v>
      </c>
      <c r="I204" s="113">
        <v>0</v>
      </c>
      <c r="J204"/>
      <c r="K204"/>
      <c r="L204"/>
      <c r="M204"/>
      <c r="N204"/>
    </row>
    <row r="205" spans="1:14" x14ac:dyDescent="0.3">
      <c r="A205" s="102" t="s">
        <v>744</v>
      </c>
      <c r="B205" s="102" t="s">
        <v>2070</v>
      </c>
      <c r="C205" s="107" t="s">
        <v>54</v>
      </c>
      <c r="D205" s="102">
        <v>6</v>
      </c>
      <c r="E205" s="111">
        <v>0</v>
      </c>
      <c r="F205" s="112">
        <v>0</v>
      </c>
      <c r="G205" s="112">
        <v>0</v>
      </c>
      <c r="H205" s="112">
        <v>0</v>
      </c>
      <c r="I205" s="113">
        <v>0</v>
      </c>
      <c r="J205"/>
      <c r="K205"/>
      <c r="L205"/>
      <c r="M205"/>
      <c r="N205"/>
    </row>
    <row r="206" spans="1:14" x14ac:dyDescent="0.3">
      <c r="A206" s="102" t="s">
        <v>745</v>
      </c>
      <c r="B206" s="102" t="s">
        <v>2071</v>
      </c>
      <c r="C206" s="107" t="s">
        <v>54</v>
      </c>
      <c r="D206" s="102">
        <v>6</v>
      </c>
      <c r="E206" s="111">
        <v>0</v>
      </c>
      <c r="F206" s="112">
        <v>0</v>
      </c>
      <c r="G206" s="112">
        <v>0</v>
      </c>
      <c r="H206" s="112">
        <v>0</v>
      </c>
      <c r="I206" s="113">
        <v>0</v>
      </c>
      <c r="J206"/>
      <c r="K206"/>
      <c r="L206"/>
      <c r="M206"/>
      <c r="N206"/>
    </row>
    <row r="207" spans="1:14" x14ac:dyDescent="0.3">
      <c r="A207" s="102" t="s">
        <v>746</v>
      </c>
      <c r="B207" s="102" t="s">
        <v>2116</v>
      </c>
      <c r="C207" s="107" t="s">
        <v>54</v>
      </c>
      <c r="D207" s="102">
        <v>4</v>
      </c>
      <c r="E207" s="111">
        <v>0</v>
      </c>
      <c r="F207" s="112">
        <v>0</v>
      </c>
      <c r="G207" s="112">
        <v>9785.43</v>
      </c>
      <c r="H207" s="112">
        <v>390314.01</v>
      </c>
      <c r="I207" s="113">
        <v>400099.44</v>
      </c>
      <c r="J207"/>
      <c r="K207"/>
      <c r="L207"/>
      <c r="M207"/>
      <c r="N207"/>
    </row>
    <row r="208" spans="1:14" x14ac:dyDescent="0.3">
      <c r="A208" s="102" t="s">
        <v>747</v>
      </c>
      <c r="B208" s="102" t="s">
        <v>2067</v>
      </c>
      <c r="C208" s="107" t="s">
        <v>54</v>
      </c>
      <c r="D208" s="102">
        <v>6</v>
      </c>
      <c r="E208" s="111">
        <v>0</v>
      </c>
      <c r="F208" s="112">
        <v>0</v>
      </c>
      <c r="G208" s="112">
        <v>196.64</v>
      </c>
      <c r="H208" s="112">
        <v>57828.29</v>
      </c>
      <c r="I208" s="113">
        <v>58024.93</v>
      </c>
      <c r="J208"/>
      <c r="K208"/>
      <c r="L208"/>
      <c r="M208"/>
      <c r="N208"/>
    </row>
    <row r="209" spans="1:14" x14ac:dyDescent="0.3">
      <c r="A209" s="102" t="s">
        <v>748</v>
      </c>
      <c r="B209" s="102" t="s">
        <v>2068</v>
      </c>
      <c r="C209" s="107" t="s">
        <v>54</v>
      </c>
      <c r="D209" s="102">
        <v>6</v>
      </c>
      <c r="E209" s="111">
        <v>0</v>
      </c>
      <c r="F209" s="112">
        <v>0</v>
      </c>
      <c r="G209" s="112">
        <v>400.79</v>
      </c>
      <c r="H209" s="112">
        <v>46499.8</v>
      </c>
      <c r="I209" s="113">
        <v>46900.59</v>
      </c>
      <c r="J209"/>
      <c r="K209"/>
      <c r="L209"/>
      <c r="M209"/>
      <c r="N209"/>
    </row>
    <row r="210" spans="1:14" x14ac:dyDescent="0.3">
      <c r="A210" s="102" t="s">
        <v>749</v>
      </c>
      <c r="B210" s="102" t="s">
        <v>2069</v>
      </c>
      <c r="C210" s="107" t="s">
        <v>54</v>
      </c>
      <c r="D210" s="102">
        <v>6</v>
      </c>
      <c r="E210" s="111">
        <v>0</v>
      </c>
      <c r="F210" s="112">
        <v>0</v>
      </c>
      <c r="G210" s="112">
        <v>620.42999999999995</v>
      </c>
      <c r="H210" s="112">
        <v>61819.8</v>
      </c>
      <c r="I210" s="113">
        <v>62440.23</v>
      </c>
      <c r="J210"/>
      <c r="K210"/>
      <c r="L210"/>
      <c r="M210"/>
      <c r="N210"/>
    </row>
    <row r="211" spans="1:14" x14ac:dyDescent="0.3">
      <c r="A211" s="102" t="s">
        <v>750</v>
      </c>
      <c r="B211" s="102" t="s">
        <v>2070</v>
      </c>
      <c r="C211" s="107" t="s">
        <v>54</v>
      </c>
      <c r="D211" s="102">
        <v>6</v>
      </c>
      <c r="E211" s="111">
        <v>0</v>
      </c>
      <c r="F211" s="112">
        <v>0</v>
      </c>
      <c r="G211" s="112">
        <v>1313.38</v>
      </c>
      <c r="H211" s="112">
        <v>89244.15</v>
      </c>
      <c r="I211" s="113">
        <v>90557.53</v>
      </c>
      <c r="J211"/>
      <c r="K211"/>
      <c r="L211"/>
      <c r="M211"/>
      <c r="N211"/>
    </row>
    <row r="212" spans="1:14" x14ac:dyDescent="0.3">
      <c r="A212" s="102" t="s">
        <v>751</v>
      </c>
      <c r="B212" s="102" t="s">
        <v>2071</v>
      </c>
      <c r="C212" s="107" t="s">
        <v>54</v>
      </c>
      <c r="D212" s="102">
        <v>6</v>
      </c>
      <c r="E212" s="111">
        <v>0</v>
      </c>
      <c r="F212" s="112">
        <v>0</v>
      </c>
      <c r="G212" s="112">
        <v>7254.19</v>
      </c>
      <c r="H212" s="112">
        <v>134921.97</v>
      </c>
      <c r="I212" s="113">
        <v>142176.16</v>
      </c>
      <c r="J212"/>
      <c r="K212"/>
      <c r="L212"/>
      <c r="M212"/>
      <c r="N212"/>
    </row>
    <row r="213" spans="1:14" x14ac:dyDescent="0.3">
      <c r="A213" s="102" t="s">
        <v>752</v>
      </c>
      <c r="B213" s="102" t="s">
        <v>2117</v>
      </c>
      <c r="C213" s="107" t="s">
        <v>54</v>
      </c>
      <c r="D213" s="102">
        <v>4</v>
      </c>
      <c r="E213" s="111">
        <v>0</v>
      </c>
      <c r="F213" s="112">
        <v>0</v>
      </c>
      <c r="G213" s="112">
        <v>0</v>
      </c>
      <c r="H213" s="112">
        <v>0</v>
      </c>
      <c r="I213" s="113">
        <v>0</v>
      </c>
      <c r="J213"/>
      <c r="K213"/>
      <c r="L213"/>
      <c r="M213"/>
      <c r="N213"/>
    </row>
    <row r="214" spans="1:14" x14ac:dyDescent="0.3">
      <c r="A214" s="102" t="s">
        <v>753</v>
      </c>
      <c r="B214" s="102" t="s">
        <v>2067</v>
      </c>
      <c r="C214" s="107" t="s">
        <v>54</v>
      </c>
      <c r="D214" s="102">
        <v>6</v>
      </c>
      <c r="E214" s="111">
        <v>0</v>
      </c>
      <c r="F214" s="112">
        <v>0</v>
      </c>
      <c r="G214" s="112">
        <v>0</v>
      </c>
      <c r="H214" s="112">
        <v>0</v>
      </c>
      <c r="I214" s="113">
        <v>0</v>
      </c>
      <c r="J214"/>
      <c r="K214"/>
      <c r="L214"/>
      <c r="M214"/>
      <c r="N214"/>
    </row>
    <row r="215" spans="1:14" x14ac:dyDescent="0.3">
      <c r="A215" s="102" t="s">
        <v>754</v>
      </c>
      <c r="B215" s="102" t="s">
        <v>2068</v>
      </c>
      <c r="C215" s="107" t="s">
        <v>54</v>
      </c>
      <c r="D215" s="102">
        <v>6</v>
      </c>
      <c r="E215" s="111">
        <v>0</v>
      </c>
      <c r="F215" s="112">
        <v>0</v>
      </c>
      <c r="G215" s="112">
        <v>0</v>
      </c>
      <c r="H215" s="112">
        <v>0</v>
      </c>
      <c r="I215" s="113">
        <v>0</v>
      </c>
      <c r="J215"/>
      <c r="K215"/>
      <c r="L215"/>
      <c r="M215"/>
      <c r="N215"/>
    </row>
    <row r="216" spans="1:14" x14ac:dyDescent="0.3">
      <c r="A216" s="102" t="s">
        <v>755</v>
      </c>
      <c r="B216" s="102" t="s">
        <v>2069</v>
      </c>
      <c r="C216" s="107" t="s">
        <v>54</v>
      </c>
      <c r="D216" s="102">
        <v>6</v>
      </c>
      <c r="E216" s="111">
        <v>0</v>
      </c>
      <c r="F216" s="112">
        <v>0</v>
      </c>
      <c r="G216" s="112">
        <v>0</v>
      </c>
      <c r="H216" s="112">
        <v>0</v>
      </c>
      <c r="I216" s="113">
        <v>0</v>
      </c>
      <c r="J216"/>
      <c r="K216"/>
      <c r="L216"/>
      <c r="M216"/>
      <c r="N216"/>
    </row>
    <row r="217" spans="1:14" x14ac:dyDescent="0.3">
      <c r="A217" s="102" t="s">
        <v>756</v>
      </c>
      <c r="B217" s="102" t="s">
        <v>2070</v>
      </c>
      <c r="C217" s="107" t="s">
        <v>54</v>
      </c>
      <c r="D217" s="102">
        <v>6</v>
      </c>
      <c r="E217" s="111">
        <v>0</v>
      </c>
      <c r="F217" s="112">
        <v>0</v>
      </c>
      <c r="G217" s="112">
        <v>0</v>
      </c>
      <c r="H217" s="112">
        <v>0</v>
      </c>
      <c r="I217" s="113">
        <v>0</v>
      </c>
      <c r="J217"/>
      <c r="K217"/>
      <c r="L217"/>
      <c r="M217"/>
      <c r="N217"/>
    </row>
    <row r="218" spans="1:14" x14ac:dyDescent="0.3">
      <c r="A218" s="102" t="s">
        <v>757</v>
      </c>
      <c r="B218" s="102" t="s">
        <v>2071</v>
      </c>
      <c r="C218" s="107" t="s">
        <v>54</v>
      </c>
      <c r="D218" s="102">
        <v>6</v>
      </c>
      <c r="E218" s="111">
        <v>0</v>
      </c>
      <c r="F218" s="112">
        <v>0</v>
      </c>
      <c r="G218" s="112">
        <v>0</v>
      </c>
      <c r="H218" s="112">
        <v>0</v>
      </c>
      <c r="I218" s="113">
        <v>0</v>
      </c>
      <c r="J218"/>
      <c r="K218"/>
      <c r="L218"/>
      <c r="M218"/>
      <c r="N218"/>
    </row>
    <row r="219" spans="1:14" x14ac:dyDescent="0.3">
      <c r="A219" s="102" t="s">
        <v>758</v>
      </c>
      <c r="B219" s="102" t="s">
        <v>2118</v>
      </c>
      <c r="C219" s="107" t="s">
        <v>54</v>
      </c>
      <c r="D219" s="102">
        <v>4</v>
      </c>
      <c r="E219" s="111">
        <v>0</v>
      </c>
      <c r="F219" s="112">
        <v>0</v>
      </c>
      <c r="G219" s="112">
        <v>1423.65</v>
      </c>
      <c r="H219" s="112">
        <v>0</v>
      </c>
      <c r="I219" s="113">
        <v>1423.65</v>
      </c>
      <c r="J219"/>
      <c r="K219"/>
      <c r="L219"/>
      <c r="M219"/>
      <c r="N219"/>
    </row>
    <row r="220" spans="1:14" x14ac:dyDescent="0.3">
      <c r="A220" s="102" t="s">
        <v>759</v>
      </c>
      <c r="B220" s="102" t="s">
        <v>2067</v>
      </c>
      <c r="C220" s="107" t="s">
        <v>54</v>
      </c>
      <c r="D220" s="102">
        <v>6</v>
      </c>
      <c r="E220" s="111">
        <v>0</v>
      </c>
      <c r="F220" s="112">
        <v>0</v>
      </c>
      <c r="G220" s="112">
        <v>31.56</v>
      </c>
      <c r="H220" s="112">
        <v>0</v>
      </c>
      <c r="I220" s="113">
        <v>31.56</v>
      </c>
      <c r="J220"/>
      <c r="K220"/>
      <c r="L220"/>
      <c r="M220"/>
      <c r="N220"/>
    </row>
    <row r="221" spans="1:14" x14ac:dyDescent="0.3">
      <c r="A221" s="102" t="s">
        <v>760</v>
      </c>
      <c r="B221" s="102" t="s">
        <v>2068</v>
      </c>
      <c r="C221" s="107" t="s">
        <v>54</v>
      </c>
      <c r="D221" s="102">
        <v>6</v>
      </c>
      <c r="E221" s="111">
        <v>0</v>
      </c>
      <c r="F221" s="112">
        <v>0</v>
      </c>
      <c r="G221" s="112">
        <v>64.900000000000006</v>
      </c>
      <c r="H221" s="112">
        <v>0</v>
      </c>
      <c r="I221" s="113">
        <v>64.900000000000006</v>
      </c>
      <c r="J221"/>
      <c r="K221"/>
      <c r="L221"/>
      <c r="M221"/>
      <c r="N221"/>
    </row>
    <row r="222" spans="1:14" x14ac:dyDescent="0.3">
      <c r="A222" s="102" t="s">
        <v>761</v>
      </c>
      <c r="B222" s="102" t="s">
        <v>2069</v>
      </c>
      <c r="C222" s="107" t="s">
        <v>54</v>
      </c>
      <c r="D222" s="102">
        <v>6</v>
      </c>
      <c r="E222" s="111">
        <v>0</v>
      </c>
      <c r="F222" s="112">
        <v>0</v>
      </c>
      <c r="G222" s="112">
        <v>101.99</v>
      </c>
      <c r="H222" s="112">
        <v>0</v>
      </c>
      <c r="I222" s="113">
        <v>101.99</v>
      </c>
      <c r="J222"/>
      <c r="K222"/>
      <c r="L222"/>
      <c r="M222"/>
      <c r="N222"/>
    </row>
    <row r="223" spans="1:14" x14ac:dyDescent="0.3">
      <c r="A223" s="102" t="s">
        <v>762</v>
      </c>
      <c r="B223" s="102" t="s">
        <v>2070</v>
      </c>
      <c r="C223" s="107" t="s">
        <v>54</v>
      </c>
      <c r="D223" s="102">
        <v>6</v>
      </c>
      <c r="E223" s="111">
        <v>0</v>
      </c>
      <c r="F223" s="112">
        <v>0</v>
      </c>
      <c r="G223" s="112">
        <v>183.13</v>
      </c>
      <c r="H223" s="112">
        <v>0</v>
      </c>
      <c r="I223" s="113">
        <v>183.13</v>
      </c>
      <c r="J223"/>
      <c r="K223"/>
      <c r="L223"/>
      <c r="M223"/>
      <c r="N223"/>
    </row>
    <row r="224" spans="1:14" x14ac:dyDescent="0.3">
      <c r="A224" s="102" t="s">
        <v>763</v>
      </c>
      <c r="B224" s="102" t="s">
        <v>2071</v>
      </c>
      <c r="C224" s="107" t="s">
        <v>54</v>
      </c>
      <c r="D224" s="102">
        <v>6</v>
      </c>
      <c r="E224" s="111">
        <v>0</v>
      </c>
      <c r="F224" s="112">
        <v>0</v>
      </c>
      <c r="G224" s="112">
        <v>1042.07</v>
      </c>
      <c r="H224" s="112">
        <v>0</v>
      </c>
      <c r="I224" s="113">
        <v>1042.07</v>
      </c>
      <c r="J224"/>
      <c r="K224"/>
      <c r="L224"/>
      <c r="M224"/>
      <c r="N224"/>
    </row>
    <row r="225" spans="1:14" x14ac:dyDescent="0.3">
      <c r="A225" s="102" t="s">
        <v>764</v>
      </c>
      <c r="B225" s="102" t="s">
        <v>2119</v>
      </c>
      <c r="C225" s="107" t="s">
        <v>54</v>
      </c>
      <c r="D225" s="102">
        <v>4</v>
      </c>
      <c r="E225" s="111">
        <v>0</v>
      </c>
      <c r="F225" s="112">
        <v>0</v>
      </c>
      <c r="G225" s="112">
        <v>0</v>
      </c>
      <c r="H225" s="112">
        <v>0</v>
      </c>
      <c r="I225" s="113">
        <v>0</v>
      </c>
      <c r="J225"/>
      <c r="K225"/>
      <c r="L225"/>
      <c r="M225"/>
      <c r="N225"/>
    </row>
    <row r="226" spans="1:14" x14ac:dyDescent="0.3">
      <c r="A226" s="102" t="s">
        <v>765</v>
      </c>
      <c r="B226" s="102" t="s">
        <v>2067</v>
      </c>
      <c r="C226" s="107" t="s">
        <v>54</v>
      </c>
      <c r="D226" s="102">
        <v>6</v>
      </c>
      <c r="E226" s="111">
        <v>0</v>
      </c>
      <c r="F226" s="112">
        <v>0</v>
      </c>
      <c r="G226" s="112">
        <v>0</v>
      </c>
      <c r="H226" s="112">
        <v>0</v>
      </c>
      <c r="I226" s="113">
        <v>0</v>
      </c>
      <c r="J226"/>
      <c r="K226"/>
      <c r="L226"/>
      <c r="M226"/>
      <c r="N226"/>
    </row>
    <row r="227" spans="1:14" x14ac:dyDescent="0.3">
      <c r="A227" s="102" t="s">
        <v>766</v>
      </c>
      <c r="B227" s="102" t="s">
        <v>2068</v>
      </c>
      <c r="C227" s="107" t="s">
        <v>54</v>
      </c>
      <c r="D227" s="102">
        <v>6</v>
      </c>
      <c r="E227" s="111">
        <v>0</v>
      </c>
      <c r="F227" s="112">
        <v>0</v>
      </c>
      <c r="G227" s="112">
        <v>0</v>
      </c>
      <c r="H227" s="112">
        <v>0</v>
      </c>
      <c r="I227" s="113">
        <v>0</v>
      </c>
      <c r="J227"/>
      <c r="K227"/>
      <c r="L227"/>
      <c r="M227"/>
      <c r="N227"/>
    </row>
    <row r="228" spans="1:14" x14ac:dyDescent="0.3">
      <c r="A228" s="102" t="s">
        <v>767</v>
      </c>
      <c r="B228" s="102" t="s">
        <v>2069</v>
      </c>
      <c r="C228" s="107" t="s">
        <v>54</v>
      </c>
      <c r="D228" s="102">
        <v>6</v>
      </c>
      <c r="E228" s="111">
        <v>0</v>
      </c>
      <c r="F228" s="112">
        <v>0</v>
      </c>
      <c r="G228" s="112">
        <v>0</v>
      </c>
      <c r="H228" s="112">
        <v>0</v>
      </c>
      <c r="I228" s="113">
        <v>0</v>
      </c>
      <c r="J228"/>
      <c r="K228"/>
      <c r="L228"/>
      <c r="M228"/>
      <c r="N228"/>
    </row>
    <row r="229" spans="1:14" x14ac:dyDescent="0.3">
      <c r="A229" s="102" t="s">
        <v>768</v>
      </c>
      <c r="B229" s="102" t="s">
        <v>2070</v>
      </c>
      <c r="C229" s="107" t="s">
        <v>54</v>
      </c>
      <c r="D229" s="102">
        <v>6</v>
      </c>
      <c r="E229" s="111">
        <v>0</v>
      </c>
      <c r="F229" s="112">
        <v>0</v>
      </c>
      <c r="G229" s="112">
        <v>0</v>
      </c>
      <c r="H229" s="112">
        <v>0</v>
      </c>
      <c r="I229" s="113">
        <v>0</v>
      </c>
      <c r="J229"/>
      <c r="K229"/>
      <c r="L229"/>
      <c r="M229"/>
      <c r="N229"/>
    </row>
    <row r="230" spans="1:14" x14ac:dyDescent="0.3">
      <c r="A230" s="102" t="s">
        <v>769</v>
      </c>
      <c r="B230" s="102" t="s">
        <v>2071</v>
      </c>
      <c r="C230" s="107" t="s">
        <v>54</v>
      </c>
      <c r="D230" s="102">
        <v>6</v>
      </c>
      <c r="E230" s="111">
        <v>0</v>
      </c>
      <c r="F230" s="112">
        <v>0</v>
      </c>
      <c r="G230" s="112">
        <v>0</v>
      </c>
      <c r="H230" s="112">
        <v>0</v>
      </c>
      <c r="I230" s="113">
        <v>0</v>
      </c>
      <c r="J230"/>
      <c r="K230"/>
      <c r="L230"/>
      <c r="M230"/>
      <c r="N230"/>
    </row>
    <row r="231" spans="1:14" x14ac:dyDescent="0.3">
      <c r="A231" s="102" t="s">
        <v>770</v>
      </c>
      <c r="B231" s="102" t="s">
        <v>2120</v>
      </c>
      <c r="C231" s="107" t="s">
        <v>54</v>
      </c>
      <c r="D231" s="102">
        <v>4</v>
      </c>
      <c r="E231" s="111">
        <v>0</v>
      </c>
      <c r="F231" s="112">
        <v>0</v>
      </c>
      <c r="G231" s="112">
        <v>0</v>
      </c>
      <c r="H231" s="112">
        <v>0</v>
      </c>
      <c r="I231" s="113">
        <v>0</v>
      </c>
      <c r="J231"/>
      <c r="K231"/>
      <c r="L231"/>
      <c r="M231"/>
      <c r="N231"/>
    </row>
    <row r="232" spans="1:14" x14ac:dyDescent="0.3">
      <c r="A232" s="102" t="s">
        <v>771</v>
      </c>
      <c r="B232" s="102" t="s">
        <v>2067</v>
      </c>
      <c r="C232" s="107" t="s">
        <v>54</v>
      </c>
      <c r="D232" s="102">
        <v>6</v>
      </c>
      <c r="E232" s="111">
        <v>0</v>
      </c>
      <c r="F232" s="112">
        <v>0</v>
      </c>
      <c r="G232" s="112">
        <v>0</v>
      </c>
      <c r="H232" s="112">
        <v>0</v>
      </c>
      <c r="I232" s="113">
        <v>0</v>
      </c>
      <c r="J232"/>
      <c r="K232"/>
      <c r="L232"/>
      <c r="M232"/>
      <c r="N232"/>
    </row>
    <row r="233" spans="1:14" x14ac:dyDescent="0.3">
      <c r="A233" s="102" t="s">
        <v>772</v>
      </c>
      <c r="B233" s="102" t="s">
        <v>2068</v>
      </c>
      <c r="C233" s="107" t="s">
        <v>54</v>
      </c>
      <c r="D233" s="102">
        <v>6</v>
      </c>
      <c r="E233" s="111">
        <v>0</v>
      </c>
      <c r="F233" s="112">
        <v>0</v>
      </c>
      <c r="G233" s="112">
        <v>0</v>
      </c>
      <c r="H233" s="112">
        <v>0</v>
      </c>
      <c r="I233" s="113">
        <v>0</v>
      </c>
      <c r="J233"/>
      <c r="K233"/>
      <c r="L233"/>
      <c r="M233"/>
      <c r="N233"/>
    </row>
    <row r="234" spans="1:14" x14ac:dyDescent="0.3">
      <c r="A234" s="102" t="s">
        <v>773</v>
      </c>
      <c r="B234" s="102" t="s">
        <v>2069</v>
      </c>
      <c r="C234" s="107" t="s">
        <v>54</v>
      </c>
      <c r="D234" s="102">
        <v>6</v>
      </c>
      <c r="E234" s="111">
        <v>0</v>
      </c>
      <c r="F234" s="112">
        <v>0</v>
      </c>
      <c r="G234" s="112">
        <v>0</v>
      </c>
      <c r="H234" s="112">
        <v>0</v>
      </c>
      <c r="I234" s="113">
        <v>0</v>
      </c>
      <c r="J234"/>
      <c r="K234"/>
      <c r="L234"/>
      <c r="M234"/>
      <c r="N234"/>
    </row>
    <row r="235" spans="1:14" x14ac:dyDescent="0.3">
      <c r="A235" s="102" t="s">
        <v>774</v>
      </c>
      <c r="B235" s="102" t="s">
        <v>2070</v>
      </c>
      <c r="C235" s="107" t="s">
        <v>54</v>
      </c>
      <c r="D235" s="102">
        <v>6</v>
      </c>
      <c r="E235" s="111">
        <v>0</v>
      </c>
      <c r="F235" s="112">
        <v>0</v>
      </c>
      <c r="G235" s="112">
        <v>0</v>
      </c>
      <c r="H235" s="112">
        <v>0</v>
      </c>
      <c r="I235" s="113">
        <v>0</v>
      </c>
      <c r="J235"/>
      <c r="K235"/>
      <c r="L235"/>
      <c r="M235"/>
      <c r="N235"/>
    </row>
    <row r="236" spans="1:14" x14ac:dyDescent="0.3">
      <c r="A236" s="102" t="s">
        <v>775</v>
      </c>
      <c r="B236" s="102" t="s">
        <v>2071</v>
      </c>
      <c r="C236" s="107" t="s">
        <v>54</v>
      </c>
      <c r="D236" s="102">
        <v>6</v>
      </c>
      <c r="E236" s="111">
        <v>0</v>
      </c>
      <c r="F236" s="112">
        <v>0</v>
      </c>
      <c r="G236" s="112">
        <v>0</v>
      </c>
      <c r="H236" s="112">
        <v>0</v>
      </c>
      <c r="I236" s="113">
        <v>0</v>
      </c>
      <c r="J236"/>
      <c r="K236"/>
      <c r="L236"/>
      <c r="M236"/>
      <c r="N236"/>
    </row>
    <row r="237" spans="1:14" x14ac:dyDescent="0.3">
      <c r="A237" s="102" t="s">
        <v>776</v>
      </c>
      <c r="B237" s="102" t="s">
        <v>2121</v>
      </c>
      <c r="C237" s="107" t="s">
        <v>54</v>
      </c>
      <c r="D237" s="102">
        <v>4</v>
      </c>
      <c r="E237" s="111">
        <v>0</v>
      </c>
      <c r="F237" s="112">
        <v>0</v>
      </c>
      <c r="G237" s="112">
        <v>0</v>
      </c>
      <c r="H237" s="112">
        <v>0</v>
      </c>
      <c r="I237" s="113">
        <v>0</v>
      </c>
      <c r="J237"/>
      <c r="K237"/>
      <c r="L237"/>
      <c r="M237"/>
      <c r="N237"/>
    </row>
    <row r="238" spans="1:14" x14ac:dyDescent="0.3">
      <c r="A238" s="102" t="s">
        <v>777</v>
      </c>
      <c r="B238" s="102" t="s">
        <v>2067</v>
      </c>
      <c r="C238" s="107" t="s">
        <v>54</v>
      </c>
      <c r="D238" s="102">
        <v>6</v>
      </c>
      <c r="E238" s="111">
        <v>0</v>
      </c>
      <c r="F238" s="112">
        <v>0</v>
      </c>
      <c r="G238" s="112">
        <v>0</v>
      </c>
      <c r="H238" s="112">
        <v>0</v>
      </c>
      <c r="I238" s="113">
        <v>0</v>
      </c>
      <c r="J238"/>
      <c r="K238"/>
      <c r="L238"/>
      <c r="M238"/>
      <c r="N238"/>
    </row>
    <row r="239" spans="1:14" x14ac:dyDescent="0.3">
      <c r="A239" s="102" t="s">
        <v>778</v>
      </c>
      <c r="B239" s="102" t="s">
        <v>2068</v>
      </c>
      <c r="C239" s="107" t="s">
        <v>54</v>
      </c>
      <c r="D239" s="102">
        <v>6</v>
      </c>
      <c r="E239" s="111">
        <v>0</v>
      </c>
      <c r="F239" s="112">
        <v>0</v>
      </c>
      <c r="G239" s="112">
        <v>0</v>
      </c>
      <c r="H239" s="112">
        <v>0</v>
      </c>
      <c r="I239" s="113">
        <v>0</v>
      </c>
      <c r="J239"/>
      <c r="K239"/>
      <c r="L239"/>
      <c r="M239"/>
      <c r="N239"/>
    </row>
    <row r="240" spans="1:14" x14ac:dyDescent="0.3">
      <c r="A240" s="102" t="s">
        <v>779</v>
      </c>
      <c r="B240" s="102" t="s">
        <v>2069</v>
      </c>
      <c r="C240" s="107" t="s">
        <v>54</v>
      </c>
      <c r="D240" s="102">
        <v>6</v>
      </c>
      <c r="E240" s="111">
        <v>0</v>
      </c>
      <c r="F240" s="112">
        <v>0</v>
      </c>
      <c r="G240" s="112">
        <v>0</v>
      </c>
      <c r="H240" s="112">
        <v>0</v>
      </c>
      <c r="I240" s="113">
        <v>0</v>
      </c>
      <c r="J240"/>
      <c r="K240"/>
      <c r="L240"/>
      <c r="M240"/>
      <c r="N240"/>
    </row>
    <row r="241" spans="1:14" x14ac:dyDescent="0.3">
      <c r="A241" s="102" t="s">
        <v>780</v>
      </c>
      <c r="B241" s="102" t="s">
        <v>2070</v>
      </c>
      <c r="C241" s="107" t="s">
        <v>54</v>
      </c>
      <c r="D241" s="102">
        <v>6</v>
      </c>
      <c r="E241" s="111">
        <v>0</v>
      </c>
      <c r="F241" s="112">
        <v>0</v>
      </c>
      <c r="G241" s="112">
        <v>0</v>
      </c>
      <c r="H241" s="112">
        <v>0</v>
      </c>
      <c r="I241" s="113">
        <v>0</v>
      </c>
      <c r="J241"/>
      <c r="K241"/>
      <c r="L241"/>
      <c r="M241"/>
      <c r="N241"/>
    </row>
    <row r="242" spans="1:14" x14ac:dyDescent="0.3">
      <c r="A242" s="102" t="s">
        <v>781</v>
      </c>
      <c r="B242" s="102" t="s">
        <v>2071</v>
      </c>
      <c r="C242" s="107" t="s">
        <v>54</v>
      </c>
      <c r="D242" s="102">
        <v>6</v>
      </c>
      <c r="E242" s="111">
        <v>0</v>
      </c>
      <c r="F242" s="112">
        <v>0</v>
      </c>
      <c r="G242" s="112">
        <v>0</v>
      </c>
      <c r="H242" s="112">
        <v>0</v>
      </c>
      <c r="I242" s="113">
        <v>0</v>
      </c>
      <c r="J242"/>
      <c r="K242"/>
      <c r="L242"/>
      <c r="M242"/>
      <c r="N242"/>
    </row>
    <row r="243" spans="1:14" x14ac:dyDescent="0.3">
      <c r="A243" s="102" t="s">
        <v>782</v>
      </c>
      <c r="B243" s="102" t="s">
        <v>2122</v>
      </c>
      <c r="C243" s="107" t="s">
        <v>54</v>
      </c>
      <c r="D243" s="102">
        <v>4</v>
      </c>
      <c r="E243" s="111">
        <v>0</v>
      </c>
      <c r="F243" s="112">
        <v>158782.32</v>
      </c>
      <c r="G243" s="112">
        <v>59193.68</v>
      </c>
      <c r="H243" s="112">
        <v>669584.68999999994</v>
      </c>
      <c r="I243" s="113">
        <v>887560.69</v>
      </c>
      <c r="J243"/>
      <c r="K243"/>
      <c r="L243"/>
      <c r="M243"/>
      <c r="N243"/>
    </row>
    <row r="244" spans="1:14" x14ac:dyDescent="0.3">
      <c r="A244" s="102" t="s">
        <v>783</v>
      </c>
      <c r="B244" s="102" t="s">
        <v>2067</v>
      </c>
      <c r="C244" s="107" t="s">
        <v>54</v>
      </c>
      <c r="D244" s="102">
        <v>6</v>
      </c>
      <c r="E244" s="111">
        <v>0</v>
      </c>
      <c r="F244" s="112">
        <v>1533.27</v>
      </c>
      <c r="G244" s="112">
        <v>3080.39</v>
      </c>
      <c r="H244" s="112">
        <v>58072.52</v>
      </c>
      <c r="I244" s="113">
        <v>62686.18</v>
      </c>
      <c r="J244"/>
      <c r="K244"/>
      <c r="L244"/>
      <c r="M244"/>
      <c r="N244"/>
    </row>
    <row r="245" spans="1:14" x14ac:dyDescent="0.3">
      <c r="A245" s="102" t="s">
        <v>784</v>
      </c>
      <c r="B245" s="102" t="s">
        <v>2068</v>
      </c>
      <c r="C245" s="107" t="s">
        <v>54</v>
      </c>
      <c r="D245" s="102">
        <v>6</v>
      </c>
      <c r="E245" s="111">
        <v>0</v>
      </c>
      <c r="F245" s="112">
        <v>1560.95</v>
      </c>
      <c r="G245" s="112">
        <v>3138.15</v>
      </c>
      <c r="H245" s="112">
        <v>52824.37</v>
      </c>
      <c r="I245" s="113">
        <v>57523.47</v>
      </c>
      <c r="J245"/>
      <c r="K245"/>
      <c r="L245"/>
      <c r="M245"/>
      <c r="N245"/>
    </row>
    <row r="246" spans="1:14" x14ac:dyDescent="0.3">
      <c r="A246" s="102" t="s">
        <v>785</v>
      </c>
      <c r="B246" s="102" t="s">
        <v>2069</v>
      </c>
      <c r="C246" s="107" t="s">
        <v>54</v>
      </c>
      <c r="D246" s="102">
        <v>6</v>
      </c>
      <c r="E246" s="111">
        <v>0</v>
      </c>
      <c r="F246" s="112">
        <v>2394.41</v>
      </c>
      <c r="G246" s="112">
        <v>4817.91</v>
      </c>
      <c r="H246" s="112">
        <v>74649.179999999993</v>
      </c>
      <c r="I246" s="113">
        <v>81861.5</v>
      </c>
      <c r="J246"/>
      <c r="K246"/>
      <c r="L246"/>
      <c r="M246"/>
      <c r="N246"/>
    </row>
    <row r="247" spans="1:14" x14ac:dyDescent="0.3">
      <c r="A247" s="102" t="s">
        <v>786</v>
      </c>
      <c r="B247" s="102" t="s">
        <v>2070</v>
      </c>
      <c r="C247" s="107" t="s">
        <v>54</v>
      </c>
      <c r="D247" s="102">
        <v>6</v>
      </c>
      <c r="E247" s="111">
        <v>0</v>
      </c>
      <c r="F247" s="112">
        <v>4985.8999999999996</v>
      </c>
      <c r="G247" s="112">
        <v>10048.18</v>
      </c>
      <c r="H247" s="112">
        <v>111970.54</v>
      </c>
      <c r="I247" s="113">
        <v>127004.62</v>
      </c>
      <c r="J247"/>
      <c r="K247"/>
      <c r="L247"/>
      <c r="M247"/>
      <c r="N247"/>
    </row>
    <row r="248" spans="1:14" x14ac:dyDescent="0.3">
      <c r="A248" s="102" t="s">
        <v>787</v>
      </c>
      <c r="B248" s="102" t="s">
        <v>2071</v>
      </c>
      <c r="C248" s="107" t="s">
        <v>54</v>
      </c>
      <c r="D248" s="102">
        <v>6</v>
      </c>
      <c r="E248" s="111">
        <v>0</v>
      </c>
      <c r="F248" s="112">
        <v>148307.79</v>
      </c>
      <c r="G248" s="112">
        <v>38109.050000000003</v>
      </c>
      <c r="H248" s="112">
        <v>372068.08</v>
      </c>
      <c r="I248" s="113">
        <v>558484.92000000004</v>
      </c>
      <c r="J248"/>
      <c r="K248"/>
      <c r="L248"/>
      <c r="M248"/>
      <c r="N248"/>
    </row>
    <row r="249" spans="1:14" x14ac:dyDescent="0.3">
      <c r="A249" s="102" t="s">
        <v>788</v>
      </c>
      <c r="B249" s="102" t="s">
        <v>2123</v>
      </c>
      <c r="C249" s="107" t="s">
        <v>54</v>
      </c>
      <c r="D249" s="102">
        <v>4</v>
      </c>
      <c r="E249" s="111">
        <v>141312.29</v>
      </c>
      <c r="F249" s="112">
        <v>397261.82</v>
      </c>
      <c r="G249" s="112">
        <v>438219.59</v>
      </c>
      <c r="H249" s="112">
        <v>3820982.46</v>
      </c>
      <c r="I249" s="113">
        <v>4797776.16</v>
      </c>
      <c r="J249"/>
      <c r="K249"/>
      <c r="L249"/>
      <c r="M249"/>
      <c r="N249"/>
    </row>
    <row r="250" spans="1:14" x14ac:dyDescent="0.3">
      <c r="A250" s="102" t="s">
        <v>789</v>
      </c>
      <c r="B250" s="102" t="s">
        <v>2067</v>
      </c>
      <c r="C250" s="107" t="s">
        <v>54</v>
      </c>
      <c r="D250" s="102">
        <v>6</v>
      </c>
      <c r="E250" s="111">
        <v>8797.17</v>
      </c>
      <c r="F250" s="112">
        <v>56053.52</v>
      </c>
      <c r="G250" s="112">
        <v>36677.620000000003</v>
      </c>
      <c r="H250" s="112">
        <v>467448.09</v>
      </c>
      <c r="I250" s="113">
        <v>568976.4</v>
      </c>
      <c r="J250"/>
      <c r="K250"/>
      <c r="L250"/>
      <c r="M250"/>
      <c r="N250"/>
    </row>
    <row r="251" spans="1:14" x14ac:dyDescent="0.3">
      <c r="A251" s="102" t="s">
        <v>790</v>
      </c>
      <c r="B251" s="102" t="s">
        <v>2068</v>
      </c>
      <c r="C251" s="107" t="s">
        <v>54</v>
      </c>
      <c r="D251" s="102">
        <v>6</v>
      </c>
      <c r="E251" s="111">
        <v>8776.57</v>
      </c>
      <c r="F251" s="112">
        <v>31130.47</v>
      </c>
      <c r="G251" s="112">
        <v>39887.910000000003</v>
      </c>
      <c r="H251" s="112">
        <v>694380.22</v>
      </c>
      <c r="I251" s="113">
        <v>774175.17</v>
      </c>
      <c r="J251"/>
      <c r="K251"/>
      <c r="L251"/>
      <c r="M251"/>
      <c r="N251"/>
    </row>
    <row r="252" spans="1:14" x14ac:dyDescent="0.3">
      <c r="A252" s="102" t="s">
        <v>791</v>
      </c>
      <c r="B252" s="102" t="s">
        <v>2069</v>
      </c>
      <c r="C252" s="107" t="s">
        <v>54</v>
      </c>
      <c r="D252" s="102">
        <v>6</v>
      </c>
      <c r="E252" s="111">
        <v>13237.97</v>
      </c>
      <c r="F252" s="112">
        <v>38427.56</v>
      </c>
      <c r="G252" s="112">
        <v>50869.41</v>
      </c>
      <c r="H252" s="112">
        <v>594419.27</v>
      </c>
      <c r="I252" s="113">
        <v>696954.21</v>
      </c>
      <c r="J252"/>
      <c r="K252"/>
      <c r="L252"/>
      <c r="M252"/>
      <c r="N252"/>
    </row>
    <row r="253" spans="1:14" x14ac:dyDescent="0.3">
      <c r="A253" s="102" t="s">
        <v>792</v>
      </c>
      <c r="B253" s="102" t="s">
        <v>2070</v>
      </c>
      <c r="C253" s="107" t="s">
        <v>54</v>
      </c>
      <c r="D253" s="102">
        <v>6</v>
      </c>
      <c r="E253" s="111">
        <v>24460.19</v>
      </c>
      <c r="F253" s="112">
        <v>65173.1</v>
      </c>
      <c r="G253" s="112">
        <v>86741.46</v>
      </c>
      <c r="H253" s="112">
        <v>890055.79</v>
      </c>
      <c r="I253" s="113">
        <v>1066430.54</v>
      </c>
      <c r="J253"/>
      <c r="K253"/>
      <c r="L253"/>
      <c r="M253"/>
      <c r="N253"/>
    </row>
    <row r="254" spans="1:14" x14ac:dyDescent="0.3">
      <c r="A254" s="102" t="s">
        <v>793</v>
      </c>
      <c r="B254" s="102" t="s">
        <v>2071</v>
      </c>
      <c r="C254" s="107" t="s">
        <v>54</v>
      </c>
      <c r="D254" s="102">
        <v>6</v>
      </c>
      <c r="E254" s="111">
        <v>86040.39</v>
      </c>
      <c r="F254" s="112">
        <v>206477.17</v>
      </c>
      <c r="G254" s="112">
        <v>224043.19</v>
      </c>
      <c r="H254" s="112">
        <v>1174679.0900000001</v>
      </c>
      <c r="I254" s="113">
        <v>1691239.8399999999</v>
      </c>
      <c r="J254"/>
      <c r="K254"/>
      <c r="L254"/>
      <c r="M254"/>
      <c r="N254"/>
    </row>
    <row r="255" spans="1:14" x14ac:dyDescent="0.3">
      <c r="A255" s="102" t="s">
        <v>794</v>
      </c>
      <c r="B255" s="102" t="s">
        <v>2124</v>
      </c>
      <c r="C255" s="107" t="s">
        <v>54</v>
      </c>
      <c r="D255" s="102">
        <v>4</v>
      </c>
      <c r="E255" s="111">
        <v>332624.77</v>
      </c>
      <c r="F255" s="112">
        <v>2619488.88</v>
      </c>
      <c r="G255" s="112">
        <v>368930.48</v>
      </c>
      <c r="H255" s="112">
        <v>6341648.0700000003</v>
      </c>
      <c r="I255" s="113">
        <v>9662692.1999999993</v>
      </c>
      <c r="J255"/>
      <c r="K255"/>
      <c r="L255"/>
      <c r="M255"/>
      <c r="N255"/>
    </row>
    <row r="256" spans="1:14" x14ac:dyDescent="0.3">
      <c r="A256" s="102" t="s">
        <v>795</v>
      </c>
      <c r="B256" s="102" t="s">
        <v>2067</v>
      </c>
      <c r="C256" s="107" t="s">
        <v>54</v>
      </c>
      <c r="D256" s="102">
        <v>6</v>
      </c>
      <c r="E256" s="111">
        <v>6975.29</v>
      </c>
      <c r="F256" s="112">
        <v>57428.72</v>
      </c>
      <c r="G256" s="112">
        <v>13028.5</v>
      </c>
      <c r="H256" s="112">
        <v>207768.77</v>
      </c>
      <c r="I256" s="113">
        <v>285201.28000000003</v>
      </c>
      <c r="J256"/>
      <c r="K256"/>
      <c r="L256"/>
      <c r="M256"/>
      <c r="N256"/>
    </row>
    <row r="257" spans="1:14" x14ac:dyDescent="0.3">
      <c r="A257" s="102" t="s">
        <v>796</v>
      </c>
      <c r="B257" s="102" t="s">
        <v>2068</v>
      </c>
      <c r="C257" s="107" t="s">
        <v>54</v>
      </c>
      <c r="D257" s="102">
        <v>6</v>
      </c>
      <c r="E257" s="111">
        <v>10910.54</v>
      </c>
      <c r="F257" s="112">
        <v>39665.519999999997</v>
      </c>
      <c r="G257" s="112">
        <v>8764.5</v>
      </c>
      <c r="H257" s="112">
        <v>126307.42</v>
      </c>
      <c r="I257" s="113">
        <v>185647.98</v>
      </c>
      <c r="J257"/>
      <c r="K257"/>
      <c r="L257"/>
      <c r="M257"/>
      <c r="N257"/>
    </row>
    <row r="258" spans="1:14" x14ac:dyDescent="0.3">
      <c r="A258" s="102" t="s">
        <v>797</v>
      </c>
      <c r="B258" s="102" t="s">
        <v>2069</v>
      </c>
      <c r="C258" s="107" t="s">
        <v>54</v>
      </c>
      <c r="D258" s="102">
        <v>6</v>
      </c>
      <c r="E258" s="111">
        <v>10914.04</v>
      </c>
      <c r="F258" s="112">
        <v>59972.15</v>
      </c>
      <c r="G258" s="112">
        <v>13436.54</v>
      </c>
      <c r="H258" s="112">
        <v>183885.24</v>
      </c>
      <c r="I258" s="113">
        <v>268207.96999999997</v>
      </c>
      <c r="J258"/>
      <c r="K258"/>
      <c r="L258"/>
      <c r="M258"/>
      <c r="N258"/>
    </row>
    <row r="259" spans="1:14" x14ac:dyDescent="0.3">
      <c r="A259" s="102" t="s">
        <v>798</v>
      </c>
      <c r="B259" s="102" t="s">
        <v>2070</v>
      </c>
      <c r="C259" s="107" t="s">
        <v>54</v>
      </c>
      <c r="D259" s="102">
        <v>6</v>
      </c>
      <c r="E259" s="111">
        <v>22352.1</v>
      </c>
      <c r="F259" s="112">
        <v>123981.67</v>
      </c>
      <c r="G259" s="112">
        <v>25693.55</v>
      </c>
      <c r="H259" s="112">
        <v>351205.57</v>
      </c>
      <c r="I259" s="113">
        <v>523232.89</v>
      </c>
      <c r="J259"/>
      <c r="K259"/>
      <c r="L259"/>
      <c r="M259"/>
      <c r="N259"/>
    </row>
    <row r="260" spans="1:14" x14ac:dyDescent="0.3">
      <c r="A260" s="102" t="s">
        <v>799</v>
      </c>
      <c r="B260" s="102" t="s">
        <v>2071</v>
      </c>
      <c r="C260" s="107" t="s">
        <v>54</v>
      </c>
      <c r="D260" s="102">
        <v>6</v>
      </c>
      <c r="E260" s="111">
        <v>281472.8</v>
      </c>
      <c r="F260" s="112">
        <v>2338440.8199999998</v>
      </c>
      <c r="G260" s="112">
        <v>308007.39</v>
      </c>
      <c r="H260" s="112">
        <v>5472481.0700000003</v>
      </c>
      <c r="I260" s="113">
        <v>8400402.0800000001</v>
      </c>
      <c r="J260"/>
      <c r="K260"/>
      <c r="L260"/>
      <c r="M260"/>
      <c r="N260"/>
    </row>
    <row r="261" spans="1:14" x14ac:dyDescent="0.3">
      <c r="A261" s="102" t="s">
        <v>800</v>
      </c>
      <c r="B261" s="102" t="s">
        <v>2125</v>
      </c>
      <c r="C261" s="107" t="s">
        <v>54</v>
      </c>
      <c r="D261" s="102">
        <v>4</v>
      </c>
      <c r="E261" s="111">
        <v>339179.17</v>
      </c>
      <c r="F261" s="112">
        <v>29776.29</v>
      </c>
      <c r="G261" s="112">
        <v>166842.15</v>
      </c>
      <c r="H261" s="112">
        <v>545111.65</v>
      </c>
      <c r="I261" s="113">
        <v>1080909.26</v>
      </c>
      <c r="J261"/>
      <c r="K261"/>
      <c r="L261"/>
      <c r="M261"/>
      <c r="N261"/>
    </row>
    <row r="262" spans="1:14" x14ac:dyDescent="0.3">
      <c r="A262" s="102" t="s">
        <v>801</v>
      </c>
      <c r="B262" s="102" t="s">
        <v>2067</v>
      </c>
      <c r="C262" s="107" t="s">
        <v>54</v>
      </c>
      <c r="D262" s="102">
        <v>6</v>
      </c>
      <c r="E262" s="111">
        <v>14200.46</v>
      </c>
      <c r="F262" s="112">
        <v>3806.59</v>
      </c>
      <c r="G262" s="112">
        <v>17687.849999999999</v>
      </c>
      <c r="H262" s="112">
        <v>60005.55</v>
      </c>
      <c r="I262" s="113">
        <v>95700.45</v>
      </c>
      <c r="J262"/>
      <c r="K262"/>
      <c r="L262"/>
      <c r="M262"/>
      <c r="N262"/>
    </row>
    <row r="263" spans="1:14" x14ac:dyDescent="0.3">
      <c r="A263" s="102" t="s">
        <v>802</v>
      </c>
      <c r="B263" s="102" t="s">
        <v>2068</v>
      </c>
      <c r="C263" s="107" t="s">
        <v>54</v>
      </c>
      <c r="D263" s="102">
        <v>6</v>
      </c>
      <c r="E263" s="111">
        <v>14442.72</v>
      </c>
      <c r="F263" s="112">
        <v>3551.71</v>
      </c>
      <c r="G263" s="112">
        <v>16634.23</v>
      </c>
      <c r="H263" s="112">
        <v>54405.599999999999</v>
      </c>
      <c r="I263" s="113">
        <v>89034.26</v>
      </c>
      <c r="J263"/>
      <c r="K263"/>
      <c r="L263"/>
      <c r="M263"/>
      <c r="N263"/>
    </row>
    <row r="264" spans="1:14" x14ac:dyDescent="0.3">
      <c r="A264" s="102" t="s">
        <v>803</v>
      </c>
      <c r="B264" s="102" t="s">
        <v>2069</v>
      </c>
      <c r="C264" s="107" t="s">
        <v>54</v>
      </c>
      <c r="D264" s="102">
        <v>6</v>
      </c>
      <c r="E264" s="111">
        <v>21172.98</v>
      </c>
      <c r="F264" s="112">
        <v>5523.7</v>
      </c>
      <c r="G264" s="112">
        <v>24182.31</v>
      </c>
      <c r="H264" s="112">
        <v>56804.66</v>
      </c>
      <c r="I264" s="113">
        <v>107683.65</v>
      </c>
      <c r="J264"/>
      <c r="K264"/>
      <c r="L264"/>
      <c r="M264"/>
      <c r="N264"/>
    </row>
    <row r="265" spans="1:14" x14ac:dyDescent="0.3">
      <c r="A265" s="102" t="s">
        <v>804</v>
      </c>
      <c r="B265" s="102" t="s">
        <v>2070</v>
      </c>
      <c r="C265" s="107" t="s">
        <v>54</v>
      </c>
      <c r="D265" s="102">
        <v>6</v>
      </c>
      <c r="E265" s="111">
        <v>41353.71</v>
      </c>
      <c r="F265" s="112">
        <v>9293.31</v>
      </c>
      <c r="G265" s="112">
        <v>39678.660000000003</v>
      </c>
      <c r="H265" s="112">
        <v>108087.58</v>
      </c>
      <c r="I265" s="113">
        <v>198413.26</v>
      </c>
      <c r="J265"/>
      <c r="K265"/>
      <c r="L265"/>
      <c r="M265"/>
      <c r="N265"/>
    </row>
    <row r="266" spans="1:14" x14ac:dyDescent="0.3">
      <c r="A266" s="102" t="s">
        <v>805</v>
      </c>
      <c r="B266" s="102" t="s">
        <v>2071</v>
      </c>
      <c r="C266" s="107" t="s">
        <v>54</v>
      </c>
      <c r="D266" s="102">
        <v>6</v>
      </c>
      <c r="E266" s="111">
        <v>248009.3</v>
      </c>
      <c r="F266" s="112">
        <v>7600.98</v>
      </c>
      <c r="G266" s="112">
        <v>68659.100000000006</v>
      </c>
      <c r="H266" s="112">
        <v>265808.26</v>
      </c>
      <c r="I266" s="113">
        <v>590077.64</v>
      </c>
      <c r="J266"/>
      <c r="K266"/>
      <c r="L266"/>
      <c r="M266"/>
      <c r="N266"/>
    </row>
    <row r="267" spans="1:14" x14ac:dyDescent="0.3">
      <c r="A267" s="102" t="s">
        <v>806</v>
      </c>
      <c r="B267" s="102" t="s">
        <v>2126</v>
      </c>
      <c r="C267" s="107" t="s">
        <v>54</v>
      </c>
      <c r="D267" s="102">
        <v>4</v>
      </c>
      <c r="E267" s="111">
        <v>0</v>
      </c>
      <c r="F267" s="112">
        <v>0</v>
      </c>
      <c r="G267" s="112">
        <v>0</v>
      </c>
      <c r="H267" s="112">
        <v>0</v>
      </c>
      <c r="I267" s="113">
        <v>0</v>
      </c>
      <c r="J267"/>
      <c r="K267"/>
      <c r="L267"/>
      <c r="M267"/>
      <c r="N267"/>
    </row>
    <row r="268" spans="1:14" x14ac:dyDescent="0.3">
      <c r="A268" s="102" t="s">
        <v>807</v>
      </c>
      <c r="B268" s="102" t="s">
        <v>2067</v>
      </c>
      <c r="C268" s="107" t="s">
        <v>54</v>
      </c>
      <c r="D268" s="102">
        <v>6</v>
      </c>
      <c r="E268" s="111">
        <v>0</v>
      </c>
      <c r="F268" s="112">
        <v>0</v>
      </c>
      <c r="G268" s="112">
        <v>0</v>
      </c>
      <c r="H268" s="112">
        <v>0</v>
      </c>
      <c r="I268" s="113">
        <v>0</v>
      </c>
      <c r="J268"/>
      <c r="K268"/>
      <c r="L268"/>
      <c r="M268"/>
      <c r="N268"/>
    </row>
    <row r="269" spans="1:14" x14ac:dyDescent="0.3">
      <c r="A269" s="102" t="s">
        <v>808</v>
      </c>
      <c r="B269" s="102" t="s">
        <v>2068</v>
      </c>
      <c r="C269" s="107" t="s">
        <v>54</v>
      </c>
      <c r="D269" s="102">
        <v>6</v>
      </c>
      <c r="E269" s="111">
        <v>0</v>
      </c>
      <c r="F269" s="112">
        <v>0</v>
      </c>
      <c r="G269" s="112">
        <v>0</v>
      </c>
      <c r="H269" s="112">
        <v>0</v>
      </c>
      <c r="I269" s="113">
        <v>0</v>
      </c>
      <c r="J269"/>
      <c r="K269"/>
      <c r="L269"/>
      <c r="M269"/>
      <c r="N269"/>
    </row>
    <row r="270" spans="1:14" x14ac:dyDescent="0.3">
      <c r="A270" s="102" t="s">
        <v>809</v>
      </c>
      <c r="B270" s="102" t="s">
        <v>2069</v>
      </c>
      <c r="C270" s="107" t="s">
        <v>54</v>
      </c>
      <c r="D270" s="102">
        <v>6</v>
      </c>
      <c r="E270" s="111">
        <v>0</v>
      </c>
      <c r="F270" s="112">
        <v>0</v>
      </c>
      <c r="G270" s="112">
        <v>0</v>
      </c>
      <c r="H270" s="112">
        <v>0</v>
      </c>
      <c r="I270" s="113">
        <v>0</v>
      </c>
      <c r="J270"/>
      <c r="K270"/>
      <c r="L270"/>
      <c r="M270"/>
      <c r="N270"/>
    </row>
    <row r="271" spans="1:14" x14ac:dyDescent="0.3">
      <c r="A271" s="102" t="s">
        <v>810</v>
      </c>
      <c r="B271" s="102" t="s">
        <v>2070</v>
      </c>
      <c r="C271" s="107" t="s">
        <v>54</v>
      </c>
      <c r="D271" s="102">
        <v>6</v>
      </c>
      <c r="E271" s="111">
        <v>0</v>
      </c>
      <c r="F271" s="112">
        <v>0</v>
      </c>
      <c r="G271" s="112">
        <v>0</v>
      </c>
      <c r="H271" s="112">
        <v>0</v>
      </c>
      <c r="I271" s="113">
        <v>0</v>
      </c>
      <c r="J271"/>
      <c r="K271"/>
      <c r="L271"/>
      <c r="M271"/>
      <c r="N271"/>
    </row>
    <row r="272" spans="1:14" x14ac:dyDescent="0.3">
      <c r="A272" s="102" t="s">
        <v>811</v>
      </c>
      <c r="B272" s="102" t="s">
        <v>2071</v>
      </c>
      <c r="C272" s="107" t="s">
        <v>54</v>
      </c>
      <c r="D272" s="102">
        <v>6</v>
      </c>
      <c r="E272" s="111">
        <v>0</v>
      </c>
      <c r="F272" s="112">
        <v>0</v>
      </c>
      <c r="G272" s="112">
        <v>0</v>
      </c>
      <c r="H272" s="112">
        <v>0</v>
      </c>
      <c r="I272" s="113">
        <v>0</v>
      </c>
      <c r="J272"/>
      <c r="K272"/>
      <c r="L272"/>
      <c r="M272"/>
      <c r="N272"/>
    </row>
    <row r="273" spans="1:14" x14ac:dyDescent="0.3">
      <c r="A273" s="102" t="s">
        <v>812</v>
      </c>
      <c r="B273" s="102" t="s">
        <v>2127</v>
      </c>
      <c r="C273" s="107" t="s">
        <v>54</v>
      </c>
      <c r="D273" s="102">
        <v>4</v>
      </c>
      <c r="E273" s="111">
        <v>0</v>
      </c>
      <c r="F273" s="112">
        <v>99798.080000000002</v>
      </c>
      <c r="G273" s="112">
        <v>0</v>
      </c>
      <c r="H273" s="112">
        <v>261003.27</v>
      </c>
      <c r="I273" s="113">
        <v>360801.35</v>
      </c>
      <c r="J273"/>
      <c r="K273"/>
      <c r="L273"/>
      <c r="M273"/>
      <c r="N273"/>
    </row>
    <row r="274" spans="1:14" x14ac:dyDescent="0.3">
      <c r="A274" s="102" t="s">
        <v>813</v>
      </c>
      <c r="B274" s="102" t="s">
        <v>2067</v>
      </c>
      <c r="C274" s="107" t="s">
        <v>54</v>
      </c>
      <c r="D274" s="102">
        <v>6</v>
      </c>
      <c r="E274" s="111">
        <v>0</v>
      </c>
      <c r="F274" s="112">
        <v>7459.87</v>
      </c>
      <c r="G274" s="112">
        <v>0</v>
      </c>
      <c r="H274" s="112">
        <v>12592.44</v>
      </c>
      <c r="I274" s="113">
        <v>20052.310000000001</v>
      </c>
      <c r="J274"/>
      <c r="K274"/>
      <c r="L274"/>
      <c r="M274"/>
      <c r="N274"/>
    </row>
    <row r="275" spans="1:14" x14ac:dyDescent="0.3">
      <c r="A275" s="102" t="s">
        <v>814</v>
      </c>
      <c r="B275" s="102" t="s">
        <v>2068</v>
      </c>
      <c r="C275" s="107" t="s">
        <v>54</v>
      </c>
      <c r="D275" s="102">
        <v>6</v>
      </c>
      <c r="E275" s="111">
        <v>0</v>
      </c>
      <c r="F275" s="112">
        <v>6685.87</v>
      </c>
      <c r="G275" s="112">
        <v>0</v>
      </c>
      <c r="H275" s="112">
        <v>13209.68</v>
      </c>
      <c r="I275" s="113">
        <v>19895.55</v>
      </c>
      <c r="J275"/>
      <c r="K275"/>
      <c r="L275"/>
      <c r="M275"/>
      <c r="N275"/>
    </row>
    <row r="276" spans="1:14" x14ac:dyDescent="0.3">
      <c r="A276" s="102" t="s">
        <v>815</v>
      </c>
      <c r="B276" s="102" t="s">
        <v>2069</v>
      </c>
      <c r="C276" s="107" t="s">
        <v>54</v>
      </c>
      <c r="D276" s="102">
        <v>6</v>
      </c>
      <c r="E276" s="111">
        <v>0</v>
      </c>
      <c r="F276" s="112">
        <v>10442.51</v>
      </c>
      <c r="G276" s="112">
        <v>0</v>
      </c>
      <c r="H276" s="112">
        <v>20185.71</v>
      </c>
      <c r="I276" s="113">
        <v>30628.22</v>
      </c>
      <c r="J276"/>
      <c r="K276"/>
      <c r="L276"/>
      <c r="M276"/>
      <c r="N276"/>
    </row>
    <row r="277" spans="1:14" x14ac:dyDescent="0.3">
      <c r="A277" s="102" t="s">
        <v>816</v>
      </c>
      <c r="B277" s="102" t="s">
        <v>2070</v>
      </c>
      <c r="C277" s="107" t="s">
        <v>54</v>
      </c>
      <c r="D277" s="102">
        <v>6</v>
      </c>
      <c r="E277" s="111">
        <v>0</v>
      </c>
      <c r="F277" s="112">
        <v>20715.75</v>
      </c>
      <c r="G277" s="112">
        <v>0</v>
      </c>
      <c r="H277" s="112">
        <v>42391.27</v>
      </c>
      <c r="I277" s="113">
        <v>63107.02</v>
      </c>
      <c r="J277"/>
      <c r="K277"/>
      <c r="L277"/>
      <c r="M277"/>
      <c r="N277"/>
    </row>
    <row r="278" spans="1:14" x14ac:dyDescent="0.3">
      <c r="A278" s="102" t="s">
        <v>817</v>
      </c>
      <c r="B278" s="102" t="s">
        <v>2071</v>
      </c>
      <c r="C278" s="107" t="s">
        <v>54</v>
      </c>
      <c r="D278" s="102">
        <v>6</v>
      </c>
      <c r="E278" s="111">
        <v>0</v>
      </c>
      <c r="F278" s="112">
        <v>54494.080000000002</v>
      </c>
      <c r="G278" s="112">
        <v>0</v>
      </c>
      <c r="H278" s="112">
        <v>172624.17</v>
      </c>
      <c r="I278" s="113">
        <v>227118.25</v>
      </c>
      <c r="J278"/>
      <c r="K278"/>
      <c r="L278"/>
      <c r="M278"/>
      <c r="N278"/>
    </row>
    <row r="279" spans="1:14" x14ac:dyDescent="0.3">
      <c r="A279" s="102" t="s">
        <v>818</v>
      </c>
      <c r="B279" s="102" t="s">
        <v>2128</v>
      </c>
      <c r="C279" s="107" t="s">
        <v>54</v>
      </c>
      <c r="D279" s="102">
        <v>4</v>
      </c>
      <c r="E279" s="111">
        <v>0</v>
      </c>
      <c r="F279" s="112">
        <v>0</v>
      </c>
      <c r="G279" s="112">
        <v>0</v>
      </c>
      <c r="H279" s="112">
        <v>192655.97</v>
      </c>
      <c r="I279" s="113">
        <v>192655.97</v>
      </c>
      <c r="J279"/>
      <c r="K279"/>
      <c r="L279"/>
      <c r="M279"/>
      <c r="N279"/>
    </row>
    <row r="280" spans="1:14" x14ac:dyDescent="0.3">
      <c r="A280" s="102" t="s">
        <v>819</v>
      </c>
      <c r="B280" s="102" t="s">
        <v>2067</v>
      </c>
      <c r="C280" s="107" t="s">
        <v>54</v>
      </c>
      <c r="D280" s="102">
        <v>6</v>
      </c>
      <c r="E280" s="111">
        <v>0</v>
      </c>
      <c r="F280" s="112">
        <v>0</v>
      </c>
      <c r="G280" s="112">
        <v>0</v>
      </c>
      <c r="H280" s="112">
        <v>3499.89</v>
      </c>
      <c r="I280" s="113">
        <v>3499.89</v>
      </c>
      <c r="J280"/>
      <c r="K280"/>
      <c r="L280"/>
      <c r="M280"/>
      <c r="N280"/>
    </row>
    <row r="281" spans="1:14" x14ac:dyDescent="0.3">
      <c r="A281" s="102" t="s">
        <v>820</v>
      </c>
      <c r="B281" s="102" t="s">
        <v>2068</v>
      </c>
      <c r="C281" s="107" t="s">
        <v>54</v>
      </c>
      <c r="D281" s="102">
        <v>6</v>
      </c>
      <c r="E281" s="111">
        <v>0</v>
      </c>
      <c r="F281" s="112">
        <v>0</v>
      </c>
      <c r="G281" s="112">
        <v>0</v>
      </c>
      <c r="H281" s="112">
        <v>2277.9899999999998</v>
      </c>
      <c r="I281" s="113">
        <v>2277.9899999999998</v>
      </c>
      <c r="J281"/>
      <c r="K281"/>
      <c r="L281"/>
      <c r="M281"/>
      <c r="N281"/>
    </row>
    <row r="282" spans="1:14" x14ac:dyDescent="0.3">
      <c r="A282" s="102" t="s">
        <v>821</v>
      </c>
      <c r="B282" s="102" t="s">
        <v>2069</v>
      </c>
      <c r="C282" s="107" t="s">
        <v>54</v>
      </c>
      <c r="D282" s="102">
        <v>6</v>
      </c>
      <c r="E282" s="111">
        <v>0</v>
      </c>
      <c r="F282" s="112">
        <v>0</v>
      </c>
      <c r="G282" s="112">
        <v>0</v>
      </c>
      <c r="H282" s="112">
        <v>3414.93</v>
      </c>
      <c r="I282" s="113">
        <v>3414.93</v>
      </c>
      <c r="J282"/>
      <c r="K282"/>
      <c r="L282"/>
      <c r="M282"/>
      <c r="N282"/>
    </row>
    <row r="283" spans="1:14" x14ac:dyDescent="0.3">
      <c r="A283" s="102" t="s">
        <v>822</v>
      </c>
      <c r="B283" s="102" t="s">
        <v>2070</v>
      </c>
      <c r="C283" s="107" t="s">
        <v>54</v>
      </c>
      <c r="D283" s="102">
        <v>6</v>
      </c>
      <c r="E283" s="111">
        <v>0</v>
      </c>
      <c r="F283" s="112">
        <v>0</v>
      </c>
      <c r="G283" s="112">
        <v>0</v>
      </c>
      <c r="H283" s="112">
        <v>7032.72</v>
      </c>
      <c r="I283" s="113">
        <v>7032.72</v>
      </c>
      <c r="J283"/>
      <c r="K283"/>
      <c r="L283"/>
      <c r="M283"/>
      <c r="N283"/>
    </row>
    <row r="284" spans="1:14" x14ac:dyDescent="0.3">
      <c r="A284" s="102" t="s">
        <v>823</v>
      </c>
      <c r="B284" s="102" t="s">
        <v>2071</v>
      </c>
      <c r="C284" s="107" t="s">
        <v>54</v>
      </c>
      <c r="D284" s="102">
        <v>6</v>
      </c>
      <c r="E284" s="111">
        <v>0</v>
      </c>
      <c r="F284" s="112">
        <v>0</v>
      </c>
      <c r="G284" s="112">
        <v>0</v>
      </c>
      <c r="H284" s="112">
        <v>176430.44</v>
      </c>
      <c r="I284" s="113">
        <v>176430.44</v>
      </c>
      <c r="J284"/>
      <c r="K284"/>
      <c r="L284"/>
      <c r="M284"/>
      <c r="N284"/>
    </row>
    <row r="285" spans="1:14" x14ac:dyDescent="0.3">
      <c r="A285" s="102" t="s">
        <v>824</v>
      </c>
      <c r="B285" s="102" t="s">
        <v>2129</v>
      </c>
      <c r="C285" s="107" t="s">
        <v>54</v>
      </c>
      <c r="D285" s="102">
        <v>4</v>
      </c>
      <c r="E285" s="111">
        <v>0</v>
      </c>
      <c r="F285" s="112">
        <v>0</v>
      </c>
      <c r="G285" s="112">
        <v>0</v>
      </c>
      <c r="H285" s="112">
        <v>0</v>
      </c>
      <c r="I285" s="113">
        <v>0</v>
      </c>
      <c r="J285"/>
      <c r="K285"/>
      <c r="L285"/>
      <c r="M285"/>
      <c r="N285"/>
    </row>
    <row r="286" spans="1:14" x14ac:dyDescent="0.3">
      <c r="A286" s="102" t="s">
        <v>825</v>
      </c>
      <c r="B286" s="102" t="s">
        <v>2067</v>
      </c>
      <c r="C286" s="107" t="s">
        <v>54</v>
      </c>
      <c r="D286" s="102">
        <v>6</v>
      </c>
      <c r="E286" s="111">
        <v>0</v>
      </c>
      <c r="F286" s="112">
        <v>0</v>
      </c>
      <c r="G286" s="112">
        <v>0</v>
      </c>
      <c r="H286" s="112">
        <v>0</v>
      </c>
      <c r="I286" s="113">
        <v>0</v>
      </c>
      <c r="J286"/>
      <c r="K286"/>
      <c r="L286"/>
      <c r="M286"/>
      <c r="N286"/>
    </row>
    <row r="287" spans="1:14" x14ac:dyDescent="0.3">
      <c r="A287" s="102" t="s">
        <v>826</v>
      </c>
      <c r="B287" s="102" t="s">
        <v>2068</v>
      </c>
      <c r="C287" s="107" t="s">
        <v>54</v>
      </c>
      <c r="D287" s="102">
        <v>6</v>
      </c>
      <c r="E287" s="111">
        <v>0</v>
      </c>
      <c r="F287" s="112">
        <v>0</v>
      </c>
      <c r="G287" s="112">
        <v>0</v>
      </c>
      <c r="H287" s="112">
        <v>0</v>
      </c>
      <c r="I287" s="113">
        <v>0</v>
      </c>
      <c r="J287"/>
      <c r="K287"/>
      <c r="L287"/>
      <c r="M287"/>
      <c r="N287"/>
    </row>
    <row r="288" spans="1:14" x14ac:dyDescent="0.3">
      <c r="A288" s="102" t="s">
        <v>827</v>
      </c>
      <c r="B288" s="102" t="s">
        <v>2069</v>
      </c>
      <c r="C288" s="107" t="s">
        <v>54</v>
      </c>
      <c r="D288" s="102">
        <v>6</v>
      </c>
      <c r="E288" s="111">
        <v>0</v>
      </c>
      <c r="F288" s="112">
        <v>0</v>
      </c>
      <c r="G288" s="112">
        <v>0</v>
      </c>
      <c r="H288" s="112">
        <v>0</v>
      </c>
      <c r="I288" s="113">
        <v>0</v>
      </c>
      <c r="J288"/>
      <c r="K288"/>
      <c r="L288"/>
      <c r="M288"/>
      <c r="N288"/>
    </row>
    <row r="289" spans="1:14" x14ac:dyDescent="0.3">
      <c r="A289" s="102" t="s">
        <v>828</v>
      </c>
      <c r="B289" s="102" t="s">
        <v>2070</v>
      </c>
      <c r="C289" s="107" t="s">
        <v>54</v>
      </c>
      <c r="D289" s="102">
        <v>6</v>
      </c>
      <c r="E289" s="111">
        <v>0</v>
      </c>
      <c r="F289" s="112">
        <v>0</v>
      </c>
      <c r="G289" s="112">
        <v>0</v>
      </c>
      <c r="H289" s="112">
        <v>0</v>
      </c>
      <c r="I289" s="113">
        <v>0</v>
      </c>
      <c r="J289"/>
      <c r="K289"/>
      <c r="L289"/>
      <c r="M289"/>
      <c r="N289"/>
    </row>
    <row r="290" spans="1:14" x14ac:dyDescent="0.3">
      <c r="A290" s="102" t="s">
        <v>829</v>
      </c>
      <c r="B290" s="102" t="s">
        <v>2071</v>
      </c>
      <c r="C290" s="107" t="s">
        <v>54</v>
      </c>
      <c r="D290" s="102">
        <v>6</v>
      </c>
      <c r="E290" s="111">
        <v>0</v>
      </c>
      <c r="F290" s="112">
        <v>0</v>
      </c>
      <c r="G290" s="112">
        <v>0</v>
      </c>
      <c r="H290" s="112">
        <v>0</v>
      </c>
      <c r="I290" s="113">
        <v>0</v>
      </c>
      <c r="J290"/>
      <c r="K290"/>
      <c r="L290"/>
      <c r="M290"/>
      <c r="N290"/>
    </row>
    <row r="291" spans="1:14" x14ac:dyDescent="0.3">
      <c r="A291" s="102" t="s">
        <v>830</v>
      </c>
      <c r="B291" s="102" t="s">
        <v>2130</v>
      </c>
      <c r="C291" s="107" t="s">
        <v>54</v>
      </c>
      <c r="D291" s="102">
        <v>4</v>
      </c>
      <c r="E291" s="111">
        <v>169944.18</v>
      </c>
      <c r="F291" s="112">
        <v>0</v>
      </c>
      <c r="G291" s="112">
        <v>0</v>
      </c>
      <c r="H291" s="112">
        <v>89667.74</v>
      </c>
      <c r="I291" s="113">
        <v>259611.92</v>
      </c>
      <c r="J291"/>
      <c r="K291"/>
      <c r="L291"/>
      <c r="M291"/>
      <c r="N291"/>
    </row>
    <row r="292" spans="1:14" x14ac:dyDescent="0.3">
      <c r="A292" s="102" t="s">
        <v>831</v>
      </c>
      <c r="B292" s="102" t="s">
        <v>2067</v>
      </c>
      <c r="C292" s="107" t="s">
        <v>54</v>
      </c>
      <c r="D292" s="102">
        <v>6</v>
      </c>
      <c r="E292" s="111">
        <v>3675.99</v>
      </c>
      <c r="F292" s="112">
        <v>0</v>
      </c>
      <c r="G292" s="112">
        <v>0</v>
      </c>
      <c r="H292" s="112">
        <v>5757.23</v>
      </c>
      <c r="I292" s="113">
        <v>9433.2199999999993</v>
      </c>
      <c r="J292"/>
      <c r="K292"/>
      <c r="L292"/>
      <c r="M292"/>
      <c r="N292"/>
    </row>
    <row r="293" spans="1:14" x14ac:dyDescent="0.3">
      <c r="A293" s="102" t="s">
        <v>832</v>
      </c>
      <c r="B293" s="102" t="s">
        <v>2068</v>
      </c>
      <c r="C293" s="107" t="s">
        <v>54</v>
      </c>
      <c r="D293" s="102">
        <v>6</v>
      </c>
      <c r="E293" s="111">
        <v>3891.52</v>
      </c>
      <c r="F293" s="112">
        <v>0</v>
      </c>
      <c r="G293" s="112">
        <v>0</v>
      </c>
      <c r="H293" s="112">
        <v>14493.29</v>
      </c>
      <c r="I293" s="113">
        <v>18384.810000000001</v>
      </c>
      <c r="J293"/>
      <c r="K293"/>
      <c r="L293"/>
      <c r="M293"/>
      <c r="N293"/>
    </row>
    <row r="294" spans="1:14" x14ac:dyDescent="0.3">
      <c r="A294" s="102" t="s">
        <v>833</v>
      </c>
      <c r="B294" s="102" t="s">
        <v>2069</v>
      </c>
      <c r="C294" s="107" t="s">
        <v>54</v>
      </c>
      <c r="D294" s="102">
        <v>6</v>
      </c>
      <c r="E294" s="111">
        <v>5856.27</v>
      </c>
      <c r="F294" s="112">
        <v>0</v>
      </c>
      <c r="G294" s="112">
        <v>0</v>
      </c>
      <c r="H294" s="112">
        <v>15082.45</v>
      </c>
      <c r="I294" s="113">
        <v>20938.72</v>
      </c>
      <c r="J294"/>
      <c r="K294"/>
      <c r="L294"/>
      <c r="M294"/>
      <c r="N294"/>
    </row>
    <row r="295" spans="1:14" x14ac:dyDescent="0.3">
      <c r="A295" s="102" t="s">
        <v>834</v>
      </c>
      <c r="B295" s="102" t="s">
        <v>2070</v>
      </c>
      <c r="C295" s="107" t="s">
        <v>54</v>
      </c>
      <c r="D295" s="102">
        <v>6</v>
      </c>
      <c r="E295" s="111">
        <v>11989.99</v>
      </c>
      <c r="F295" s="112">
        <v>0</v>
      </c>
      <c r="G295" s="112">
        <v>0</v>
      </c>
      <c r="H295" s="112">
        <v>21791.27</v>
      </c>
      <c r="I295" s="113">
        <v>33781.26</v>
      </c>
      <c r="J295"/>
      <c r="K295"/>
      <c r="L295"/>
      <c r="M295"/>
      <c r="N295"/>
    </row>
    <row r="296" spans="1:14" x14ac:dyDescent="0.3">
      <c r="A296" s="102" t="s">
        <v>835</v>
      </c>
      <c r="B296" s="102" t="s">
        <v>2071</v>
      </c>
      <c r="C296" s="107" t="s">
        <v>54</v>
      </c>
      <c r="D296" s="102">
        <v>6</v>
      </c>
      <c r="E296" s="111">
        <v>144530.41</v>
      </c>
      <c r="F296" s="112">
        <v>0</v>
      </c>
      <c r="G296" s="112">
        <v>0</v>
      </c>
      <c r="H296" s="112">
        <v>32543.5</v>
      </c>
      <c r="I296" s="113">
        <v>177073.91</v>
      </c>
      <c r="J296"/>
      <c r="K296"/>
      <c r="L296"/>
      <c r="M296"/>
      <c r="N296"/>
    </row>
    <row r="297" spans="1:14" x14ac:dyDescent="0.3">
      <c r="A297" s="102" t="s">
        <v>836</v>
      </c>
      <c r="B297" s="102" t="s">
        <v>2131</v>
      </c>
      <c r="C297" s="107" t="s">
        <v>54</v>
      </c>
      <c r="D297" s="102">
        <v>4</v>
      </c>
      <c r="E297" s="111">
        <v>42483.02</v>
      </c>
      <c r="F297" s="112">
        <v>0</v>
      </c>
      <c r="G297" s="112">
        <v>0</v>
      </c>
      <c r="H297" s="112">
        <v>0</v>
      </c>
      <c r="I297" s="113">
        <v>42483.02</v>
      </c>
      <c r="J297"/>
      <c r="K297"/>
      <c r="L297"/>
      <c r="M297"/>
      <c r="N297"/>
    </row>
    <row r="298" spans="1:14" x14ac:dyDescent="0.3">
      <c r="A298" s="102" t="s">
        <v>837</v>
      </c>
      <c r="B298" s="102" t="s">
        <v>2067</v>
      </c>
      <c r="C298" s="107" t="s">
        <v>54</v>
      </c>
      <c r="D298" s="102">
        <v>6</v>
      </c>
      <c r="E298" s="111">
        <v>216.47</v>
      </c>
      <c r="F298" s="112">
        <v>0</v>
      </c>
      <c r="G298" s="112">
        <v>0</v>
      </c>
      <c r="H298" s="112">
        <v>0</v>
      </c>
      <c r="I298" s="113">
        <v>216.47</v>
      </c>
      <c r="J298"/>
      <c r="K298"/>
      <c r="L298"/>
      <c r="M298"/>
      <c r="N298"/>
    </row>
    <row r="299" spans="1:14" x14ac:dyDescent="0.3">
      <c r="A299" s="102" t="s">
        <v>838</v>
      </c>
      <c r="B299" s="102" t="s">
        <v>2068</v>
      </c>
      <c r="C299" s="107" t="s">
        <v>54</v>
      </c>
      <c r="D299" s="102">
        <v>6</v>
      </c>
      <c r="E299" s="111">
        <v>327.16000000000003</v>
      </c>
      <c r="F299" s="112">
        <v>0</v>
      </c>
      <c r="G299" s="112">
        <v>0</v>
      </c>
      <c r="H299" s="112">
        <v>0</v>
      </c>
      <c r="I299" s="113">
        <v>327.16000000000003</v>
      </c>
      <c r="J299"/>
      <c r="K299"/>
      <c r="L299"/>
      <c r="M299"/>
      <c r="N299"/>
    </row>
    <row r="300" spans="1:14" x14ac:dyDescent="0.3">
      <c r="A300" s="102" t="s">
        <v>839</v>
      </c>
      <c r="B300" s="102" t="s">
        <v>2069</v>
      </c>
      <c r="C300" s="107" t="s">
        <v>54</v>
      </c>
      <c r="D300" s="102">
        <v>6</v>
      </c>
      <c r="E300" s="111">
        <v>338.04</v>
      </c>
      <c r="F300" s="112">
        <v>0</v>
      </c>
      <c r="G300" s="112">
        <v>0</v>
      </c>
      <c r="H300" s="112">
        <v>0</v>
      </c>
      <c r="I300" s="113">
        <v>338.04</v>
      </c>
      <c r="J300"/>
      <c r="K300"/>
      <c r="L300"/>
      <c r="M300"/>
      <c r="N300"/>
    </row>
    <row r="301" spans="1:14" x14ac:dyDescent="0.3">
      <c r="A301" s="102" t="s">
        <v>840</v>
      </c>
      <c r="B301" s="102" t="s">
        <v>2070</v>
      </c>
      <c r="C301" s="107" t="s">
        <v>54</v>
      </c>
      <c r="D301" s="102">
        <v>6</v>
      </c>
      <c r="E301" s="111">
        <v>703.91</v>
      </c>
      <c r="F301" s="112">
        <v>0</v>
      </c>
      <c r="G301" s="112">
        <v>0</v>
      </c>
      <c r="H301" s="112">
        <v>0</v>
      </c>
      <c r="I301" s="113">
        <v>703.91</v>
      </c>
      <c r="J301"/>
      <c r="K301"/>
      <c r="L301"/>
      <c r="M301"/>
      <c r="N301"/>
    </row>
    <row r="302" spans="1:14" x14ac:dyDescent="0.3">
      <c r="A302" s="102" t="s">
        <v>841</v>
      </c>
      <c r="B302" s="102" t="s">
        <v>2071</v>
      </c>
      <c r="C302" s="107" t="s">
        <v>54</v>
      </c>
      <c r="D302" s="102">
        <v>6</v>
      </c>
      <c r="E302" s="111">
        <v>40897.440000000002</v>
      </c>
      <c r="F302" s="112">
        <v>0</v>
      </c>
      <c r="G302" s="112">
        <v>0</v>
      </c>
      <c r="H302" s="112">
        <v>0</v>
      </c>
      <c r="I302" s="113">
        <v>40897.440000000002</v>
      </c>
      <c r="J302"/>
      <c r="K302"/>
      <c r="L302"/>
      <c r="M302"/>
      <c r="N302"/>
    </row>
    <row r="303" spans="1:14" x14ac:dyDescent="0.3">
      <c r="A303" s="102" t="s">
        <v>842</v>
      </c>
      <c r="B303" s="102" t="s">
        <v>2132</v>
      </c>
      <c r="C303" s="107" t="s">
        <v>54</v>
      </c>
      <c r="D303" s="102">
        <v>4</v>
      </c>
      <c r="E303" s="111">
        <v>337853.49</v>
      </c>
      <c r="F303" s="112">
        <v>0</v>
      </c>
      <c r="G303" s="112">
        <v>0</v>
      </c>
      <c r="H303" s="112">
        <v>1163.99</v>
      </c>
      <c r="I303" s="113">
        <v>339017.48</v>
      </c>
      <c r="J303"/>
      <c r="K303"/>
      <c r="L303"/>
      <c r="M303"/>
      <c r="N303"/>
    </row>
    <row r="304" spans="1:14" x14ac:dyDescent="0.3">
      <c r="A304" s="102" t="s">
        <v>843</v>
      </c>
      <c r="B304" s="102" t="s">
        <v>2067</v>
      </c>
      <c r="C304" s="107" t="s">
        <v>54</v>
      </c>
      <c r="D304" s="102">
        <v>6</v>
      </c>
      <c r="E304" s="111">
        <v>7325.78</v>
      </c>
      <c r="F304" s="112">
        <v>0</v>
      </c>
      <c r="G304" s="112">
        <v>0</v>
      </c>
      <c r="H304" s="112">
        <v>769.58</v>
      </c>
      <c r="I304" s="113">
        <v>8095.36</v>
      </c>
      <c r="J304"/>
      <c r="K304"/>
      <c r="L304"/>
      <c r="M304"/>
      <c r="N304"/>
    </row>
    <row r="305" spans="1:14" x14ac:dyDescent="0.3">
      <c r="A305" s="102" t="s">
        <v>844</v>
      </c>
      <c r="B305" s="102" t="s">
        <v>2068</v>
      </c>
      <c r="C305" s="107" t="s">
        <v>54</v>
      </c>
      <c r="D305" s="102">
        <v>6</v>
      </c>
      <c r="E305" s="111">
        <v>7945.57</v>
      </c>
      <c r="F305" s="112">
        <v>0</v>
      </c>
      <c r="G305" s="112">
        <v>0</v>
      </c>
      <c r="H305" s="112">
        <v>394.41</v>
      </c>
      <c r="I305" s="113">
        <v>8339.98</v>
      </c>
      <c r="J305"/>
      <c r="K305"/>
      <c r="L305"/>
      <c r="M305"/>
      <c r="N305"/>
    </row>
    <row r="306" spans="1:14" x14ac:dyDescent="0.3">
      <c r="A306" s="102" t="s">
        <v>845</v>
      </c>
      <c r="B306" s="102" t="s">
        <v>2069</v>
      </c>
      <c r="C306" s="107" t="s">
        <v>54</v>
      </c>
      <c r="D306" s="102">
        <v>6</v>
      </c>
      <c r="E306" s="111">
        <v>11715.1</v>
      </c>
      <c r="F306" s="112">
        <v>0</v>
      </c>
      <c r="G306" s="112">
        <v>0</v>
      </c>
      <c r="H306" s="112">
        <v>0</v>
      </c>
      <c r="I306" s="113">
        <v>11715.1</v>
      </c>
      <c r="J306"/>
      <c r="K306"/>
      <c r="L306"/>
      <c r="M306"/>
      <c r="N306"/>
    </row>
    <row r="307" spans="1:14" x14ac:dyDescent="0.3">
      <c r="A307" s="102" t="s">
        <v>846</v>
      </c>
      <c r="B307" s="102" t="s">
        <v>2070</v>
      </c>
      <c r="C307" s="107" t="s">
        <v>54</v>
      </c>
      <c r="D307" s="102">
        <v>6</v>
      </c>
      <c r="E307" s="111">
        <v>24151.03</v>
      </c>
      <c r="F307" s="112">
        <v>0</v>
      </c>
      <c r="G307" s="112">
        <v>0</v>
      </c>
      <c r="H307" s="112">
        <v>0</v>
      </c>
      <c r="I307" s="113">
        <v>24151.03</v>
      </c>
      <c r="J307"/>
      <c r="K307"/>
      <c r="L307"/>
      <c r="M307"/>
      <c r="N307"/>
    </row>
    <row r="308" spans="1:14" x14ac:dyDescent="0.3">
      <c r="A308" s="102" t="s">
        <v>847</v>
      </c>
      <c r="B308" s="102" t="s">
        <v>2071</v>
      </c>
      <c r="C308" s="107" t="s">
        <v>54</v>
      </c>
      <c r="D308" s="102">
        <v>6</v>
      </c>
      <c r="E308" s="111">
        <v>286716.01</v>
      </c>
      <c r="F308" s="112">
        <v>0</v>
      </c>
      <c r="G308" s="112">
        <v>0</v>
      </c>
      <c r="H308" s="112">
        <v>0</v>
      </c>
      <c r="I308" s="113">
        <v>286716.01</v>
      </c>
      <c r="J308"/>
      <c r="K308"/>
      <c r="L308"/>
      <c r="M308"/>
      <c r="N308"/>
    </row>
    <row r="309" spans="1:14" x14ac:dyDescent="0.3">
      <c r="A309" s="102" t="s">
        <v>848</v>
      </c>
      <c r="B309" s="102" t="s">
        <v>2133</v>
      </c>
      <c r="C309" s="107" t="s">
        <v>54</v>
      </c>
      <c r="D309" s="102">
        <v>4</v>
      </c>
      <c r="E309" s="111">
        <v>0</v>
      </c>
      <c r="F309" s="112">
        <v>0</v>
      </c>
      <c r="G309" s="112">
        <v>0</v>
      </c>
      <c r="H309" s="112">
        <v>0</v>
      </c>
      <c r="I309" s="113">
        <v>0</v>
      </c>
      <c r="J309"/>
      <c r="K309"/>
      <c r="L309"/>
      <c r="M309"/>
      <c r="N309"/>
    </row>
    <row r="310" spans="1:14" x14ac:dyDescent="0.3">
      <c r="A310" s="102" t="s">
        <v>849</v>
      </c>
      <c r="B310" s="102" t="s">
        <v>2067</v>
      </c>
      <c r="C310" s="107" t="s">
        <v>54</v>
      </c>
      <c r="D310" s="102">
        <v>6</v>
      </c>
      <c r="E310" s="111">
        <v>0</v>
      </c>
      <c r="F310" s="112">
        <v>0</v>
      </c>
      <c r="G310" s="112">
        <v>0</v>
      </c>
      <c r="H310" s="112">
        <v>0</v>
      </c>
      <c r="I310" s="113">
        <v>0</v>
      </c>
      <c r="J310"/>
      <c r="K310"/>
      <c r="L310"/>
      <c r="M310"/>
      <c r="N310"/>
    </row>
    <row r="311" spans="1:14" x14ac:dyDescent="0.3">
      <c r="A311" s="102" t="s">
        <v>850</v>
      </c>
      <c r="B311" s="102" t="s">
        <v>2068</v>
      </c>
      <c r="C311" s="107" t="s">
        <v>54</v>
      </c>
      <c r="D311" s="102">
        <v>6</v>
      </c>
      <c r="E311" s="111">
        <v>0</v>
      </c>
      <c r="F311" s="112">
        <v>0</v>
      </c>
      <c r="G311" s="112">
        <v>0</v>
      </c>
      <c r="H311" s="112">
        <v>0</v>
      </c>
      <c r="I311" s="113">
        <v>0</v>
      </c>
      <c r="J311"/>
      <c r="K311"/>
      <c r="L311"/>
      <c r="M311"/>
      <c r="N311"/>
    </row>
    <row r="312" spans="1:14" x14ac:dyDescent="0.3">
      <c r="A312" s="102" t="s">
        <v>851</v>
      </c>
      <c r="B312" s="102" t="s">
        <v>2069</v>
      </c>
      <c r="C312" s="107" t="s">
        <v>54</v>
      </c>
      <c r="D312" s="102">
        <v>6</v>
      </c>
      <c r="E312" s="111">
        <v>0</v>
      </c>
      <c r="F312" s="112">
        <v>0</v>
      </c>
      <c r="G312" s="112">
        <v>0</v>
      </c>
      <c r="H312" s="112">
        <v>0</v>
      </c>
      <c r="I312" s="113">
        <v>0</v>
      </c>
      <c r="J312"/>
      <c r="K312"/>
      <c r="L312"/>
      <c r="M312"/>
      <c r="N312"/>
    </row>
    <row r="313" spans="1:14" x14ac:dyDescent="0.3">
      <c r="A313" s="102" t="s">
        <v>852</v>
      </c>
      <c r="B313" s="102" t="s">
        <v>2070</v>
      </c>
      <c r="C313" s="107" t="s">
        <v>54</v>
      </c>
      <c r="D313" s="102">
        <v>6</v>
      </c>
      <c r="E313" s="111">
        <v>0</v>
      </c>
      <c r="F313" s="112">
        <v>0</v>
      </c>
      <c r="G313" s="112">
        <v>0</v>
      </c>
      <c r="H313" s="112">
        <v>0</v>
      </c>
      <c r="I313" s="113">
        <v>0</v>
      </c>
      <c r="J313"/>
      <c r="K313"/>
      <c r="L313"/>
      <c r="M313"/>
      <c r="N313"/>
    </row>
    <row r="314" spans="1:14" x14ac:dyDescent="0.3">
      <c r="A314" s="102" t="s">
        <v>853</v>
      </c>
      <c r="B314" s="102" t="s">
        <v>2071</v>
      </c>
      <c r="C314" s="107" t="s">
        <v>54</v>
      </c>
      <c r="D314" s="102">
        <v>6</v>
      </c>
      <c r="E314" s="111">
        <v>0</v>
      </c>
      <c r="F314" s="112">
        <v>0</v>
      </c>
      <c r="G314" s="112">
        <v>0</v>
      </c>
      <c r="H314" s="112">
        <v>0</v>
      </c>
      <c r="I314" s="113">
        <v>0</v>
      </c>
      <c r="J314"/>
      <c r="K314"/>
      <c r="L314"/>
      <c r="M314"/>
      <c r="N314"/>
    </row>
    <row r="315" spans="1:14" x14ac:dyDescent="0.3">
      <c r="A315" s="102" t="s">
        <v>854</v>
      </c>
      <c r="B315" s="102" t="s">
        <v>2134</v>
      </c>
      <c r="C315" s="107" t="s">
        <v>54</v>
      </c>
      <c r="D315" s="102">
        <v>4</v>
      </c>
      <c r="E315" s="111">
        <v>0</v>
      </c>
      <c r="F315" s="112">
        <v>0</v>
      </c>
      <c r="G315" s="112">
        <v>0</v>
      </c>
      <c r="H315" s="112">
        <v>0</v>
      </c>
      <c r="I315" s="113">
        <v>0</v>
      </c>
      <c r="J315"/>
      <c r="K315"/>
      <c r="L315"/>
      <c r="M315"/>
      <c r="N315"/>
    </row>
    <row r="316" spans="1:14" x14ac:dyDescent="0.3">
      <c r="A316" s="102" t="s">
        <v>855</v>
      </c>
      <c r="B316" s="102" t="s">
        <v>2067</v>
      </c>
      <c r="C316" s="107" t="s">
        <v>54</v>
      </c>
      <c r="D316" s="102">
        <v>6</v>
      </c>
      <c r="E316" s="111">
        <v>0</v>
      </c>
      <c r="F316" s="112">
        <v>0</v>
      </c>
      <c r="G316" s="112">
        <v>0</v>
      </c>
      <c r="H316" s="112">
        <v>0</v>
      </c>
      <c r="I316" s="113">
        <v>0</v>
      </c>
      <c r="J316"/>
      <c r="K316"/>
      <c r="L316"/>
      <c r="M316"/>
      <c r="N316"/>
    </row>
    <row r="317" spans="1:14" x14ac:dyDescent="0.3">
      <c r="A317" s="102" t="s">
        <v>856</v>
      </c>
      <c r="B317" s="102" t="s">
        <v>2068</v>
      </c>
      <c r="C317" s="107" t="s">
        <v>54</v>
      </c>
      <c r="D317" s="102">
        <v>6</v>
      </c>
      <c r="E317" s="111">
        <v>0</v>
      </c>
      <c r="F317" s="112">
        <v>0</v>
      </c>
      <c r="G317" s="112">
        <v>0</v>
      </c>
      <c r="H317" s="112">
        <v>0</v>
      </c>
      <c r="I317" s="113">
        <v>0</v>
      </c>
      <c r="J317"/>
      <c r="K317"/>
      <c r="L317"/>
      <c r="M317"/>
      <c r="N317"/>
    </row>
    <row r="318" spans="1:14" x14ac:dyDescent="0.3">
      <c r="A318" s="102" t="s">
        <v>857</v>
      </c>
      <c r="B318" s="102" t="s">
        <v>2069</v>
      </c>
      <c r="C318" s="107" t="s">
        <v>54</v>
      </c>
      <c r="D318" s="102">
        <v>6</v>
      </c>
      <c r="E318" s="111">
        <v>0</v>
      </c>
      <c r="F318" s="112">
        <v>0</v>
      </c>
      <c r="G318" s="112">
        <v>0</v>
      </c>
      <c r="H318" s="112">
        <v>0</v>
      </c>
      <c r="I318" s="113">
        <v>0</v>
      </c>
      <c r="J318"/>
      <c r="K318"/>
      <c r="L318"/>
      <c r="M318"/>
      <c r="N318"/>
    </row>
    <row r="319" spans="1:14" x14ac:dyDescent="0.3">
      <c r="A319" s="102" t="s">
        <v>858</v>
      </c>
      <c r="B319" s="102" t="s">
        <v>2070</v>
      </c>
      <c r="C319" s="107" t="s">
        <v>54</v>
      </c>
      <c r="D319" s="102">
        <v>6</v>
      </c>
      <c r="E319" s="111">
        <v>0</v>
      </c>
      <c r="F319" s="112">
        <v>0</v>
      </c>
      <c r="G319" s="112">
        <v>0</v>
      </c>
      <c r="H319" s="112">
        <v>0</v>
      </c>
      <c r="I319" s="113">
        <v>0</v>
      </c>
      <c r="J319"/>
      <c r="K319"/>
      <c r="L319"/>
      <c r="M319"/>
      <c r="N319"/>
    </row>
    <row r="320" spans="1:14" x14ac:dyDescent="0.3">
      <c r="A320" s="102" t="s">
        <v>859</v>
      </c>
      <c r="B320" s="102" t="s">
        <v>2071</v>
      </c>
      <c r="C320" s="107" t="s">
        <v>54</v>
      </c>
      <c r="D320" s="102">
        <v>6</v>
      </c>
      <c r="E320" s="111">
        <v>0</v>
      </c>
      <c r="F320" s="112">
        <v>0</v>
      </c>
      <c r="G320" s="112">
        <v>0</v>
      </c>
      <c r="H320" s="112">
        <v>0</v>
      </c>
      <c r="I320" s="113">
        <v>0</v>
      </c>
      <c r="J320"/>
      <c r="K320"/>
      <c r="L320"/>
      <c r="M320"/>
      <c r="N320"/>
    </row>
    <row r="321" spans="1:14" x14ac:dyDescent="0.3">
      <c r="A321" s="102" t="s">
        <v>860</v>
      </c>
      <c r="B321" s="102" t="s">
        <v>2135</v>
      </c>
      <c r="C321" s="107" t="s">
        <v>54</v>
      </c>
      <c r="D321" s="102">
        <v>4</v>
      </c>
      <c r="E321" s="111">
        <v>0</v>
      </c>
      <c r="F321" s="112">
        <v>0</v>
      </c>
      <c r="G321" s="112">
        <v>0</v>
      </c>
      <c r="H321" s="112">
        <v>0</v>
      </c>
      <c r="I321" s="113">
        <v>0</v>
      </c>
      <c r="J321"/>
      <c r="K321"/>
      <c r="L321"/>
      <c r="M321"/>
      <c r="N321"/>
    </row>
    <row r="322" spans="1:14" x14ac:dyDescent="0.3">
      <c r="A322" s="102" t="s">
        <v>861</v>
      </c>
      <c r="B322" s="102" t="s">
        <v>2067</v>
      </c>
      <c r="C322" s="107" t="s">
        <v>54</v>
      </c>
      <c r="D322" s="102">
        <v>6</v>
      </c>
      <c r="E322" s="111">
        <v>0</v>
      </c>
      <c r="F322" s="112">
        <v>0</v>
      </c>
      <c r="G322" s="112">
        <v>0</v>
      </c>
      <c r="H322" s="112">
        <v>0</v>
      </c>
      <c r="I322" s="113">
        <v>0</v>
      </c>
      <c r="J322"/>
      <c r="K322"/>
      <c r="L322"/>
      <c r="M322"/>
      <c r="N322"/>
    </row>
    <row r="323" spans="1:14" x14ac:dyDescent="0.3">
      <c r="A323" s="102" t="s">
        <v>862</v>
      </c>
      <c r="B323" s="102" t="s">
        <v>2068</v>
      </c>
      <c r="C323" s="107" t="s">
        <v>54</v>
      </c>
      <c r="D323" s="102">
        <v>6</v>
      </c>
      <c r="E323" s="111">
        <v>0</v>
      </c>
      <c r="F323" s="112">
        <v>0</v>
      </c>
      <c r="G323" s="112">
        <v>0</v>
      </c>
      <c r="H323" s="112">
        <v>0</v>
      </c>
      <c r="I323" s="113">
        <v>0</v>
      </c>
      <c r="J323"/>
      <c r="K323"/>
      <c r="L323"/>
      <c r="M323"/>
      <c r="N323"/>
    </row>
    <row r="324" spans="1:14" x14ac:dyDescent="0.3">
      <c r="A324" s="102" t="s">
        <v>863</v>
      </c>
      <c r="B324" s="102" t="s">
        <v>2069</v>
      </c>
      <c r="C324" s="107" t="s">
        <v>54</v>
      </c>
      <c r="D324" s="102">
        <v>6</v>
      </c>
      <c r="E324" s="111">
        <v>0</v>
      </c>
      <c r="F324" s="112">
        <v>0</v>
      </c>
      <c r="G324" s="112">
        <v>0</v>
      </c>
      <c r="H324" s="112">
        <v>0</v>
      </c>
      <c r="I324" s="113">
        <v>0</v>
      </c>
      <c r="J324"/>
      <c r="K324"/>
      <c r="L324"/>
      <c r="M324"/>
      <c r="N324"/>
    </row>
    <row r="325" spans="1:14" x14ac:dyDescent="0.3">
      <c r="A325" s="102" t="s">
        <v>864</v>
      </c>
      <c r="B325" s="102" t="s">
        <v>2070</v>
      </c>
      <c r="C325" s="107" t="s">
        <v>54</v>
      </c>
      <c r="D325" s="102">
        <v>6</v>
      </c>
      <c r="E325" s="111">
        <v>0</v>
      </c>
      <c r="F325" s="112">
        <v>0</v>
      </c>
      <c r="G325" s="112">
        <v>0</v>
      </c>
      <c r="H325" s="112">
        <v>0</v>
      </c>
      <c r="I325" s="113">
        <v>0</v>
      </c>
      <c r="J325"/>
      <c r="K325"/>
      <c r="L325"/>
      <c r="M325"/>
      <c r="N325"/>
    </row>
    <row r="326" spans="1:14" x14ac:dyDescent="0.3">
      <c r="A326" s="102" t="s">
        <v>865</v>
      </c>
      <c r="B326" s="102" t="s">
        <v>2071</v>
      </c>
      <c r="C326" s="107" t="s">
        <v>54</v>
      </c>
      <c r="D326" s="102">
        <v>6</v>
      </c>
      <c r="E326" s="111">
        <v>0</v>
      </c>
      <c r="F326" s="112">
        <v>0</v>
      </c>
      <c r="G326" s="112">
        <v>0</v>
      </c>
      <c r="H326" s="112">
        <v>0</v>
      </c>
      <c r="I326" s="113">
        <v>0</v>
      </c>
      <c r="J326"/>
      <c r="K326"/>
      <c r="L326"/>
      <c r="M326"/>
      <c r="N326"/>
    </row>
    <row r="327" spans="1:14" x14ac:dyDescent="0.3">
      <c r="A327" s="102" t="s">
        <v>866</v>
      </c>
      <c r="B327" s="102" t="s">
        <v>2136</v>
      </c>
      <c r="C327" s="107" t="s">
        <v>54</v>
      </c>
      <c r="D327" s="102">
        <v>4</v>
      </c>
      <c r="E327" s="111">
        <v>0</v>
      </c>
      <c r="F327" s="112">
        <v>0</v>
      </c>
      <c r="G327" s="112">
        <v>0</v>
      </c>
      <c r="H327" s="112">
        <v>0</v>
      </c>
      <c r="I327" s="113">
        <v>0</v>
      </c>
      <c r="J327"/>
      <c r="K327"/>
      <c r="L327"/>
      <c r="M327"/>
      <c r="N327"/>
    </row>
    <row r="328" spans="1:14" x14ac:dyDescent="0.3">
      <c r="A328" s="102" t="s">
        <v>867</v>
      </c>
      <c r="B328" s="102" t="s">
        <v>2067</v>
      </c>
      <c r="C328" s="107" t="s">
        <v>54</v>
      </c>
      <c r="D328" s="102">
        <v>6</v>
      </c>
      <c r="E328" s="111">
        <v>0</v>
      </c>
      <c r="F328" s="112">
        <v>0</v>
      </c>
      <c r="G328" s="112">
        <v>0</v>
      </c>
      <c r="H328" s="112">
        <v>0</v>
      </c>
      <c r="I328" s="113">
        <v>0</v>
      </c>
      <c r="J328"/>
      <c r="K328"/>
      <c r="L328"/>
      <c r="M328"/>
      <c r="N328"/>
    </row>
    <row r="329" spans="1:14" x14ac:dyDescent="0.3">
      <c r="A329" s="102" t="s">
        <v>868</v>
      </c>
      <c r="B329" s="102" t="s">
        <v>2068</v>
      </c>
      <c r="C329" s="107" t="s">
        <v>54</v>
      </c>
      <c r="D329" s="102">
        <v>6</v>
      </c>
      <c r="E329" s="111">
        <v>0</v>
      </c>
      <c r="F329" s="112">
        <v>0</v>
      </c>
      <c r="G329" s="112">
        <v>0</v>
      </c>
      <c r="H329" s="112">
        <v>0</v>
      </c>
      <c r="I329" s="113">
        <v>0</v>
      </c>
      <c r="J329"/>
      <c r="K329"/>
      <c r="L329"/>
      <c r="M329"/>
      <c r="N329"/>
    </row>
    <row r="330" spans="1:14" x14ac:dyDescent="0.3">
      <c r="A330" s="102" t="s">
        <v>869</v>
      </c>
      <c r="B330" s="102" t="s">
        <v>2069</v>
      </c>
      <c r="C330" s="107" t="s">
        <v>54</v>
      </c>
      <c r="D330" s="102">
        <v>6</v>
      </c>
      <c r="E330" s="111">
        <v>0</v>
      </c>
      <c r="F330" s="112">
        <v>0</v>
      </c>
      <c r="G330" s="112">
        <v>0</v>
      </c>
      <c r="H330" s="112">
        <v>0</v>
      </c>
      <c r="I330" s="113">
        <v>0</v>
      </c>
      <c r="J330"/>
      <c r="K330"/>
      <c r="L330"/>
      <c r="M330"/>
      <c r="N330"/>
    </row>
    <row r="331" spans="1:14" x14ac:dyDescent="0.3">
      <c r="A331" s="102" t="s">
        <v>870</v>
      </c>
      <c r="B331" s="102" t="s">
        <v>2070</v>
      </c>
      <c r="C331" s="107" t="s">
        <v>54</v>
      </c>
      <c r="D331" s="102">
        <v>6</v>
      </c>
      <c r="E331" s="111">
        <v>0</v>
      </c>
      <c r="F331" s="112">
        <v>0</v>
      </c>
      <c r="G331" s="112">
        <v>0</v>
      </c>
      <c r="H331" s="112">
        <v>0</v>
      </c>
      <c r="I331" s="113">
        <v>0</v>
      </c>
      <c r="J331"/>
      <c r="K331"/>
      <c r="L331"/>
      <c r="M331"/>
      <c r="N331"/>
    </row>
    <row r="332" spans="1:14" x14ac:dyDescent="0.3">
      <c r="A332" s="102" t="s">
        <v>871</v>
      </c>
      <c r="B332" s="102" t="s">
        <v>2071</v>
      </c>
      <c r="C332" s="107" t="s">
        <v>54</v>
      </c>
      <c r="D332" s="102">
        <v>6</v>
      </c>
      <c r="E332" s="111">
        <v>0</v>
      </c>
      <c r="F332" s="112">
        <v>0</v>
      </c>
      <c r="G332" s="112">
        <v>0</v>
      </c>
      <c r="H332" s="112">
        <v>0</v>
      </c>
      <c r="I332" s="113">
        <v>0</v>
      </c>
      <c r="J332"/>
      <c r="K332"/>
      <c r="L332"/>
      <c r="M332"/>
      <c r="N332"/>
    </row>
    <row r="333" spans="1:14" x14ac:dyDescent="0.3">
      <c r="A333" s="102" t="s">
        <v>872</v>
      </c>
      <c r="B333" s="102" t="s">
        <v>2137</v>
      </c>
      <c r="C333" s="107" t="s">
        <v>54</v>
      </c>
      <c r="D333" s="102">
        <v>4</v>
      </c>
      <c r="E333" s="111">
        <v>0</v>
      </c>
      <c r="F333" s="112">
        <v>0</v>
      </c>
      <c r="G333" s="112">
        <v>3587.26</v>
      </c>
      <c r="H333" s="112">
        <v>347804.43</v>
      </c>
      <c r="I333" s="113">
        <v>351391.69</v>
      </c>
      <c r="J333"/>
      <c r="K333"/>
      <c r="L333"/>
      <c r="M333"/>
      <c r="N333"/>
    </row>
    <row r="334" spans="1:14" x14ac:dyDescent="0.3">
      <c r="A334" s="102" t="s">
        <v>873</v>
      </c>
      <c r="B334" s="102" t="s">
        <v>2067</v>
      </c>
      <c r="C334" s="107" t="s">
        <v>54</v>
      </c>
      <c r="D334" s="102">
        <v>6</v>
      </c>
      <c r="E334" s="111">
        <v>0</v>
      </c>
      <c r="F334" s="112">
        <v>0</v>
      </c>
      <c r="G334" s="112">
        <v>206.87</v>
      </c>
      <c r="H334" s="112">
        <v>24695.97</v>
      </c>
      <c r="I334" s="113">
        <v>24902.84</v>
      </c>
      <c r="J334"/>
      <c r="K334"/>
      <c r="L334"/>
      <c r="M334"/>
      <c r="N334"/>
    </row>
    <row r="335" spans="1:14" x14ac:dyDescent="0.3">
      <c r="A335" s="102" t="s">
        <v>874</v>
      </c>
      <c r="B335" s="102" t="s">
        <v>2068</v>
      </c>
      <c r="C335" s="107" t="s">
        <v>54</v>
      </c>
      <c r="D335" s="102">
        <v>6</v>
      </c>
      <c r="E335" s="111">
        <v>0</v>
      </c>
      <c r="F335" s="112">
        <v>0</v>
      </c>
      <c r="G335" s="112">
        <v>212.25</v>
      </c>
      <c r="H335" s="112">
        <v>55905.83</v>
      </c>
      <c r="I335" s="113">
        <v>56118.080000000002</v>
      </c>
      <c r="J335"/>
      <c r="K335"/>
      <c r="L335"/>
      <c r="M335"/>
      <c r="N335"/>
    </row>
    <row r="336" spans="1:14" x14ac:dyDescent="0.3">
      <c r="A336" s="102" t="s">
        <v>875</v>
      </c>
      <c r="B336" s="102" t="s">
        <v>2069</v>
      </c>
      <c r="C336" s="107" t="s">
        <v>54</v>
      </c>
      <c r="D336" s="102">
        <v>6</v>
      </c>
      <c r="E336" s="111">
        <v>0</v>
      </c>
      <c r="F336" s="112">
        <v>0</v>
      </c>
      <c r="G336" s="112">
        <v>328.76</v>
      </c>
      <c r="H336" s="112">
        <v>55377.07</v>
      </c>
      <c r="I336" s="113">
        <v>55705.83</v>
      </c>
      <c r="J336"/>
      <c r="K336"/>
      <c r="L336"/>
      <c r="M336"/>
      <c r="N336"/>
    </row>
    <row r="337" spans="1:14" x14ac:dyDescent="0.3">
      <c r="A337" s="102" t="s">
        <v>876</v>
      </c>
      <c r="B337" s="102" t="s">
        <v>2070</v>
      </c>
      <c r="C337" s="107" t="s">
        <v>54</v>
      </c>
      <c r="D337" s="102">
        <v>6</v>
      </c>
      <c r="E337" s="111">
        <v>0</v>
      </c>
      <c r="F337" s="112">
        <v>0</v>
      </c>
      <c r="G337" s="112">
        <v>696.72</v>
      </c>
      <c r="H337" s="112">
        <v>84299</v>
      </c>
      <c r="I337" s="113">
        <v>84995.72</v>
      </c>
      <c r="J337"/>
      <c r="K337"/>
      <c r="L337"/>
      <c r="M337"/>
      <c r="N337"/>
    </row>
    <row r="338" spans="1:14" x14ac:dyDescent="0.3">
      <c r="A338" s="102" t="s">
        <v>877</v>
      </c>
      <c r="B338" s="102" t="s">
        <v>2071</v>
      </c>
      <c r="C338" s="107" t="s">
        <v>54</v>
      </c>
      <c r="D338" s="102">
        <v>6</v>
      </c>
      <c r="E338" s="111">
        <v>0</v>
      </c>
      <c r="F338" s="112">
        <v>0</v>
      </c>
      <c r="G338" s="112">
        <v>2142.66</v>
      </c>
      <c r="H338" s="112">
        <v>127526.56</v>
      </c>
      <c r="I338" s="113">
        <v>129669.22</v>
      </c>
      <c r="J338"/>
      <c r="K338"/>
      <c r="L338"/>
      <c r="M338"/>
      <c r="N338"/>
    </row>
    <row r="339" spans="1:14" x14ac:dyDescent="0.3">
      <c r="A339" s="102" t="s">
        <v>878</v>
      </c>
      <c r="B339" s="102" t="s">
        <v>2138</v>
      </c>
      <c r="C339" s="107" t="s">
        <v>54</v>
      </c>
      <c r="D339" s="102">
        <v>4</v>
      </c>
      <c r="E339" s="111">
        <v>0</v>
      </c>
      <c r="F339" s="112">
        <v>0</v>
      </c>
      <c r="G339" s="112">
        <v>0</v>
      </c>
      <c r="H339" s="112">
        <v>0</v>
      </c>
      <c r="I339" s="113">
        <v>0</v>
      </c>
      <c r="J339"/>
      <c r="K339"/>
      <c r="L339"/>
      <c r="M339"/>
      <c r="N339"/>
    </row>
    <row r="340" spans="1:14" x14ac:dyDescent="0.3">
      <c r="A340" s="102" t="s">
        <v>879</v>
      </c>
      <c r="B340" s="102" t="s">
        <v>2067</v>
      </c>
      <c r="C340" s="107" t="s">
        <v>54</v>
      </c>
      <c r="D340" s="102">
        <v>6</v>
      </c>
      <c r="E340" s="111">
        <v>0</v>
      </c>
      <c r="F340" s="112">
        <v>0</v>
      </c>
      <c r="G340" s="112">
        <v>0</v>
      </c>
      <c r="H340" s="112">
        <v>0</v>
      </c>
      <c r="I340" s="113">
        <v>0</v>
      </c>
      <c r="J340"/>
      <c r="K340"/>
      <c r="L340"/>
      <c r="M340"/>
      <c r="N340"/>
    </row>
    <row r="341" spans="1:14" x14ac:dyDescent="0.3">
      <c r="A341" s="102" t="s">
        <v>880</v>
      </c>
      <c r="B341" s="102" t="s">
        <v>2068</v>
      </c>
      <c r="C341" s="107" t="s">
        <v>54</v>
      </c>
      <c r="D341" s="102">
        <v>6</v>
      </c>
      <c r="E341" s="111">
        <v>0</v>
      </c>
      <c r="F341" s="112">
        <v>0</v>
      </c>
      <c r="G341" s="112">
        <v>0</v>
      </c>
      <c r="H341" s="112">
        <v>0</v>
      </c>
      <c r="I341" s="113">
        <v>0</v>
      </c>
      <c r="J341"/>
      <c r="K341"/>
      <c r="L341"/>
      <c r="M341"/>
      <c r="N341"/>
    </row>
    <row r="342" spans="1:14" x14ac:dyDescent="0.3">
      <c r="A342" s="102" t="s">
        <v>881</v>
      </c>
      <c r="B342" s="102" t="s">
        <v>2069</v>
      </c>
      <c r="C342" s="107" t="s">
        <v>54</v>
      </c>
      <c r="D342" s="102">
        <v>6</v>
      </c>
      <c r="E342" s="111">
        <v>0</v>
      </c>
      <c r="F342" s="112">
        <v>0</v>
      </c>
      <c r="G342" s="112">
        <v>0</v>
      </c>
      <c r="H342" s="112">
        <v>0</v>
      </c>
      <c r="I342" s="113">
        <v>0</v>
      </c>
      <c r="J342"/>
      <c r="K342"/>
      <c r="L342"/>
      <c r="M342"/>
      <c r="N342"/>
    </row>
    <row r="343" spans="1:14" x14ac:dyDescent="0.3">
      <c r="A343" s="102" t="s">
        <v>882</v>
      </c>
      <c r="B343" s="102" t="s">
        <v>2070</v>
      </c>
      <c r="C343" s="107" t="s">
        <v>54</v>
      </c>
      <c r="D343" s="102">
        <v>6</v>
      </c>
      <c r="E343" s="111">
        <v>0</v>
      </c>
      <c r="F343" s="112">
        <v>0</v>
      </c>
      <c r="G343" s="112">
        <v>0</v>
      </c>
      <c r="H343" s="112">
        <v>0</v>
      </c>
      <c r="I343" s="113">
        <v>0</v>
      </c>
      <c r="J343"/>
      <c r="K343"/>
      <c r="L343"/>
      <c r="M343"/>
      <c r="N343"/>
    </row>
    <row r="344" spans="1:14" x14ac:dyDescent="0.3">
      <c r="A344" s="102" t="s">
        <v>883</v>
      </c>
      <c r="B344" s="102" t="s">
        <v>2071</v>
      </c>
      <c r="C344" s="107" t="s">
        <v>54</v>
      </c>
      <c r="D344" s="102">
        <v>6</v>
      </c>
      <c r="E344" s="111">
        <v>0</v>
      </c>
      <c r="F344" s="112">
        <v>0</v>
      </c>
      <c r="G344" s="112">
        <v>0</v>
      </c>
      <c r="H344" s="112">
        <v>0</v>
      </c>
      <c r="I344" s="113">
        <v>0</v>
      </c>
      <c r="J344"/>
      <c r="K344"/>
      <c r="L344"/>
      <c r="M344"/>
      <c r="N344"/>
    </row>
    <row r="345" spans="1:14" x14ac:dyDescent="0.3">
      <c r="A345" s="102" t="s">
        <v>884</v>
      </c>
      <c r="B345" s="102" t="s">
        <v>2139</v>
      </c>
      <c r="C345" s="107" t="s">
        <v>54</v>
      </c>
      <c r="D345" s="102">
        <v>4</v>
      </c>
      <c r="E345" s="111">
        <v>0</v>
      </c>
      <c r="F345" s="112">
        <v>0</v>
      </c>
      <c r="G345" s="112">
        <v>0</v>
      </c>
      <c r="H345" s="112">
        <v>0</v>
      </c>
      <c r="I345" s="113">
        <v>0</v>
      </c>
      <c r="J345"/>
      <c r="K345"/>
      <c r="L345"/>
      <c r="M345"/>
      <c r="N345"/>
    </row>
    <row r="346" spans="1:14" x14ac:dyDescent="0.3">
      <c r="A346" s="102" t="s">
        <v>885</v>
      </c>
      <c r="B346" s="102" t="s">
        <v>2067</v>
      </c>
      <c r="C346" s="107" t="s">
        <v>54</v>
      </c>
      <c r="D346" s="102">
        <v>6</v>
      </c>
      <c r="E346" s="111">
        <v>0</v>
      </c>
      <c r="F346" s="112">
        <v>0</v>
      </c>
      <c r="G346" s="112">
        <v>0</v>
      </c>
      <c r="H346" s="112">
        <v>0</v>
      </c>
      <c r="I346" s="113">
        <v>0</v>
      </c>
      <c r="J346"/>
      <c r="K346"/>
      <c r="L346"/>
      <c r="M346"/>
      <c r="N346"/>
    </row>
    <row r="347" spans="1:14" x14ac:dyDescent="0.3">
      <c r="A347" s="102" t="s">
        <v>886</v>
      </c>
      <c r="B347" s="102" t="s">
        <v>2068</v>
      </c>
      <c r="C347" s="107" t="s">
        <v>54</v>
      </c>
      <c r="D347" s="102">
        <v>6</v>
      </c>
      <c r="E347" s="111">
        <v>0</v>
      </c>
      <c r="F347" s="112">
        <v>0</v>
      </c>
      <c r="G347" s="112">
        <v>0</v>
      </c>
      <c r="H347" s="112">
        <v>0</v>
      </c>
      <c r="I347" s="113">
        <v>0</v>
      </c>
      <c r="J347"/>
      <c r="K347"/>
      <c r="L347"/>
      <c r="M347"/>
      <c r="N347"/>
    </row>
    <row r="348" spans="1:14" x14ac:dyDescent="0.3">
      <c r="A348" s="102" t="s">
        <v>887</v>
      </c>
      <c r="B348" s="102" t="s">
        <v>2069</v>
      </c>
      <c r="C348" s="107" t="s">
        <v>54</v>
      </c>
      <c r="D348" s="102">
        <v>6</v>
      </c>
      <c r="E348" s="111">
        <v>0</v>
      </c>
      <c r="F348" s="112">
        <v>0</v>
      </c>
      <c r="G348" s="112">
        <v>0</v>
      </c>
      <c r="H348" s="112">
        <v>0</v>
      </c>
      <c r="I348" s="113">
        <v>0</v>
      </c>
      <c r="J348"/>
      <c r="K348"/>
      <c r="L348"/>
      <c r="M348"/>
      <c r="N348"/>
    </row>
    <row r="349" spans="1:14" x14ac:dyDescent="0.3">
      <c r="A349" s="102" t="s">
        <v>888</v>
      </c>
      <c r="B349" s="102" t="s">
        <v>2070</v>
      </c>
      <c r="C349" s="107" t="s">
        <v>54</v>
      </c>
      <c r="D349" s="102">
        <v>6</v>
      </c>
      <c r="E349" s="111">
        <v>0</v>
      </c>
      <c r="F349" s="112">
        <v>0</v>
      </c>
      <c r="G349" s="112">
        <v>0</v>
      </c>
      <c r="H349" s="112">
        <v>0</v>
      </c>
      <c r="I349" s="113">
        <v>0</v>
      </c>
      <c r="J349"/>
      <c r="K349"/>
      <c r="L349"/>
      <c r="M349"/>
      <c r="N349"/>
    </row>
    <row r="350" spans="1:14" x14ac:dyDescent="0.3">
      <c r="A350" s="102" t="s">
        <v>889</v>
      </c>
      <c r="B350" s="102" t="s">
        <v>2071</v>
      </c>
      <c r="C350" s="107" t="s">
        <v>54</v>
      </c>
      <c r="D350" s="102">
        <v>6</v>
      </c>
      <c r="E350" s="111">
        <v>0</v>
      </c>
      <c r="F350" s="112">
        <v>0</v>
      </c>
      <c r="G350" s="112">
        <v>0</v>
      </c>
      <c r="H350" s="112">
        <v>0</v>
      </c>
      <c r="I350" s="113">
        <v>0</v>
      </c>
      <c r="J350"/>
      <c r="K350"/>
      <c r="L350"/>
      <c r="M350"/>
      <c r="N350"/>
    </row>
    <row r="351" spans="1:14" x14ac:dyDescent="0.3">
      <c r="A351" s="102" t="s">
        <v>890</v>
      </c>
      <c r="B351" s="102" t="s">
        <v>2140</v>
      </c>
      <c r="C351" s="107" t="s">
        <v>54</v>
      </c>
      <c r="D351" s="102">
        <v>4</v>
      </c>
      <c r="E351" s="111">
        <v>0</v>
      </c>
      <c r="F351" s="112">
        <v>0</v>
      </c>
      <c r="G351" s="112">
        <v>0</v>
      </c>
      <c r="H351" s="112">
        <v>0</v>
      </c>
      <c r="I351" s="113">
        <v>0</v>
      </c>
      <c r="J351"/>
      <c r="K351"/>
      <c r="L351"/>
      <c r="M351"/>
      <c r="N351"/>
    </row>
    <row r="352" spans="1:14" x14ac:dyDescent="0.3">
      <c r="A352" s="102" t="s">
        <v>891</v>
      </c>
      <c r="B352" s="102" t="s">
        <v>2067</v>
      </c>
      <c r="C352" s="107" t="s">
        <v>54</v>
      </c>
      <c r="D352" s="102">
        <v>6</v>
      </c>
      <c r="E352" s="111">
        <v>0</v>
      </c>
      <c r="F352" s="112">
        <v>0</v>
      </c>
      <c r="G352" s="112">
        <v>0</v>
      </c>
      <c r="H352" s="112">
        <v>0</v>
      </c>
      <c r="I352" s="113">
        <v>0</v>
      </c>
      <c r="J352"/>
      <c r="K352"/>
      <c r="L352"/>
      <c r="M352"/>
      <c r="N352"/>
    </row>
    <row r="353" spans="1:14" x14ac:dyDescent="0.3">
      <c r="A353" s="102" t="s">
        <v>892</v>
      </c>
      <c r="B353" s="102" t="s">
        <v>2068</v>
      </c>
      <c r="C353" s="107" t="s">
        <v>54</v>
      </c>
      <c r="D353" s="102">
        <v>6</v>
      </c>
      <c r="E353" s="111">
        <v>0</v>
      </c>
      <c r="F353" s="112">
        <v>0</v>
      </c>
      <c r="G353" s="112">
        <v>0</v>
      </c>
      <c r="H353" s="112">
        <v>0</v>
      </c>
      <c r="I353" s="113">
        <v>0</v>
      </c>
      <c r="J353"/>
      <c r="K353"/>
      <c r="L353"/>
      <c r="M353"/>
      <c r="N353"/>
    </row>
    <row r="354" spans="1:14" x14ac:dyDescent="0.3">
      <c r="A354" s="102" t="s">
        <v>893</v>
      </c>
      <c r="B354" s="102" t="s">
        <v>2069</v>
      </c>
      <c r="C354" s="107" t="s">
        <v>54</v>
      </c>
      <c r="D354" s="102">
        <v>6</v>
      </c>
      <c r="E354" s="111">
        <v>0</v>
      </c>
      <c r="F354" s="112">
        <v>0</v>
      </c>
      <c r="G354" s="112">
        <v>0</v>
      </c>
      <c r="H354" s="112">
        <v>0</v>
      </c>
      <c r="I354" s="113">
        <v>0</v>
      </c>
      <c r="J354"/>
      <c r="K354"/>
      <c r="L354"/>
      <c r="M354"/>
      <c r="N354"/>
    </row>
    <row r="355" spans="1:14" x14ac:dyDescent="0.3">
      <c r="A355" s="102" t="s">
        <v>894</v>
      </c>
      <c r="B355" s="102" t="s">
        <v>2070</v>
      </c>
      <c r="C355" s="107" t="s">
        <v>54</v>
      </c>
      <c r="D355" s="102">
        <v>6</v>
      </c>
      <c r="E355" s="111">
        <v>0</v>
      </c>
      <c r="F355" s="112">
        <v>0</v>
      </c>
      <c r="G355" s="112">
        <v>0</v>
      </c>
      <c r="H355" s="112">
        <v>0</v>
      </c>
      <c r="I355" s="113">
        <v>0</v>
      </c>
      <c r="J355"/>
      <c r="K355"/>
      <c r="L355"/>
      <c r="M355"/>
      <c r="N355"/>
    </row>
    <row r="356" spans="1:14" x14ac:dyDescent="0.3">
      <c r="A356" s="102" t="s">
        <v>895</v>
      </c>
      <c r="B356" s="102" t="s">
        <v>2071</v>
      </c>
      <c r="C356" s="107" t="s">
        <v>54</v>
      </c>
      <c r="D356" s="102">
        <v>6</v>
      </c>
      <c r="E356" s="111">
        <v>0</v>
      </c>
      <c r="F356" s="112">
        <v>0</v>
      </c>
      <c r="G356" s="112">
        <v>0</v>
      </c>
      <c r="H356" s="112">
        <v>0</v>
      </c>
      <c r="I356" s="113">
        <v>0</v>
      </c>
      <c r="J356"/>
      <c r="K356"/>
      <c r="L356"/>
      <c r="M356"/>
      <c r="N356"/>
    </row>
    <row r="357" spans="1:14" x14ac:dyDescent="0.3">
      <c r="A357" s="102" t="s">
        <v>896</v>
      </c>
      <c r="B357" s="102" t="s">
        <v>2141</v>
      </c>
      <c r="C357" s="107" t="s">
        <v>54</v>
      </c>
      <c r="D357" s="102">
        <v>4</v>
      </c>
      <c r="E357" s="111">
        <v>0</v>
      </c>
      <c r="F357" s="112">
        <v>0</v>
      </c>
      <c r="G357" s="112">
        <v>0</v>
      </c>
      <c r="H357" s="112">
        <v>0</v>
      </c>
      <c r="I357" s="113">
        <v>0</v>
      </c>
      <c r="J357"/>
      <c r="K357"/>
      <c r="L357"/>
      <c r="M357"/>
      <c r="N357"/>
    </row>
    <row r="358" spans="1:14" x14ac:dyDescent="0.3">
      <c r="A358" s="102" t="s">
        <v>897</v>
      </c>
      <c r="B358" s="102" t="s">
        <v>2067</v>
      </c>
      <c r="C358" s="107" t="s">
        <v>54</v>
      </c>
      <c r="D358" s="102">
        <v>6</v>
      </c>
      <c r="E358" s="111">
        <v>0</v>
      </c>
      <c r="F358" s="112">
        <v>0</v>
      </c>
      <c r="G358" s="112">
        <v>0</v>
      </c>
      <c r="H358" s="112">
        <v>0</v>
      </c>
      <c r="I358" s="113">
        <v>0</v>
      </c>
      <c r="J358"/>
      <c r="K358"/>
      <c r="L358"/>
      <c r="M358"/>
      <c r="N358"/>
    </row>
    <row r="359" spans="1:14" x14ac:dyDescent="0.3">
      <c r="A359" s="102" t="s">
        <v>898</v>
      </c>
      <c r="B359" s="102" t="s">
        <v>2068</v>
      </c>
      <c r="C359" s="107" t="s">
        <v>54</v>
      </c>
      <c r="D359" s="102">
        <v>6</v>
      </c>
      <c r="E359" s="111">
        <v>0</v>
      </c>
      <c r="F359" s="112">
        <v>0</v>
      </c>
      <c r="G359" s="112">
        <v>0</v>
      </c>
      <c r="H359" s="112">
        <v>0</v>
      </c>
      <c r="I359" s="113">
        <v>0</v>
      </c>
      <c r="J359"/>
      <c r="K359"/>
      <c r="L359"/>
      <c r="M359"/>
      <c r="N359"/>
    </row>
    <row r="360" spans="1:14" x14ac:dyDescent="0.3">
      <c r="A360" s="102" t="s">
        <v>899</v>
      </c>
      <c r="B360" s="102" t="s">
        <v>2069</v>
      </c>
      <c r="C360" s="107" t="s">
        <v>54</v>
      </c>
      <c r="D360" s="102">
        <v>6</v>
      </c>
      <c r="E360" s="111">
        <v>0</v>
      </c>
      <c r="F360" s="112">
        <v>0</v>
      </c>
      <c r="G360" s="112">
        <v>0</v>
      </c>
      <c r="H360" s="112">
        <v>0</v>
      </c>
      <c r="I360" s="113">
        <v>0</v>
      </c>
      <c r="J360"/>
      <c r="K360"/>
      <c r="L360"/>
      <c r="M360"/>
      <c r="N360"/>
    </row>
    <row r="361" spans="1:14" x14ac:dyDescent="0.3">
      <c r="A361" s="102" t="s">
        <v>900</v>
      </c>
      <c r="B361" s="102" t="s">
        <v>2070</v>
      </c>
      <c r="C361" s="107" t="s">
        <v>54</v>
      </c>
      <c r="D361" s="102">
        <v>6</v>
      </c>
      <c r="E361" s="111">
        <v>0</v>
      </c>
      <c r="F361" s="112">
        <v>0</v>
      </c>
      <c r="G361" s="112">
        <v>0</v>
      </c>
      <c r="H361" s="112">
        <v>0</v>
      </c>
      <c r="I361" s="113">
        <v>0</v>
      </c>
      <c r="J361"/>
      <c r="K361"/>
      <c r="L361"/>
      <c r="M361"/>
      <c r="N361"/>
    </row>
    <row r="362" spans="1:14" x14ac:dyDescent="0.3">
      <c r="A362" s="102" t="s">
        <v>901</v>
      </c>
      <c r="B362" s="102" t="s">
        <v>2071</v>
      </c>
      <c r="C362" s="107" t="s">
        <v>54</v>
      </c>
      <c r="D362" s="102">
        <v>6</v>
      </c>
      <c r="E362" s="111">
        <v>0</v>
      </c>
      <c r="F362" s="112">
        <v>0</v>
      </c>
      <c r="G362" s="112">
        <v>0</v>
      </c>
      <c r="H362" s="112">
        <v>0</v>
      </c>
      <c r="I362" s="113">
        <v>0</v>
      </c>
      <c r="J362"/>
      <c r="K362"/>
      <c r="L362"/>
      <c r="M362"/>
      <c r="N362"/>
    </row>
    <row r="363" spans="1:14" x14ac:dyDescent="0.3">
      <c r="A363" s="102" t="s">
        <v>902</v>
      </c>
      <c r="B363" s="102" t="s">
        <v>2142</v>
      </c>
      <c r="C363" s="107" t="s">
        <v>54</v>
      </c>
      <c r="D363" s="102">
        <v>4</v>
      </c>
      <c r="E363" s="111">
        <v>0</v>
      </c>
      <c r="F363" s="112">
        <v>0</v>
      </c>
      <c r="G363" s="112">
        <v>0</v>
      </c>
      <c r="H363" s="112">
        <v>0</v>
      </c>
      <c r="I363" s="113">
        <v>0</v>
      </c>
      <c r="J363"/>
      <c r="K363"/>
      <c r="L363"/>
      <c r="M363"/>
      <c r="N363"/>
    </row>
    <row r="364" spans="1:14" x14ac:dyDescent="0.3">
      <c r="A364" s="102" t="s">
        <v>903</v>
      </c>
      <c r="B364" s="102" t="s">
        <v>2067</v>
      </c>
      <c r="C364" s="107" t="s">
        <v>54</v>
      </c>
      <c r="D364" s="102">
        <v>6</v>
      </c>
      <c r="E364" s="111">
        <v>0</v>
      </c>
      <c r="F364" s="112">
        <v>0</v>
      </c>
      <c r="G364" s="112">
        <v>0</v>
      </c>
      <c r="H364" s="112">
        <v>0</v>
      </c>
      <c r="I364" s="113">
        <v>0</v>
      </c>
      <c r="J364"/>
      <c r="K364"/>
      <c r="L364"/>
      <c r="M364"/>
      <c r="N364"/>
    </row>
    <row r="365" spans="1:14" x14ac:dyDescent="0.3">
      <c r="A365" s="102" t="s">
        <v>904</v>
      </c>
      <c r="B365" s="102" t="s">
        <v>2068</v>
      </c>
      <c r="C365" s="107" t="s">
        <v>54</v>
      </c>
      <c r="D365" s="102">
        <v>6</v>
      </c>
      <c r="E365" s="111">
        <v>0</v>
      </c>
      <c r="F365" s="112">
        <v>0</v>
      </c>
      <c r="G365" s="112">
        <v>0</v>
      </c>
      <c r="H365" s="112">
        <v>0</v>
      </c>
      <c r="I365" s="113">
        <v>0</v>
      </c>
      <c r="J365"/>
      <c r="K365"/>
      <c r="L365"/>
      <c r="M365"/>
      <c r="N365"/>
    </row>
    <row r="366" spans="1:14" x14ac:dyDescent="0.3">
      <c r="A366" s="102" t="s">
        <v>905</v>
      </c>
      <c r="B366" s="102" t="s">
        <v>2069</v>
      </c>
      <c r="C366" s="107" t="s">
        <v>54</v>
      </c>
      <c r="D366" s="102">
        <v>6</v>
      </c>
      <c r="E366" s="111">
        <v>0</v>
      </c>
      <c r="F366" s="112">
        <v>0</v>
      </c>
      <c r="G366" s="112">
        <v>0</v>
      </c>
      <c r="H366" s="112">
        <v>0</v>
      </c>
      <c r="I366" s="113">
        <v>0</v>
      </c>
      <c r="J366"/>
      <c r="K366"/>
      <c r="L366"/>
      <c r="M366"/>
      <c r="N366"/>
    </row>
    <row r="367" spans="1:14" x14ac:dyDescent="0.3">
      <c r="A367" s="102" t="s">
        <v>906</v>
      </c>
      <c r="B367" s="102" t="s">
        <v>2070</v>
      </c>
      <c r="C367" s="107" t="s">
        <v>54</v>
      </c>
      <c r="D367" s="102">
        <v>6</v>
      </c>
      <c r="E367" s="111">
        <v>0</v>
      </c>
      <c r="F367" s="112">
        <v>0</v>
      </c>
      <c r="G367" s="112">
        <v>0</v>
      </c>
      <c r="H367" s="112">
        <v>0</v>
      </c>
      <c r="I367" s="113">
        <v>0</v>
      </c>
      <c r="J367"/>
      <c r="K367"/>
      <c r="L367"/>
      <c r="M367"/>
      <c r="N367"/>
    </row>
    <row r="368" spans="1:14" x14ac:dyDescent="0.3">
      <c r="A368" s="102" t="s">
        <v>907</v>
      </c>
      <c r="B368" s="102" t="s">
        <v>2071</v>
      </c>
      <c r="C368" s="107" t="s">
        <v>54</v>
      </c>
      <c r="D368" s="102">
        <v>6</v>
      </c>
      <c r="E368" s="111">
        <v>0</v>
      </c>
      <c r="F368" s="112">
        <v>0</v>
      </c>
      <c r="G368" s="112">
        <v>0</v>
      </c>
      <c r="H368" s="112">
        <v>0</v>
      </c>
      <c r="I368" s="113">
        <v>0</v>
      </c>
      <c r="J368"/>
      <c r="K368"/>
      <c r="L368"/>
      <c r="M368"/>
      <c r="N368"/>
    </row>
    <row r="369" spans="1:14" x14ac:dyDescent="0.3">
      <c r="A369" s="102" t="s">
        <v>908</v>
      </c>
      <c r="B369" s="102" t="s">
        <v>2143</v>
      </c>
      <c r="C369" s="107" t="s">
        <v>54</v>
      </c>
      <c r="D369" s="102">
        <v>4</v>
      </c>
      <c r="E369" s="111">
        <v>0</v>
      </c>
      <c r="F369" s="112">
        <v>758.41</v>
      </c>
      <c r="G369" s="112">
        <v>10676.17</v>
      </c>
      <c r="H369" s="112">
        <v>466036.06</v>
      </c>
      <c r="I369" s="113">
        <v>477470.64</v>
      </c>
      <c r="J369"/>
      <c r="K369"/>
      <c r="L369"/>
      <c r="M369"/>
      <c r="N369"/>
    </row>
    <row r="370" spans="1:14" x14ac:dyDescent="0.3">
      <c r="A370" s="102" t="s">
        <v>909</v>
      </c>
      <c r="B370" s="102" t="s">
        <v>2067</v>
      </c>
      <c r="C370" s="107" t="s">
        <v>54</v>
      </c>
      <c r="D370" s="102">
        <v>6</v>
      </c>
      <c r="E370" s="111">
        <v>0</v>
      </c>
      <c r="F370" s="112">
        <v>0</v>
      </c>
      <c r="G370" s="112">
        <v>0</v>
      </c>
      <c r="H370" s="112">
        <v>0</v>
      </c>
      <c r="I370" s="113">
        <v>0</v>
      </c>
      <c r="J370"/>
      <c r="K370"/>
      <c r="L370"/>
      <c r="M370"/>
      <c r="N370"/>
    </row>
    <row r="371" spans="1:14" x14ac:dyDescent="0.3">
      <c r="A371" s="102" t="s">
        <v>910</v>
      </c>
      <c r="B371" s="102" t="s">
        <v>2068</v>
      </c>
      <c r="C371" s="107" t="s">
        <v>54</v>
      </c>
      <c r="D371" s="102">
        <v>6</v>
      </c>
      <c r="E371" s="111">
        <v>0</v>
      </c>
      <c r="F371" s="112">
        <v>756.41</v>
      </c>
      <c r="G371" s="112">
        <v>3023.67</v>
      </c>
      <c r="H371" s="112">
        <v>38106.559999999998</v>
      </c>
      <c r="I371" s="113">
        <v>41886.639999999999</v>
      </c>
      <c r="J371"/>
      <c r="K371"/>
      <c r="L371"/>
      <c r="M371"/>
      <c r="N371"/>
    </row>
    <row r="372" spans="1:14" x14ac:dyDescent="0.3">
      <c r="A372" s="102" t="s">
        <v>911</v>
      </c>
      <c r="B372" s="102" t="s">
        <v>2069</v>
      </c>
      <c r="C372" s="107" t="s">
        <v>54</v>
      </c>
      <c r="D372" s="102">
        <v>6</v>
      </c>
      <c r="E372" s="111">
        <v>0</v>
      </c>
      <c r="F372" s="112">
        <v>0</v>
      </c>
      <c r="G372" s="112">
        <v>2062.17</v>
      </c>
      <c r="H372" s="112">
        <v>27210.17</v>
      </c>
      <c r="I372" s="113">
        <v>29272.34</v>
      </c>
      <c r="J372"/>
      <c r="K372"/>
      <c r="L372"/>
      <c r="M372"/>
      <c r="N372"/>
    </row>
    <row r="373" spans="1:14" x14ac:dyDescent="0.3">
      <c r="A373" s="102" t="s">
        <v>912</v>
      </c>
      <c r="B373" s="102" t="s">
        <v>2070</v>
      </c>
      <c r="C373" s="107" t="s">
        <v>54</v>
      </c>
      <c r="D373" s="102">
        <v>6</v>
      </c>
      <c r="E373" s="111">
        <v>0</v>
      </c>
      <c r="F373" s="112">
        <v>0</v>
      </c>
      <c r="G373" s="112">
        <v>1651.51</v>
      </c>
      <c r="H373" s="112">
        <v>36147.15</v>
      </c>
      <c r="I373" s="113">
        <v>37798.660000000003</v>
      </c>
      <c r="J373"/>
      <c r="K373"/>
      <c r="L373"/>
      <c r="M373"/>
      <c r="N373"/>
    </row>
    <row r="374" spans="1:14" x14ac:dyDescent="0.3">
      <c r="A374" s="102" t="s">
        <v>913</v>
      </c>
      <c r="B374" s="102" t="s">
        <v>2071</v>
      </c>
      <c r="C374" s="107" t="s">
        <v>54</v>
      </c>
      <c r="D374" s="102">
        <v>6</v>
      </c>
      <c r="E374" s="111">
        <v>0</v>
      </c>
      <c r="F374" s="112">
        <v>2</v>
      </c>
      <c r="G374" s="112">
        <v>3938.82</v>
      </c>
      <c r="H374" s="112">
        <v>364572.18</v>
      </c>
      <c r="I374" s="113">
        <v>368513</v>
      </c>
      <c r="J374"/>
      <c r="K374"/>
      <c r="L374"/>
      <c r="M374"/>
      <c r="N374"/>
    </row>
    <row r="375" spans="1:14" x14ac:dyDescent="0.3">
      <c r="A375" s="102" t="s">
        <v>914</v>
      </c>
      <c r="B375" s="102" t="s">
        <v>2144</v>
      </c>
      <c r="C375" s="107" t="s">
        <v>54</v>
      </c>
      <c r="D375" s="102">
        <v>4</v>
      </c>
      <c r="E375" s="111">
        <v>26562.25</v>
      </c>
      <c r="F375" s="112">
        <v>245327.37</v>
      </c>
      <c r="G375" s="112">
        <v>246661.41</v>
      </c>
      <c r="H375" s="112">
        <v>3552460.63</v>
      </c>
      <c r="I375" s="113">
        <v>4071011.66</v>
      </c>
      <c r="J375"/>
      <c r="K375"/>
      <c r="L375"/>
      <c r="M375"/>
      <c r="N375"/>
    </row>
    <row r="376" spans="1:14" x14ac:dyDescent="0.3">
      <c r="A376" s="102" t="s">
        <v>915</v>
      </c>
      <c r="B376" s="102" t="s">
        <v>2067</v>
      </c>
      <c r="C376" s="107" t="s">
        <v>54</v>
      </c>
      <c r="D376" s="102">
        <v>6</v>
      </c>
      <c r="E376" s="111">
        <v>0</v>
      </c>
      <c r="F376" s="112">
        <v>0</v>
      </c>
      <c r="G376" s="112">
        <v>0.04</v>
      </c>
      <c r="H376" s="112">
        <v>0</v>
      </c>
      <c r="I376" s="113">
        <v>0.04</v>
      </c>
      <c r="J376"/>
      <c r="K376"/>
      <c r="L376"/>
      <c r="M376"/>
      <c r="N376"/>
    </row>
    <row r="377" spans="1:14" x14ac:dyDescent="0.3">
      <c r="A377" s="102" t="s">
        <v>916</v>
      </c>
      <c r="B377" s="102" t="s">
        <v>2068</v>
      </c>
      <c r="C377" s="107" t="s">
        <v>54</v>
      </c>
      <c r="D377" s="102">
        <v>6</v>
      </c>
      <c r="E377" s="111">
        <v>6353.53</v>
      </c>
      <c r="F377" s="112">
        <v>23787.79</v>
      </c>
      <c r="G377" s="112">
        <v>30120.48</v>
      </c>
      <c r="H377" s="112">
        <v>619947.32999999996</v>
      </c>
      <c r="I377" s="113">
        <v>680209.13</v>
      </c>
      <c r="J377"/>
      <c r="K377"/>
      <c r="L377"/>
      <c r="M377"/>
      <c r="N377"/>
    </row>
    <row r="378" spans="1:14" x14ac:dyDescent="0.3">
      <c r="A378" s="102" t="s">
        <v>917</v>
      </c>
      <c r="B378" s="102" t="s">
        <v>2069</v>
      </c>
      <c r="C378" s="107" t="s">
        <v>54</v>
      </c>
      <c r="D378" s="102">
        <v>6</v>
      </c>
      <c r="E378" s="111">
        <v>6803.03</v>
      </c>
      <c r="F378" s="112">
        <v>20756.02</v>
      </c>
      <c r="G378" s="112">
        <v>28021.45</v>
      </c>
      <c r="H378" s="112">
        <v>661945.9</v>
      </c>
      <c r="I378" s="113">
        <v>717526.4</v>
      </c>
      <c r="J378"/>
      <c r="K378"/>
      <c r="L378"/>
      <c r="M378"/>
      <c r="N378"/>
    </row>
    <row r="379" spans="1:14" x14ac:dyDescent="0.3">
      <c r="A379" s="102" t="s">
        <v>918</v>
      </c>
      <c r="B379" s="102" t="s">
        <v>2145</v>
      </c>
      <c r="C379" s="107" t="s">
        <v>54</v>
      </c>
      <c r="D379" s="102">
        <v>6</v>
      </c>
      <c r="E379" s="111">
        <v>4303.0600000000004</v>
      </c>
      <c r="F379" s="112">
        <v>16918.91</v>
      </c>
      <c r="G379" s="112">
        <v>26651.63</v>
      </c>
      <c r="H379" s="112">
        <v>364954.16</v>
      </c>
      <c r="I379" s="113">
        <v>412827.76</v>
      </c>
      <c r="J379"/>
      <c r="K379"/>
      <c r="L379"/>
      <c r="M379"/>
      <c r="N379"/>
    </row>
    <row r="380" spans="1:14" x14ac:dyDescent="0.3">
      <c r="A380" s="102" t="s">
        <v>919</v>
      </c>
      <c r="B380" s="102" t="s">
        <v>2146</v>
      </c>
      <c r="C380" s="107" t="s">
        <v>54</v>
      </c>
      <c r="D380" s="102">
        <v>6</v>
      </c>
      <c r="E380" s="111">
        <v>9102.6299999999992</v>
      </c>
      <c r="F380" s="112">
        <v>183864.65</v>
      </c>
      <c r="G380" s="112">
        <v>161867.81</v>
      </c>
      <c r="H380" s="112">
        <v>1905613.24</v>
      </c>
      <c r="I380" s="113">
        <v>2260448.33</v>
      </c>
      <c r="J380"/>
      <c r="K380"/>
      <c r="L380"/>
      <c r="M380"/>
      <c r="N380"/>
    </row>
    <row r="381" spans="1:14" x14ac:dyDescent="0.3">
      <c r="A381" s="102" t="s">
        <v>920</v>
      </c>
      <c r="B381" s="102" t="s">
        <v>2147</v>
      </c>
      <c r="C381" s="107" t="s">
        <v>54</v>
      </c>
      <c r="D381" s="102">
        <v>4</v>
      </c>
      <c r="E381" s="111">
        <v>28073.47</v>
      </c>
      <c r="F381" s="112">
        <v>91226.28</v>
      </c>
      <c r="G381" s="112">
        <v>39101.339999999997</v>
      </c>
      <c r="H381" s="112">
        <v>814898.83</v>
      </c>
      <c r="I381" s="113">
        <v>973299.92</v>
      </c>
      <c r="J381"/>
      <c r="K381"/>
      <c r="L381"/>
      <c r="M381"/>
      <c r="N381"/>
    </row>
    <row r="382" spans="1:14" x14ac:dyDescent="0.3">
      <c r="A382" s="102" t="s">
        <v>921</v>
      </c>
      <c r="B382" s="102" t="s">
        <v>2067</v>
      </c>
      <c r="C382" s="107" t="s">
        <v>54</v>
      </c>
      <c r="D382" s="102">
        <v>6</v>
      </c>
      <c r="E382" s="111">
        <v>0</v>
      </c>
      <c r="F382" s="112">
        <v>0</v>
      </c>
      <c r="G382" s="112">
        <v>0</v>
      </c>
      <c r="H382" s="112">
        <v>0</v>
      </c>
      <c r="I382" s="113">
        <v>0</v>
      </c>
      <c r="J382"/>
      <c r="K382"/>
      <c r="L382"/>
      <c r="M382"/>
      <c r="N382"/>
    </row>
    <row r="383" spans="1:14" x14ac:dyDescent="0.3">
      <c r="A383" s="102" t="s">
        <v>922</v>
      </c>
      <c r="B383" s="102" t="s">
        <v>2068</v>
      </c>
      <c r="C383" s="107" t="s">
        <v>54</v>
      </c>
      <c r="D383" s="102">
        <v>6</v>
      </c>
      <c r="E383" s="111">
        <v>2600.3200000000002</v>
      </c>
      <c r="F383" s="112">
        <v>18318.18</v>
      </c>
      <c r="G383" s="112">
        <v>4220.7</v>
      </c>
      <c r="H383" s="112">
        <v>45260.38</v>
      </c>
      <c r="I383" s="113">
        <v>70399.58</v>
      </c>
      <c r="J383"/>
      <c r="K383"/>
      <c r="L383"/>
      <c r="M383"/>
      <c r="N383"/>
    </row>
    <row r="384" spans="1:14" x14ac:dyDescent="0.3">
      <c r="A384" s="102" t="s">
        <v>923</v>
      </c>
      <c r="B384" s="102" t="s">
        <v>2148</v>
      </c>
      <c r="C384" s="107" t="s">
        <v>54</v>
      </c>
      <c r="D384" s="102">
        <v>6</v>
      </c>
      <c r="E384" s="111">
        <v>14933.78</v>
      </c>
      <c r="F384" s="112">
        <v>39242.81</v>
      </c>
      <c r="G384" s="112">
        <v>15349.37</v>
      </c>
      <c r="H384" s="112">
        <v>259163.78</v>
      </c>
      <c r="I384" s="113">
        <v>328689.74</v>
      </c>
      <c r="J384"/>
      <c r="K384"/>
      <c r="L384"/>
      <c r="M384"/>
      <c r="N384"/>
    </row>
    <row r="385" spans="1:14" x14ac:dyDescent="0.3">
      <c r="A385" s="102" t="s">
        <v>924</v>
      </c>
      <c r="B385" s="102" t="s">
        <v>2149</v>
      </c>
      <c r="C385" s="107" t="s">
        <v>54</v>
      </c>
      <c r="D385" s="102">
        <v>6</v>
      </c>
      <c r="E385" s="111">
        <v>3478.95</v>
      </c>
      <c r="F385" s="112">
        <v>16447.830000000002</v>
      </c>
      <c r="G385" s="112">
        <v>4032.66</v>
      </c>
      <c r="H385" s="112">
        <v>109324.67</v>
      </c>
      <c r="I385" s="113">
        <v>133284.10999999999</v>
      </c>
      <c r="J385"/>
      <c r="K385"/>
      <c r="L385"/>
      <c r="M385"/>
      <c r="N385"/>
    </row>
    <row r="386" spans="1:14" x14ac:dyDescent="0.3">
      <c r="A386" s="102" t="s">
        <v>925</v>
      </c>
      <c r="B386" s="102" t="s">
        <v>2150</v>
      </c>
      <c r="C386" s="107" t="s">
        <v>54</v>
      </c>
      <c r="D386" s="102">
        <v>6</v>
      </c>
      <c r="E386" s="111">
        <v>6367.97</v>
      </c>
      <c r="F386" s="112">
        <v>12817.32</v>
      </c>
      <c r="G386" s="112">
        <v>9406.4699999999993</v>
      </c>
      <c r="H386" s="112">
        <v>296279.45</v>
      </c>
      <c r="I386" s="113">
        <v>324871.21000000002</v>
      </c>
      <c r="J386"/>
      <c r="K386"/>
      <c r="L386"/>
      <c r="M386"/>
      <c r="N386"/>
    </row>
    <row r="387" spans="1:14" x14ac:dyDescent="0.3">
      <c r="A387" s="102" t="s">
        <v>926</v>
      </c>
      <c r="B387" s="102" t="s">
        <v>2151</v>
      </c>
      <c r="C387" s="107" t="s">
        <v>54</v>
      </c>
      <c r="D387" s="102">
        <v>6</v>
      </c>
      <c r="E387" s="111">
        <v>692.45</v>
      </c>
      <c r="F387" s="112">
        <v>4400.1400000000003</v>
      </c>
      <c r="G387" s="112">
        <v>6092.14</v>
      </c>
      <c r="H387" s="112">
        <v>104870.55</v>
      </c>
      <c r="I387" s="113">
        <v>116055.28</v>
      </c>
      <c r="J387"/>
      <c r="K387"/>
      <c r="L387"/>
      <c r="M387"/>
      <c r="N387"/>
    </row>
    <row r="388" spans="1:14" x14ac:dyDescent="0.3">
      <c r="A388" s="102" t="s">
        <v>927</v>
      </c>
      <c r="B388" s="102" t="s">
        <v>2152</v>
      </c>
      <c r="C388" s="107" t="s">
        <v>54</v>
      </c>
      <c r="D388" s="102">
        <v>4</v>
      </c>
      <c r="E388" s="111">
        <v>74591.350000000006</v>
      </c>
      <c r="F388" s="112">
        <v>17479.509999999998</v>
      </c>
      <c r="G388" s="112">
        <v>60241.71</v>
      </c>
      <c r="H388" s="112">
        <v>1619957.43</v>
      </c>
      <c r="I388" s="113">
        <v>1772270</v>
      </c>
      <c r="J388"/>
      <c r="K388"/>
      <c r="L388"/>
      <c r="M388"/>
      <c r="N388"/>
    </row>
    <row r="389" spans="1:14" x14ac:dyDescent="0.3">
      <c r="A389" s="102" t="s">
        <v>928</v>
      </c>
      <c r="B389" s="102" t="s">
        <v>2067</v>
      </c>
      <c r="C389" s="107" t="s">
        <v>54</v>
      </c>
      <c r="D389" s="102">
        <v>6</v>
      </c>
      <c r="E389" s="111">
        <v>0</v>
      </c>
      <c r="F389" s="112">
        <v>0</v>
      </c>
      <c r="G389" s="112">
        <v>0.03</v>
      </c>
      <c r="H389" s="112">
        <v>0</v>
      </c>
      <c r="I389" s="113">
        <v>0.03</v>
      </c>
      <c r="J389"/>
      <c r="K389"/>
      <c r="L389"/>
      <c r="M389"/>
      <c r="N389"/>
    </row>
    <row r="390" spans="1:14" x14ac:dyDescent="0.3">
      <c r="A390" s="102" t="s">
        <v>929</v>
      </c>
      <c r="B390" s="102" t="s">
        <v>2068</v>
      </c>
      <c r="C390" s="107" t="s">
        <v>54</v>
      </c>
      <c r="D390" s="102">
        <v>6</v>
      </c>
      <c r="E390" s="111">
        <v>12859.75</v>
      </c>
      <c r="F390" s="112">
        <v>3263.76</v>
      </c>
      <c r="G390" s="112">
        <v>13415.51</v>
      </c>
      <c r="H390" s="112">
        <v>47328.58</v>
      </c>
      <c r="I390" s="113">
        <v>76867.600000000006</v>
      </c>
      <c r="J390"/>
      <c r="K390"/>
      <c r="L390"/>
      <c r="M390"/>
      <c r="N390"/>
    </row>
    <row r="391" spans="1:14" x14ac:dyDescent="0.3">
      <c r="A391" s="102" t="s">
        <v>930</v>
      </c>
      <c r="B391" s="102" t="s">
        <v>2069</v>
      </c>
      <c r="C391" s="107" t="s">
        <v>54</v>
      </c>
      <c r="D391" s="102">
        <v>6</v>
      </c>
      <c r="E391" s="111">
        <v>9133.34</v>
      </c>
      <c r="F391" s="112">
        <v>2810.56</v>
      </c>
      <c r="G391" s="112">
        <v>13968.64</v>
      </c>
      <c r="H391" s="112">
        <v>52377.760000000002</v>
      </c>
      <c r="I391" s="113">
        <v>78290.3</v>
      </c>
      <c r="J391"/>
      <c r="K391"/>
      <c r="L391"/>
      <c r="M391"/>
      <c r="N391"/>
    </row>
    <row r="392" spans="1:14" x14ac:dyDescent="0.3">
      <c r="A392" s="102" t="s">
        <v>931</v>
      </c>
      <c r="B392" s="102" t="s">
        <v>2070</v>
      </c>
      <c r="C392" s="107" t="s">
        <v>54</v>
      </c>
      <c r="D392" s="102">
        <v>6</v>
      </c>
      <c r="E392" s="111">
        <v>13551.81</v>
      </c>
      <c r="F392" s="112">
        <v>3911.74</v>
      </c>
      <c r="G392" s="112">
        <v>12023.97</v>
      </c>
      <c r="H392" s="112">
        <v>136121.24</v>
      </c>
      <c r="I392" s="113">
        <v>165608.76</v>
      </c>
      <c r="J392"/>
      <c r="K392"/>
      <c r="L392"/>
      <c r="M392"/>
      <c r="N392"/>
    </row>
    <row r="393" spans="1:14" x14ac:dyDescent="0.3">
      <c r="A393" s="102" t="s">
        <v>932</v>
      </c>
      <c r="B393" s="102" t="s">
        <v>2071</v>
      </c>
      <c r="C393" s="107" t="s">
        <v>54</v>
      </c>
      <c r="D393" s="102">
        <v>6</v>
      </c>
      <c r="E393" s="111">
        <v>39046.449999999997</v>
      </c>
      <c r="F393" s="112">
        <v>7493.45</v>
      </c>
      <c r="G393" s="112">
        <v>20833.560000000001</v>
      </c>
      <c r="H393" s="112">
        <v>1384129.85</v>
      </c>
      <c r="I393" s="113">
        <v>1451503.31</v>
      </c>
      <c r="J393"/>
      <c r="K393"/>
      <c r="L393"/>
      <c r="M393"/>
      <c r="N393"/>
    </row>
    <row r="394" spans="1:14" x14ac:dyDescent="0.3">
      <c r="A394" s="102" t="s">
        <v>933</v>
      </c>
      <c r="B394" s="102" t="s">
        <v>2153</v>
      </c>
      <c r="C394" s="107" t="s">
        <v>54</v>
      </c>
      <c r="D394" s="102">
        <v>4</v>
      </c>
      <c r="E394" s="111">
        <v>0</v>
      </c>
      <c r="F394" s="112">
        <v>0</v>
      </c>
      <c r="G394" s="112">
        <v>0</v>
      </c>
      <c r="H394" s="112">
        <v>0</v>
      </c>
      <c r="I394" s="113">
        <v>0</v>
      </c>
      <c r="J394"/>
      <c r="K394"/>
      <c r="L394"/>
      <c r="M394"/>
      <c r="N394"/>
    </row>
    <row r="395" spans="1:14" x14ac:dyDescent="0.3">
      <c r="A395" s="102" t="s">
        <v>934</v>
      </c>
      <c r="B395" s="102" t="s">
        <v>2067</v>
      </c>
      <c r="C395" s="107" t="s">
        <v>54</v>
      </c>
      <c r="D395" s="102">
        <v>6</v>
      </c>
      <c r="E395" s="111">
        <v>0</v>
      </c>
      <c r="F395" s="112">
        <v>0</v>
      </c>
      <c r="G395" s="112">
        <v>0</v>
      </c>
      <c r="H395" s="112">
        <v>0</v>
      </c>
      <c r="I395" s="113">
        <v>0</v>
      </c>
      <c r="J395"/>
      <c r="K395"/>
      <c r="L395"/>
      <c r="M395"/>
      <c r="N395"/>
    </row>
    <row r="396" spans="1:14" x14ac:dyDescent="0.3">
      <c r="A396" s="102" t="s">
        <v>935</v>
      </c>
      <c r="B396" s="102" t="s">
        <v>2068</v>
      </c>
      <c r="C396" s="107" t="s">
        <v>54</v>
      </c>
      <c r="D396" s="102">
        <v>6</v>
      </c>
      <c r="E396" s="111">
        <v>0</v>
      </c>
      <c r="F396" s="112">
        <v>0</v>
      </c>
      <c r="G396" s="112">
        <v>0</v>
      </c>
      <c r="H396" s="112">
        <v>0</v>
      </c>
      <c r="I396" s="113">
        <v>0</v>
      </c>
      <c r="J396"/>
      <c r="K396"/>
      <c r="L396"/>
      <c r="M396"/>
      <c r="N396"/>
    </row>
    <row r="397" spans="1:14" x14ac:dyDescent="0.3">
      <c r="A397" s="102" t="s">
        <v>936</v>
      </c>
      <c r="B397" s="102" t="s">
        <v>2069</v>
      </c>
      <c r="C397" s="107" t="s">
        <v>54</v>
      </c>
      <c r="D397" s="102">
        <v>6</v>
      </c>
      <c r="E397" s="111">
        <v>0</v>
      </c>
      <c r="F397" s="112">
        <v>0</v>
      </c>
      <c r="G397" s="112">
        <v>0</v>
      </c>
      <c r="H397" s="112">
        <v>0</v>
      </c>
      <c r="I397" s="113">
        <v>0</v>
      </c>
      <c r="J397"/>
      <c r="K397"/>
      <c r="L397"/>
      <c r="M397"/>
      <c r="N397"/>
    </row>
    <row r="398" spans="1:14" x14ac:dyDescent="0.3">
      <c r="A398" s="102" t="s">
        <v>937</v>
      </c>
      <c r="B398" s="102" t="s">
        <v>2070</v>
      </c>
      <c r="C398" s="107" t="s">
        <v>54</v>
      </c>
      <c r="D398" s="102">
        <v>6</v>
      </c>
      <c r="E398" s="111">
        <v>0</v>
      </c>
      <c r="F398" s="112">
        <v>0</v>
      </c>
      <c r="G398" s="112">
        <v>0</v>
      </c>
      <c r="H398" s="112">
        <v>0</v>
      </c>
      <c r="I398" s="113">
        <v>0</v>
      </c>
      <c r="J398"/>
      <c r="K398"/>
      <c r="L398"/>
      <c r="M398"/>
      <c r="N398"/>
    </row>
    <row r="399" spans="1:14" x14ac:dyDescent="0.3">
      <c r="A399" s="102" t="s">
        <v>938</v>
      </c>
      <c r="B399" s="102" t="s">
        <v>2071</v>
      </c>
      <c r="C399" s="107" t="s">
        <v>54</v>
      </c>
      <c r="D399" s="102">
        <v>6</v>
      </c>
      <c r="E399" s="111">
        <v>0</v>
      </c>
      <c r="F399" s="112">
        <v>0</v>
      </c>
      <c r="G399" s="112">
        <v>0</v>
      </c>
      <c r="H399" s="112">
        <v>0</v>
      </c>
      <c r="I399" s="113">
        <v>0</v>
      </c>
      <c r="J399"/>
      <c r="K399"/>
      <c r="L399"/>
      <c r="M399"/>
      <c r="N399"/>
    </row>
    <row r="400" spans="1:14" x14ac:dyDescent="0.3">
      <c r="A400" s="102" t="s">
        <v>939</v>
      </c>
      <c r="B400" s="102" t="s">
        <v>2154</v>
      </c>
      <c r="C400" s="107" t="s">
        <v>54</v>
      </c>
      <c r="D400" s="102">
        <v>4</v>
      </c>
      <c r="E400" s="111">
        <v>0</v>
      </c>
      <c r="F400" s="112">
        <v>12998.59</v>
      </c>
      <c r="G400" s="112">
        <v>0</v>
      </c>
      <c r="H400" s="112">
        <v>14203.55</v>
      </c>
      <c r="I400" s="113">
        <v>27202.14</v>
      </c>
      <c r="J400"/>
      <c r="K400"/>
      <c r="L400"/>
      <c r="M400"/>
      <c r="N400"/>
    </row>
    <row r="401" spans="1:14" x14ac:dyDescent="0.3">
      <c r="A401" s="102" t="s">
        <v>940</v>
      </c>
      <c r="B401" s="102" t="s">
        <v>2067</v>
      </c>
      <c r="C401" s="107" t="s">
        <v>54</v>
      </c>
      <c r="D401" s="102">
        <v>6</v>
      </c>
      <c r="E401" s="111">
        <v>0</v>
      </c>
      <c r="F401" s="112">
        <v>0</v>
      </c>
      <c r="G401" s="112">
        <v>0</v>
      </c>
      <c r="H401" s="112">
        <v>0</v>
      </c>
      <c r="I401" s="113">
        <v>0</v>
      </c>
      <c r="J401"/>
      <c r="K401"/>
      <c r="L401"/>
      <c r="M401"/>
      <c r="N401"/>
    </row>
    <row r="402" spans="1:14" x14ac:dyDescent="0.3">
      <c r="A402" s="102" t="s">
        <v>941</v>
      </c>
      <c r="B402" s="102" t="s">
        <v>2068</v>
      </c>
      <c r="C402" s="107" t="s">
        <v>54</v>
      </c>
      <c r="D402" s="102">
        <v>6</v>
      </c>
      <c r="E402" s="111">
        <v>0</v>
      </c>
      <c r="F402" s="112">
        <v>4739.91</v>
      </c>
      <c r="G402" s="112">
        <v>0</v>
      </c>
      <c r="H402" s="112">
        <v>7003.22</v>
      </c>
      <c r="I402" s="113">
        <v>11743.13</v>
      </c>
      <c r="J402"/>
      <c r="K402"/>
      <c r="L402"/>
      <c r="M402"/>
      <c r="N402"/>
    </row>
    <row r="403" spans="1:14" x14ac:dyDescent="0.3">
      <c r="A403" s="102" t="s">
        <v>942</v>
      </c>
      <c r="B403" s="102" t="s">
        <v>2069</v>
      </c>
      <c r="C403" s="107" t="s">
        <v>54</v>
      </c>
      <c r="D403" s="102">
        <v>6</v>
      </c>
      <c r="E403" s="111">
        <v>0</v>
      </c>
      <c r="F403" s="112">
        <v>4149.37</v>
      </c>
      <c r="G403" s="112">
        <v>0</v>
      </c>
      <c r="H403" s="112">
        <v>3610.83</v>
      </c>
      <c r="I403" s="113">
        <v>7760.2</v>
      </c>
      <c r="J403"/>
      <c r="K403"/>
      <c r="L403"/>
      <c r="M403"/>
      <c r="N403"/>
    </row>
    <row r="404" spans="1:14" x14ac:dyDescent="0.3">
      <c r="A404" s="102" t="s">
        <v>943</v>
      </c>
      <c r="B404" s="102" t="s">
        <v>2070</v>
      </c>
      <c r="C404" s="107" t="s">
        <v>54</v>
      </c>
      <c r="D404" s="102">
        <v>6</v>
      </c>
      <c r="E404" s="111">
        <v>0</v>
      </c>
      <c r="F404" s="112">
        <v>2287.8200000000002</v>
      </c>
      <c r="G404" s="112">
        <v>0</v>
      </c>
      <c r="H404" s="112">
        <v>2379.02</v>
      </c>
      <c r="I404" s="113">
        <v>4666.84</v>
      </c>
      <c r="J404"/>
      <c r="K404"/>
      <c r="L404"/>
      <c r="M404"/>
      <c r="N404"/>
    </row>
    <row r="405" spans="1:14" x14ac:dyDescent="0.3">
      <c r="A405" s="102" t="s">
        <v>944</v>
      </c>
      <c r="B405" s="102" t="s">
        <v>2071</v>
      </c>
      <c r="C405" s="107" t="s">
        <v>54</v>
      </c>
      <c r="D405" s="102">
        <v>6</v>
      </c>
      <c r="E405" s="111">
        <v>0</v>
      </c>
      <c r="F405" s="112">
        <v>1821.49</v>
      </c>
      <c r="G405" s="112">
        <v>0</v>
      </c>
      <c r="H405" s="112">
        <v>1210.48</v>
      </c>
      <c r="I405" s="113">
        <v>3031.97</v>
      </c>
      <c r="J405"/>
      <c r="K405"/>
      <c r="L405"/>
      <c r="M405"/>
      <c r="N405"/>
    </row>
    <row r="406" spans="1:14" x14ac:dyDescent="0.3">
      <c r="A406" s="102" t="s">
        <v>945</v>
      </c>
      <c r="B406" s="102" t="s">
        <v>2155</v>
      </c>
      <c r="C406" s="107" t="s">
        <v>54</v>
      </c>
      <c r="D406" s="102">
        <v>4</v>
      </c>
      <c r="E406" s="111">
        <v>0</v>
      </c>
      <c r="F406" s="112">
        <v>0</v>
      </c>
      <c r="G406" s="112">
        <v>0</v>
      </c>
      <c r="H406" s="112">
        <v>6785.21</v>
      </c>
      <c r="I406" s="113">
        <v>6785.21</v>
      </c>
      <c r="J406"/>
      <c r="K406"/>
      <c r="L406"/>
      <c r="M406"/>
      <c r="N406"/>
    </row>
    <row r="407" spans="1:14" x14ac:dyDescent="0.3">
      <c r="A407" s="102" t="s">
        <v>946</v>
      </c>
      <c r="B407" s="102" t="s">
        <v>2067</v>
      </c>
      <c r="C407" s="107" t="s">
        <v>54</v>
      </c>
      <c r="D407" s="102">
        <v>6</v>
      </c>
      <c r="E407" s="111">
        <v>0</v>
      </c>
      <c r="F407" s="112">
        <v>0</v>
      </c>
      <c r="G407" s="112">
        <v>0</v>
      </c>
      <c r="H407" s="112">
        <v>0</v>
      </c>
      <c r="I407" s="113">
        <v>0</v>
      </c>
      <c r="J407"/>
      <c r="K407"/>
      <c r="L407"/>
      <c r="M407"/>
      <c r="N407"/>
    </row>
    <row r="408" spans="1:14" x14ac:dyDescent="0.3">
      <c r="A408" s="102" t="s">
        <v>947</v>
      </c>
      <c r="B408" s="102" t="s">
        <v>2068</v>
      </c>
      <c r="C408" s="107" t="s">
        <v>54</v>
      </c>
      <c r="D408" s="102">
        <v>6</v>
      </c>
      <c r="E408" s="111">
        <v>0</v>
      </c>
      <c r="F408" s="112">
        <v>0</v>
      </c>
      <c r="G408" s="112">
        <v>0</v>
      </c>
      <c r="H408" s="112">
        <v>1017.47</v>
      </c>
      <c r="I408" s="113">
        <v>1017.47</v>
      </c>
      <c r="J408"/>
      <c r="K408"/>
      <c r="L408"/>
      <c r="M408"/>
      <c r="N408"/>
    </row>
    <row r="409" spans="1:14" x14ac:dyDescent="0.3">
      <c r="A409" s="102" t="s">
        <v>948</v>
      </c>
      <c r="B409" s="102" t="s">
        <v>2148</v>
      </c>
      <c r="C409" s="107" t="s">
        <v>54</v>
      </c>
      <c r="D409" s="102">
        <v>6</v>
      </c>
      <c r="E409" s="111">
        <v>0</v>
      </c>
      <c r="F409" s="112">
        <v>0</v>
      </c>
      <c r="G409" s="112">
        <v>0</v>
      </c>
      <c r="H409" s="112">
        <v>3103.02</v>
      </c>
      <c r="I409" s="113">
        <v>3103.02</v>
      </c>
      <c r="J409"/>
      <c r="K409"/>
      <c r="L409"/>
      <c r="M409"/>
      <c r="N409"/>
    </row>
    <row r="410" spans="1:14" x14ac:dyDescent="0.3">
      <c r="A410" s="102" t="s">
        <v>949</v>
      </c>
      <c r="B410" s="102" t="s">
        <v>2149</v>
      </c>
      <c r="C410" s="107" t="s">
        <v>54</v>
      </c>
      <c r="D410" s="102">
        <v>6</v>
      </c>
      <c r="E410" s="111">
        <v>0</v>
      </c>
      <c r="F410" s="112">
        <v>0</v>
      </c>
      <c r="G410" s="112">
        <v>0</v>
      </c>
      <c r="H410" s="112">
        <v>748.26</v>
      </c>
      <c r="I410" s="113">
        <v>748.26</v>
      </c>
      <c r="J410"/>
      <c r="K410"/>
      <c r="L410"/>
      <c r="M410"/>
      <c r="N410"/>
    </row>
    <row r="411" spans="1:14" x14ac:dyDescent="0.3">
      <c r="A411" s="102" t="s">
        <v>950</v>
      </c>
      <c r="B411" s="102" t="s">
        <v>2150</v>
      </c>
      <c r="C411" s="107" t="s">
        <v>54</v>
      </c>
      <c r="D411" s="102">
        <v>6</v>
      </c>
      <c r="E411" s="111">
        <v>0</v>
      </c>
      <c r="F411" s="112">
        <v>0</v>
      </c>
      <c r="G411" s="112">
        <v>0</v>
      </c>
      <c r="H411" s="112">
        <v>1711.86</v>
      </c>
      <c r="I411" s="113">
        <v>1711.86</v>
      </c>
      <c r="J411"/>
      <c r="K411"/>
      <c r="L411"/>
      <c r="M411"/>
      <c r="N411"/>
    </row>
    <row r="412" spans="1:14" x14ac:dyDescent="0.3">
      <c r="A412" s="102" t="s">
        <v>951</v>
      </c>
      <c r="B412" s="102" t="s">
        <v>2151</v>
      </c>
      <c r="C412" s="107" t="s">
        <v>54</v>
      </c>
      <c r="D412" s="102">
        <v>6</v>
      </c>
      <c r="E412" s="111">
        <v>0</v>
      </c>
      <c r="F412" s="112">
        <v>0</v>
      </c>
      <c r="G412" s="112">
        <v>0</v>
      </c>
      <c r="H412" s="112">
        <v>204.6</v>
      </c>
      <c r="I412" s="113">
        <v>204.6</v>
      </c>
      <c r="J412"/>
      <c r="K412"/>
      <c r="L412"/>
      <c r="M412"/>
      <c r="N412"/>
    </row>
    <row r="413" spans="1:14" x14ac:dyDescent="0.3">
      <c r="A413" s="102" t="s">
        <v>952</v>
      </c>
      <c r="B413" s="102" t="s">
        <v>2156</v>
      </c>
      <c r="C413" s="107" t="s">
        <v>54</v>
      </c>
      <c r="D413" s="102">
        <v>4</v>
      </c>
      <c r="E413" s="111">
        <v>0</v>
      </c>
      <c r="F413" s="112">
        <v>0</v>
      </c>
      <c r="G413" s="112">
        <v>0</v>
      </c>
      <c r="H413" s="112">
        <v>0</v>
      </c>
      <c r="I413" s="113">
        <v>0</v>
      </c>
      <c r="J413"/>
      <c r="K413"/>
      <c r="L413"/>
      <c r="M413"/>
      <c r="N413"/>
    </row>
    <row r="414" spans="1:14" x14ac:dyDescent="0.3">
      <c r="A414" s="102" t="s">
        <v>953</v>
      </c>
      <c r="B414" s="102" t="s">
        <v>2067</v>
      </c>
      <c r="C414" s="107" t="s">
        <v>54</v>
      </c>
      <c r="D414" s="102">
        <v>6</v>
      </c>
      <c r="E414" s="111">
        <v>0</v>
      </c>
      <c r="F414" s="112">
        <v>0</v>
      </c>
      <c r="G414" s="112">
        <v>0</v>
      </c>
      <c r="H414" s="112">
        <v>0</v>
      </c>
      <c r="I414" s="113">
        <v>0</v>
      </c>
      <c r="J414"/>
      <c r="K414"/>
      <c r="L414"/>
      <c r="M414"/>
      <c r="N414"/>
    </row>
    <row r="415" spans="1:14" x14ac:dyDescent="0.3">
      <c r="A415" s="102" t="s">
        <v>954</v>
      </c>
      <c r="B415" s="102" t="s">
        <v>2068</v>
      </c>
      <c r="C415" s="107" t="s">
        <v>54</v>
      </c>
      <c r="D415" s="102">
        <v>6</v>
      </c>
      <c r="E415" s="111">
        <v>0</v>
      </c>
      <c r="F415" s="112">
        <v>0</v>
      </c>
      <c r="G415" s="112">
        <v>0</v>
      </c>
      <c r="H415" s="112">
        <v>0</v>
      </c>
      <c r="I415" s="113">
        <v>0</v>
      </c>
      <c r="J415"/>
      <c r="K415"/>
      <c r="L415"/>
      <c r="M415"/>
      <c r="N415"/>
    </row>
    <row r="416" spans="1:14" x14ac:dyDescent="0.3">
      <c r="A416" s="102" t="s">
        <v>955</v>
      </c>
      <c r="B416" s="102" t="s">
        <v>2069</v>
      </c>
      <c r="C416" s="107" t="s">
        <v>54</v>
      </c>
      <c r="D416" s="102">
        <v>6</v>
      </c>
      <c r="E416" s="111">
        <v>0</v>
      </c>
      <c r="F416" s="112">
        <v>0</v>
      </c>
      <c r="G416" s="112">
        <v>0</v>
      </c>
      <c r="H416" s="112">
        <v>0</v>
      </c>
      <c r="I416" s="113">
        <v>0</v>
      </c>
      <c r="J416"/>
      <c r="K416"/>
      <c r="L416"/>
      <c r="M416"/>
      <c r="N416"/>
    </row>
    <row r="417" spans="1:14" x14ac:dyDescent="0.3">
      <c r="A417" s="102" t="s">
        <v>956</v>
      </c>
      <c r="B417" s="102" t="s">
        <v>2070</v>
      </c>
      <c r="C417" s="107" t="s">
        <v>54</v>
      </c>
      <c r="D417" s="102">
        <v>6</v>
      </c>
      <c r="E417" s="111">
        <v>0</v>
      </c>
      <c r="F417" s="112">
        <v>0</v>
      </c>
      <c r="G417" s="112">
        <v>0</v>
      </c>
      <c r="H417" s="112">
        <v>0</v>
      </c>
      <c r="I417" s="113">
        <v>0</v>
      </c>
      <c r="J417"/>
      <c r="K417"/>
      <c r="L417"/>
      <c r="M417"/>
      <c r="N417"/>
    </row>
    <row r="418" spans="1:14" x14ac:dyDescent="0.3">
      <c r="A418" s="102" t="s">
        <v>957</v>
      </c>
      <c r="B418" s="102" t="s">
        <v>2071</v>
      </c>
      <c r="C418" s="107" t="s">
        <v>54</v>
      </c>
      <c r="D418" s="102">
        <v>6</v>
      </c>
      <c r="E418" s="111">
        <v>0</v>
      </c>
      <c r="F418" s="112">
        <v>0</v>
      </c>
      <c r="G418" s="112">
        <v>0</v>
      </c>
      <c r="H418" s="112">
        <v>0</v>
      </c>
      <c r="I418" s="113">
        <v>0</v>
      </c>
      <c r="J418"/>
      <c r="K418"/>
      <c r="L418"/>
      <c r="M418"/>
      <c r="N418"/>
    </row>
    <row r="419" spans="1:14" x14ac:dyDescent="0.3">
      <c r="A419" s="102" t="s">
        <v>958</v>
      </c>
      <c r="B419" s="102" t="s">
        <v>2157</v>
      </c>
      <c r="C419" s="107" t="s">
        <v>54</v>
      </c>
      <c r="D419" s="102">
        <v>4</v>
      </c>
      <c r="E419" s="111">
        <v>9709.02</v>
      </c>
      <c r="F419" s="112">
        <v>0</v>
      </c>
      <c r="G419" s="112">
        <v>0</v>
      </c>
      <c r="H419" s="112">
        <v>35958.89</v>
      </c>
      <c r="I419" s="113">
        <v>45667.91</v>
      </c>
      <c r="J419"/>
      <c r="K419"/>
      <c r="L419"/>
      <c r="M419"/>
      <c r="N419"/>
    </row>
    <row r="420" spans="1:14" x14ac:dyDescent="0.3">
      <c r="A420" s="102" t="s">
        <v>959</v>
      </c>
      <c r="B420" s="102" t="s">
        <v>2067</v>
      </c>
      <c r="C420" s="107" t="s">
        <v>54</v>
      </c>
      <c r="D420" s="102">
        <v>6</v>
      </c>
      <c r="E420" s="111">
        <v>0</v>
      </c>
      <c r="F420" s="112">
        <v>0</v>
      </c>
      <c r="G420" s="112">
        <v>0</v>
      </c>
      <c r="H420" s="112">
        <v>0</v>
      </c>
      <c r="I420" s="113">
        <v>0</v>
      </c>
      <c r="J420"/>
      <c r="K420"/>
      <c r="L420"/>
      <c r="M420"/>
      <c r="N420"/>
    </row>
    <row r="421" spans="1:14" x14ac:dyDescent="0.3">
      <c r="A421" s="102" t="s">
        <v>960</v>
      </c>
      <c r="B421" s="102" t="s">
        <v>2068</v>
      </c>
      <c r="C421" s="107" t="s">
        <v>54</v>
      </c>
      <c r="D421" s="102">
        <v>6</v>
      </c>
      <c r="E421" s="111">
        <v>2622.4</v>
      </c>
      <c r="F421" s="112">
        <v>0</v>
      </c>
      <c r="G421" s="112">
        <v>0</v>
      </c>
      <c r="H421" s="112">
        <v>1348.55</v>
      </c>
      <c r="I421" s="113">
        <v>3970.95</v>
      </c>
      <c r="J421"/>
      <c r="K421"/>
      <c r="L421"/>
      <c r="M421"/>
      <c r="N421"/>
    </row>
    <row r="422" spans="1:14" x14ac:dyDescent="0.3">
      <c r="A422" s="102" t="s">
        <v>961</v>
      </c>
      <c r="B422" s="102" t="s">
        <v>2069</v>
      </c>
      <c r="C422" s="107" t="s">
        <v>54</v>
      </c>
      <c r="D422" s="102">
        <v>6</v>
      </c>
      <c r="E422" s="111">
        <v>2002.17</v>
      </c>
      <c r="F422" s="112">
        <v>0</v>
      </c>
      <c r="G422" s="112">
        <v>0</v>
      </c>
      <c r="H422" s="112">
        <v>14202.17</v>
      </c>
      <c r="I422" s="113">
        <v>16204.34</v>
      </c>
      <c r="J422"/>
      <c r="K422"/>
      <c r="L422"/>
      <c r="M422"/>
      <c r="N422"/>
    </row>
    <row r="423" spans="1:14" x14ac:dyDescent="0.3">
      <c r="A423" s="102" t="s">
        <v>962</v>
      </c>
      <c r="B423" s="102" t="s">
        <v>2145</v>
      </c>
      <c r="C423" s="107" t="s">
        <v>54</v>
      </c>
      <c r="D423" s="102">
        <v>6</v>
      </c>
      <c r="E423" s="111">
        <v>3267.19</v>
      </c>
      <c r="F423" s="112">
        <v>0</v>
      </c>
      <c r="G423" s="112">
        <v>0</v>
      </c>
      <c r="H423" s="112">
        <v>4056.36</v>
      </c>
      <c r="I423" s="113">
        <v>7323.55</v>
      </c>
      <c r="J423"/>
      <c r="K423"/>
      <c r="L423"/>
      <c r="M423"/>
      <c r="N423"/>
    </row>
    <row r="424" spans="1:14" x14ac:dyDescent="0.3">
      <c r="A424" s="102" t="s">
        <v>963</v>
      </c>
      <c r="B424" s="102" t="s">
        <v>2146</v>
      </c>
      <c r="C424" s="107" t="s">
        <v>54</v>
      </c>
      <c r="D424" s="102">
        <v>6</v>
      </c>
      <c r="E424" s="111">
        <v>1817.26</v>
      </c>
      <c r="F424" s="112">
        <v>0</v>
      </c>
      <c r="G424" s="112">
        <v>0</v>
      </c>
      <c r="H424" s="112">
        <v>16351.81</v>
      </c>
      <c r="I424" s="113">
        <v>18169.07</v>
      </c>
      <c r="J424"/>
      <c r="K424"/>
      <c r="L424"/>
      <c r="M424"/>
      <c r="N424"/>
    </row>
    <row r="425" spans="1:14" x14ac:dyDescent="0.3">
      <c r="A425" s="102" t="s">
        <v>964</v>
      </c>
      <c r="B425" s="102" t="s">
        <v>2158</v>
      </c>
      <c r="C425" s="107" t="s">
        <v>54</v>
      </c>
      <c r="D425" s="102">
        <v>4</v>
      </c>
      <c r="E425" s="111">
        <v>1016.98</v>
      </c>
      <c r="F425" s="112">
        <v>0</v>
      </c>
      <c r="G425" s="112">
        <v>0</v>
      </c>
      <c r="H425" s="112">
        <v>0</v>
      </c>
      <c r="I425" s="113">
        <v>1016.98</v>
      </c>
      <c r="J425"/>
      <c r="K425"/>
      <c r="L425"/>
      <c r="M425"/>
      <c r="N425"/>
    </row>
    <row r="426" spans="1:14" x14ac:dyDescent="0.3">
      <c r="A426" s="102" t="s">
        <v>965</v>
      </c>
      <c r="B426" s="102" t="s">
        <v>2067</v>
      </c>
      <c r="C426" s="107" t="s">
        <v>54</v>
      </c>
      <c r="D426" s="102">
        <v>6</v>
      </c>
      <c r="E426" s="111">
        <v>0</v>
      </c>
      <c r="F426" s="112">
        <v>0</v>
      </c>
      <c r="G426" s="112">
        <v>0</v>
      </c>
      <c r="H426" s="112">
        <v>0</v>
      </c>
      <c r="I426" s="113">
        <v>0</v>
      </c>
      <c r="J426"/>
      <c r="K426"/>
      <c r="L426"/>
      <c r="M426"/>
      <c r="N426"/>
    </row>
    <row r="427" spans="1:14" x14ac:dyDescent="0.3">
      <c r="A427" s="102" t="s">
        <v>966</v>
      </c>
      <c r="B427" s="102" t="s">
        <v>2068</v>
      </c>
      <c r="C427" s="107" t="s">
        <v>54</v>
      </c>
      <c r="D427" s="102">
        <v>6</v>
      </c>
      <c r="E427" s="111">
        <v>105.84</v>
      </c>
      <c r="F427" s="112">
        <v>0</v>
      </c>
      <c r="G427" s="112">
        <v>0</v>
      </c>
      <c r="H427" s="112">
        <v>0</v>
      </c>
      <c r="I427" s="113">
        <v>105.84</v>
      </c>
      <c r="J427"/>
      <c r="K427"/>
      <c r="L427"/>
      <c r="M427"/>
      <c r="N427"/>
    </row>
    <row r="428" spans="1:14" x14ac:dyDescent="0.3">
      <c r="A428" s="102" t="s">
        <v>967</v>
      </c>
      <c r="B428" s="102" t="s">
        <v>2148</v>
      </c>
      <c r="C428" s="107" t="s">
        <v>54</v>
      </c>
      <c r="D428" s="102">
        <v>6</v>
      </c>
      <c r="E428" s="111">
        <v>515.23</v>
      </c>
      <c r="F428" s="112">
        <v>0</v>
      </c>
      <c r="G428" s="112">
        <v>0</v>
      </c>
      <c r="H428" s="112">
        <v>0</v>
      </c>
      <c r="I428" s="113">
        <v>515.23</v>
      </c>
      <c r="J428"/>
      <c r="K428"/>
      <c r="L428"/>
      <c r="M428"/>
      <c r="N428"/>
    </row>
    <row r="429" spans="1:14" x14ac:dyDescent="0.3">
      <c r="A429" s="102" t="s">
        <v>968</v>
      </c>
      <c r="B429" s="102" t="s">
        <v>2149</v>
      </c>
      <c r="C429" s="107" t="s">
        <v>54</v>
      </c>
      <c r="D429" s="102">
        <v>6</v>
      </c>
      <c r="E429" s="111">
        <v>395.91</v>
      </c>
      <c r="F429" s="112">
        <v>0</v>
      </c>
      <c r="G429" s="112">
        <v>0</v>
      </c>
      <c r="H429" s="112">
        <v>0</v>
      </c>
      <c r="I429" s="113">
        <v>395.91</v>
      </c>
      <c r="J429"/>
      <c r="K429"/>
      <c r="L429"/>
      <c r="M429"/>
      <c r="N429"/>
    </row>
    <row r="430" spans="1:14" x14ac:dyDescent="0.3">
      <c r="A430" s="102" t="s">
        <v>969</v>
      </c>
      <c r="B430" s="102" t="s">
        <v>2150</v>
      </c>
      <c r="C430" s="107" t="s">
        <v>54</v>
      </c>
      <c r="D430" s="102">
        <v>6</v>
      </c>
      <c r="E430" s="111">
        <v>0</v>
      </c>
      <c r="F430" s="112">
        <v>0</v>
      </c>
      <c r="G430" s="112">
        <v>0</v>
      </c>
      <c r="H430" s="112">
        <v>0</v>
      </c>
      <c r="I430" s="113">
        <v>0</v>
      </c>
      <c r="J430"/>
      <c r="K430"/>
      <c r="L430"/>
      <c r="M430"/>
      <c r="N430"/>
    </row>
    <row r="431" spans="1:14" x14ac:dyDescent="0.3">
      <c r="A431" s="102" t="s">
        <v>970</v>
      </c>
      <c r="B431" s="102" t="s">
        <v>2151</v>
      </c>
      <c r="C431" s="107" t="s">
        <v>54</v>
      </c>
      <c r="D431" s="102">
        <v>6</v>
      </c>
      <c r="E431" s="111">
        <v>0</v>
      </c>
      <c r="F431" s="112">
        <v>0</v>
      </c>
      <c r="G431" s="112">
        <v>0</v>
      </c>
      <c r="H431" s="112">
        <v>0</v>
      </c>
      <c r="I431" s="113">
        <v>0</v>
      </c>
      <c r="J431"/>
      <c r="K431"/>
      <c r="L431"/>
      <c r="M431"/>
      <c r="N431"/>
    </row>
    <row r="432" spans="1:14" x14ac:dyDescent="0.3">
      <c r="A432" s="102" t="s">
        <v>971</v>
      </c>
      <c r="B432" s="102" t="s">
        <v>2159</v>
      </c>
      <c r="C432" s="107" t="s">
        <v>54</v>
      </c>
      <c r="D432" s="102">
        <v>4</v>
      </c>
      <c r="E432" s="111">
        <v>13365.33</v>
      </c>
      <c r="F432" s="112">
        <v>0</v>
      </c>
      <c r="G432" s="112">
        <v>0</v>
      </c>
      <c r="H432" s="112">
        <v>2559.2800000000002</v>
      </c>
      <c r="I432" s="113">
        <v>15924.61</v>
      </c>
      <c r="J432"/>
      <c r="K432"/>
      <c r="L432"/>
      <c r="M432"/>
      <c r="N432"/>
    </row>
    <row r="433" spans="1:14" x14ac:dyDescent="0.3">
      <c r="A433" s="102" t="s">
        <v>972</v>
      </c>
      <c r="B433" s="102" t="s">
        <v>2067</v>
      </c>
      <c r="C433" s="107" t="s">
        <v>54</v>
      </c>
      <c r="D433" s="102">
        <v>6</v>
      </c>
      <c r="E433" s="111">
        <v>0</v>
      </c>
      <c r="F433" s="112">
        <v>0</v>
      </c>
      <c r="G433" s="112">
        <v>0</v>
      </c>
      <c r="H433" s="112">
        <v>0</v>
      </c>
      <c r="I433" s="113">
        <v>0</v>
      </c>
      <c r="J433"/>
      <c r="K433"/>
      <c r="L433"/>
      <c r="M433"/>
      <c r="N433"/>
    </row>
    <row r="434" spans="1:14" x14ac:dyDescent="0.3">
      <c r="A434" s="102" t="s">
        <v>973</v>
      </c>
      <c r="B434" s="102" t="s">
        <v>2068</v>
      </c>
      <c r="C434" s="107" t="s">
        <v>54</v>
      </c>
      <c r="D434" s="102">
        <v>6</v>
      </c>
      <c r="E434" s="111">
        <v>4458.78</v>
      </c>
      <c r="F434" s="112">
        <v>0</v>
      </c>
      <c r="G434" s="112">
        <v>0</v>
      </c>
      <c r="H434" s="112">
        <v>2559.2800000000002</v>
      </c>
      <c r="I434" s="113">
        <v>7018.06</v>
      </c>
      <c r="J434"/>
      <c r="K434"/>
      <c r="L434"/>
      <c r="M434"/>
      <c r="N434"/>
    </row>
    <row r="435" spans="1:14" x14ac:dyDescent="0.3">
      <c r="A435" s="102" t="s">
        <v>974</v>
      </c>
      <c r="B435" s="102" t="s">
        <v>2069</v>
      </c>
      <c r="C435" s="107" t="s">
        <v>54</v>
      </c>
      <c r="D435" s="102">
        <v>6</v>
      </c>
      <c r="E435" s="111">
        <v>2965.99</v>
      </c>
      <c r="F435" s="112">
        <v>0</v>
      </c>
      <c r="G435" s="112">
        <v>0</v>
      </c>
      <c r="H435" s="112">
        <v>0</v>
      </c>
      <c r="I435" s="113">
        <v>2965.99</v>
      </c>
      <c r="J435"/>
      <c r="K435"/>
      <c r="L435"/>
      <c r="M435"/>
      <c r="N435"/>
    </row>
    <row r="436" spans="1:14" x14ac:dyDescent="0.3">
      <c r="A436" s="102" t="s">
        <v>975</v>
      </c>
      <c r="B436" s="102" t="s">
        <v>2070</v>
      </c>
      <c r="C436" s="107" t="s">
        <v>54</v>
      </c>
      <c r="D436" s="102">
        <v>6</v>
      </c>
      <c r="E436" s="111">
        <v>3056.95</v>
      </c>
      <c r="F436" s="112">
        <v>0</v>
      </c>
      <c r="G436" s="112">
        <v>0</v>
      </c>
      <c r="H436" s="112">
        <v>0</v>
      </c>
      <c r="I436" s="113">
        <v>3056.95</v>
      </c>
      <c r="J436"/>
      <c r="K436"/>
      <c r="L436"/>
      <c r="M436"/>
      <c r="N436"/>
    </row>
    <row r="437" spans="1:14" x14ac:dyDescent="0.3">
      <c r="A437" s="102" t="s">
        <v>976</v>
      </c>
      <c r="B437" s="102" t="s">
        <v>2071</v>
      </c>
      <c r="C437" s="107" t="s">
        <v>54</v>
      </c>
      <c r="D437" s="102">
        <v>6</v>
      </c>
      <c r="E437" s="111">
        <v>2883.61</v>
      </c>
      <c r="F437" s="112">
        <v>0</v>
      </c>
      <c r="G437" s="112">
        <v>0</v>
      </c>
      <c r="H437" s="112">
        <v>0</v>
      </c>
      <c r="I437" s="113">
        <v>2883.61</v>
      </c>
      <c r="J437"/>
      <c r="K437"/>
      <c r="L437"/>
      <c r="M437"/>
      <c r="N437"/>
    </row>
    <row r="438" spans="1:14" x14ac:dyDescent="0.3">
      <c r="A438" s="102" t="s">
        <v>977</v>
      </c>
      <c r="B438" s="102" t="s">
        <v>2160</v>
      </c>
      <c r="C438" s="107" t="s">
        <v>54</v>
      </c>
      <c r="D438" s="102">
        <v>4</v>
      </c>
      <c r="E438" s="111">
        <v>0</v>
      </c>
      <c r="F438" s="112">
        <v>0</v>
      </c>
      <c r="G438" s="112">
        <v>0</v>
      </c>
      <c r="H438" s="112">
        <v>0</v>
      </c>
      <c r="I438" s="113">
        <v>0</v>
      </c>
      <c r="J438"/>
      <c r="K438"/>
      <c r="L438"/>
      <c r="M438"/>
      <c r="N438"/>
    </row>
    <row r="439" spans="1:14" x14ac:dyDescent="0.3">
      <c r="A439" s="102" t="s">
        <v>978</v>
      </c>
      <c r="B439" s="102" t="s">
        <v>2067</v>
      </c>
      <c r="C439" s="107" t="s">
        <v>54</v>
      </c>
      <c r="D439" s="102">
        <v>6</v>
      </c>
      <c r="E439" s="111">
        <v>0</v>
      </c>
      <c r="F439" s="112">
        <v>0</v>
      </c>
      <c r="G439" s="112">
        <v>0</v>
      </c>
      <c r="H439" s="112">
        <v>0</v>
      </c>
      <c r="I439" s="113">
        <v>0</v>
      </c>
      <c r="J439"/>
      <c r="K439"/>
      <c r="L439"/>
      <c r="M439"/>
      <c r="N439"/>
    </row>
    <row r="440" spans="1:14" x14ac:dyDescent="0.3">
      <c r="A440" s="102" t="s">
        <v>979</v>
      </c>
      <c r="B440" s="102" t="s">
        <v>2068</v>
      </c>
      <c r="C440" s="107" t="s">
        <v>54</v>
      </c>
      <c r="D440" s="102">
        <v>6</v>
      </c>
      <c r="E440" s="111">
        <v>0</v>
      </c>
      <c r="F440" s="112">
        <v>0</v>
      </c>
      <c r="G440" s="112">
        <v>0</v>
      </c>
      <c r="H440" s="112">
        <v>0</v>
      </c>
      <c r="I440" s="113">
        <v>0</v>
      </c>
      <c r="J440"/>
      <c r="K440"/>
      <c r="L440"/>
      <c r="M440"/>
      <c r="N440"/>
    </row>
    <row r="441" spans="1:14" x14ac:dyDescent="0.3">
      <c r="A441" s="102" t="s">
        <v>980</v>
      </c>
      <c r="B441" s="102" t="s">
        <v>2069</v>
      </c>
      <c r="C441" s="107" t="s">
        <v>54</v>
      </c>
      <c r="D441" s="102">
        <v>6</v>
      </c>
      <c r="E441" s="111">
        <v>0</v>
      </c>
      <c r="F441" s="112">
        <v>0</v>
      </c>
      <c r="G441" s="112">
        <v>0</v>
      </c>
      <c r="H441" s="112">
        <v>0</v>
      </c>
      <c r="I441" s="113">
        <v>0</v>
      </c>
      <c r="J441"/>
      <c r="K441"/>
      <c r="L441"/>
      <c r="M441"/>
      <c r="N441"/>
    </row>
    <row r="442" spans="1:14" x14ac:dyDescent="0.3">
      <c r="A442" s="102" t="s">
        <v>981</v>
      </c>
      <c r="B442" s="102" t="s">
        <v>2070</v>
      </c>
      <c r="C442" s="107" t="s">
        <v>54</v>
      </c>
      <c r="D442" s="102">
        <v>6</v>
      </c>
      <c r="E442" s="111">
        <v>0</v>
      </c>
      <c r="F442" s="112">
        <v>0</v>
      </c>
      <c r="G442" s="112">
        <v>0</v>
      </c>
      <c r="H442" s="112">
        <v>0</v>
      </c>
      <c r="I442" s="113">
        <v>0</v>
      </c>
      <c r="J442"/>
      <c r="K442"/>
      <c r="L442"/>
      <c r="M442"/>
      <c r="N442"/>
    </row>
    <row r="443" spans="1:14" x14ac:dyDescent="0.3">
      <c r="A443" s="102" t="s">
        <v>982</v>
      </c>
      <c r="B443" s="102" t="s">
        <v>2071</v>
      </c>
      <c r="C443" s="107" t="s">
        <v>54</v>
      </c>
      <c r="D443" s="102">
        <v>6</v>
      </c>
      <c r="E443" s="111">
        <v>0</v>
      </c>
      <c r="F443" s="112">
        <v>0</v>
      </c>
      <c r="G443" s="112">
        <v>0</v>
      </c>
      <c r="H443" s="112">
        <v>0</v>
      </c>
      <c r="I443" s="113">
        <v>0</v>
      </c>
      <c r="J443"/>
      <c r="K443"/>
      <c r="L443"/>
      <c r="M443"/>
      <c r="N443"/>
    </row>
    <row r="444" spans="1:14" x14ac:dyDescent="0.3">
      <c r="A444" s="102" t="s">
        <v>983</v>
      </c>
      <c r="B444" s="102" t="s">
        <v>2161</v>
      </c>
      <c r="C444" s="107" t="s">
        <v>54</v>
      </c>
      <c r="D444" s="102">
        <v>4</v>
      </c>
      <c r="E444" s="111">
        <v>0</v>
      </c>
      <c r="F444" s="112">
        <v>0</v>
      </c>
      <c r="G444" s="112">
        <v>0</v>
      </c>
      <c r="H444" s="112">
        <v>0</v>
      </c>
      <c r="I444" s="113">
        <v>0</v>
      </c>
      <c r="J444"/>
      <c r="K444"/>
      <c r="L444"/>
      <c r="M444"/>
      <c r="N444"/>
    </row>
    <row r="445" spans="1:14" x14ac:dyDescent="0.3">
      <c r="A445" s="102" t="s">
        <v>984</v>
      </c>
      <c r="B445" s="102" t="s">
        <v>2067</v>
      </c>
      <c r="C445" s="107" t="s">
        <v>54</v>
      </c>
      <c r="D445" s="102">
        <v>6</v>
      </c>
      <c r="E445" s="111">
        <v>0</v>
      </c>
      <c r="F445" s="112">
        <v>0</v>
      </c>
      <c r="G445" s="112">
        <v>0</v>
      </c>
      <c r="H445" s="112">
        <v>0</v>
      </c>
      <c r="I445" s="113">
        <v>0</v>
      </c>
      <c r="J445"/>
      <c r="K445"/>
      <c r="L445"/>
      <c r="M445"/>
      <c r="N445"/>
    </row>
    <row r="446" spans="1:14" x14ac:dyDescent="0.3">
      <c r="A446" s="102" t="s">
        <v>985</v>
      </c>
      <c r="B446" s="102" t="s">
        <v>2068</v>
      </c>
      <c r="C446" s="107" t="s">
        <v>54</v>
      </c>
      <c r="D446" s="102">
        <v>6</v>
      </c>
      <c r="E446" s="111">
        <v>0</v>
      </c>
      <c r="F446" s="112">
        <v>0</v>
      </c>
      <c r="G446" s="112">
        <v>0</v>
      </c>
      <c r="H446" s="112">
        <v>0</v>
      </c>
      <c r="I446" s="113">
        <v>0</v>
      </c>
      <c r="J446"/>
      <c r="K446"/>
      <c r="L446"/>
      <c r="M446"/>
      <c r="N446"/>
    </row>
    <row r="447" spans="1:14" x14ac:dyDescent="0.3">
      <c r="A447" s="102" t="s">
        <v>986</v>
      </c>
      <c r="B447" s="102" t="s">
        <v>2069</v>
      </c>
      <c r="C447" s="107" t="s">
        <v>54</v>
      </c>
      <c r="D447" s="102">
        <v>6</v>
      </c>
      <c r="E447" s="111">
        <v>0</v>
      </c>
      <c r="F447" s="112">
        <v>0</v>
      </c>
      <c r="G447" s="112">
        <v>0</v>
      </c>
      <c r="H447" s="112">
        <v>0</v>
      </c>
      <c r="I447" s="113">
        <v>0</v>
      </c>
      <c r="J447"/>
      <c r="K447"/>
      <c r="L447"/>
      <c r="M447"/>
      <c r="N447"/>
    </row>
    <row r="448" spans="1:14" x14ac:dyDescent="0.3">
      <c r="A448" s="102" t="s">
        <v>987</v>
      </c>
      <c r="B448" s="102" t="s">
        <v>2070</v>
      </c>
      <c r="C448" s="107" t="s">
        <v>54</v>
      </c>
      <c r="D448" s="102">
        <v>6</v>
      </c>
      <c r="E448" s="111">
        <v>0</v>
      </c>
      <c r="F448" s="112">
        <v>0</v>
      </c>
      <c r="G448" s="112">
        <v>0</v>
      </c>
      <c r="H448" s="112">
        <v>0</v>
      </c>
      <c r="I448" s="113">
        <v>0</v>
      </c>
      <c r="J448"/>
      <c r="K448"/>
      <c r="L448"/>
      <c r="M448"/>
      <c r="N448"/>
    </row>
    <row r="449" spans="1:14" x14ac:dyDescent="0.3">
      <c r="A449" s="102" t="s">
        <v>988</v>
      </c>
      <c r="B449" s="102" t="s">
        <v>2071</v>
      </c>
      <c r="C449" s="107" t="s">
        <v>54</v>
      </c>
      <c r="D449" s="102">
        <v>6</v>
      </c>
      <c r="E449" s="111">
        <v>0</v>
      </c>
      <c r="F449" s="112">
        <v>0</v>
      </c>
      <c r="G449" s="112">
        <v>0</v>
      </c>
      <c r="H449" s="112">
        <v>0</v>
      </c>
      <c r="I449" s="113">
        <v>0</v>
      </c>
      <c r="J449"/>
      <c r="K449"/>
      <c r="L449"/>
      <c r="M449"/>
      <c r="N449"/>
    </row>
    <row r="450" spans="1:14" x14ac:dyDescent="0.3">
      <c r="A450" s="102" t="s">
        <v>989</v>
      </c>
      <c r="B450" s="102" t="s">
        <v>2162</v>
      </c>
      <c r="C450" s="107" t="s">
        <v>54</v>
      </c>
      <c r="D450" s="102">
        <v>4</v>
      </c>
      <c r="E450" s="111">
        <v>0</v>
      </c>
      <c r="F450" s="112">
        <v>0</v>
      </c>
      <c r="G450" s="112">
        <v>0</v>
      </c>
      <c r="H450" s="112">
        <v>0</v>
      </c>
      <c r="I450" s="113">
        <v>0</v>
      </c>
      <c r="J450"/>
      <c r="K450"/>
      <c r="L450"/>
      <c r="M450"/>
      <c r="N450"/>
    </row>
    <row r="451" spans="1:14" x14ac:dyDescent="0.3">
      <c r="A451" s="102" t="s">
        <v>990</v>
      </c>
      <c r="B451" s="102" t="s">
        <v>2067</v>
      </c>
      <c r="C451" s="107" t="s">
        <v>54</v>
      </c>
      <c r="D451" s="102">
        <v>6</v>
      </c>
      <c r="E451" s="111">
        <v>0</v>
      </c>
      <c r="F451" s="112">
        <v>0</v>
      </c>
      <c r="G451" s="112">
        <v>0</v>
      </c>
      <c r="H451" s="112">
        <v>0</v>
      </c>
      <c r="I451" s="113">
        <v>0</v>
      </c>
      <c r="J451"/>
      <c r="K451"/>
      <c r="L451"/>
      <c r="M451"/>
      <c r="N451"/>
    </row>
    <row r="452" spans="1:14" x14ac:dyDescent="0.3">
      <c r="A452" s="102" t="s">
        <v>991</v>
      </c>
      <c r="B452" s="102" t="s">
        <v>2068</v>
      </c>
      <c r="C452" s="107" t="s">
        <v>54</v>
      </c>
      <c r="D452" s="102">
        <v>6</v>
      </c>
      <c r="E452" s="111">
        <v>0</v>
      </c>
      <c r="F452" s="112">
        <v>0</v>
      </c>
      <c r="G452" s="112">
        <v>0</v>
      </c>
      <c r="H452" s="112">
        <v>0</v>
      </c>
      <c r="I452" s="113">
        <v>0</v>
      </c>
      <c r="J452"/>
      <c r="K452"/>
      <c r="L452"/>
      <c r="M452"/>
      <c r="N452"/>
    </row>
    <row r="453" spans="1:14" x14ac:dyDescent="0.3">
      <c r="A453" s="102" t="s">
        <v>992</v>
      </c>
      <c r="B453" s="102" t="s">
        <v>2148</v>
      </c>
      <c r="C453" s="107" t="s">
        <v>54</v>
      </c>
      <c r="D453" s="102">
        <v>6</v>
      </c>
      <c r="E453" s="111">
        <v>0</v>
      </c>
      <c r="F453" s="112">
        <v>0</v>
      </c>
      <c r="G453" s="112">
        <v>0</v>
      </c>
      <c r="H453" s="112">
        <v>0</v>
      </c>
      <c r="I453" s="113">
        <v>0</v>
      </c>
      <c r="J453"/>
      <c r="K453"/>
      <c r="L453"/>
      <c r="M453"/>
      <c r="N453"/>
    </row>
    <row r="454" spans="1:14" x14ac:dyDescent="0.3">
      <c r="A454" s="102" t="s">
        <v>993</v>
      </c>
      <c r="B454" s="102" t="s">
        <v>2149</v>
      </c>
      <c r="C454" s="107" t="s">
        <v>54</v>
      </c>
      <c r="D454" s="102">
        <v>6</v>
      </c>
      <c r="E454" s="111">
        <v>0</v>
      </c>
      <c r="F454" s="112">
        <v>0</v>
      </c>
      <c r="G454" s="112">
        <v>0</v>
      </c>
      <c r="H454" s="112">
        <v>0</v>
      </c>
      <c r="I454" s="113">
        <v>0</v>
      </c>
      <c r="J454"/>
      <c r="K454"/>
      <c r="L454"/>
      <c r="M454"/>
      <c r="N454"/>
    </row>
    <row r="455" spans="1:14" x14ac:dyDescent="0.3">
      <c r="A455" s="102" t="s">
        <v>994</v>
      </c>
      <c r="B455" s="102" t="s">
        <v>2150</v>
      </c>
      <c r="C455" s="107" t="s">
        <v>54</v>
      </c>
      <c r="D455" s="102">
        <v>6</v>
      </c>
      <c r="E455" s="111">
        <v>0</v>
      </c>
      <c r="F455" s="112">
        <v>0</v>
      </c>
      <c r="G455" s="112">
        <v>0</v>
      </c>
      <c r="H455" s="112">
        <v>0</v>
      </c>
      <c r="I455" s="113">
        <v>0</v>
      </c>
      <c r="J455"/>
      <c r="K455"/>
      <c r="L455"/>
      <c r="M455"/>
      <c r="N455"/>
    </row>
    <row r="456" spans="1:14" x14ac:dyDescent="0.3">
      <c r="A456" s="102" t="s">
        <v>995</v>
      </c>
      <c r="B456" s="102" t="s">
        <v>2151</v>
      </c>
      <c r="C456" s="107" t="s">
        <v>54</v>
      </c>
      <c r="D456" s="102">
        <v>6</v>
      </c>
      <c r="E456" s="111">
        <v>0</v>
      </c>
      <c r="F456" s="112">
        <v>0</v>
      </c>
      <c r="G456" s="112">
        <v>0</v>
      </c>
      <c r="H456" s="112">
        <v>0</v>
      </c>
      <c r="I456" s="113">
        <v>0</v>
      </c>
      <c r="J456"/>
      <c r="K456"/>
      <c r="L456"/>
      <c r="M456"/>
      <c r="N456"/>
    </row>
    <row r="457" spans="1:14" x14ac:dyDescent="0.3">
      <c r="A457" s="102" t="s">
        <v>996</v>
      </c>
      <c r="B457" s="102" t="s">
        <v>2163</v>
      </c>
      <c r="C457" s="107" t="s">
        <v>54</v>
      </c>
      <c r="D457" s="102">
        <v>4</v>
      </c>
      <c r="E457" s="111">
        <v>0</v>
      </c>
      <c r="F457" s="112">
        <v>0</v>
      </c>
      <c r="G457" s="112">
        <v>0</v>
      </c>
      <c r="H457" s="112">
        <v>0</v>
      </c>
      <c r="I457" s="113">
        <v>0</v>
      </c>
      <c r="J457"/>
      <c r="K457"/>
      <c r="L457"/>
      <c r="M457"/>
      <c r="N457"/>
    </row>
    <row r="458" spans="1:14" x14ac:dyDescent="0.3">
      <c r="A458" s="102" t="s">
        <v>997</v>
      </c>
      <c r="B458" s="102" t="s">
        <v>2067</v>
      </c>
      <c r="C458" s="107" t="s">
        <v>54</v>
      </c>
      <c r="D458" s="102">
        <v>6</v>
      </c>
      <c r="E458" s="111">
        <v>0</v>
      </c>
      <c r="F458" s="112">
        <v>0</v>
      </c>
      <c r="G458" s="112">
        <v>0</v>
      </c>
      <c r="H458" s="112">
        <v>0</v>
      </c>
      <c r="I458" s="113">
        <v>0</v>
      </c>
      <c r="J458"/>
      <c r="K458"/>
      <c r="L458"/>
      <c r="M458"/>
      <c r="N458"/>
    </row>
    <row r="459" spans="1:14" x14ac:dyDescent="0.3">
      <c r="A459" s="102" t="s">
        <v>998</v>
      </c>
      <c r="B459" s="102" t="s">
        <v>2068</v>
      </c>
      <c r="C459" s="107" t="s">
        <v>54</v>
      </c>
      <c r="D459" s="102">
        <v>6</v>
      </c>
      <c r="E459" s="111">
        <v>0</v>
      </c>
      <c r="F459" s="112">
        <v>0</v>
      </c>
      <c r="G459" s="112">
        <v>0</v>
      </c>
      <c r="H459" s="112">
        <v>0</v>
      </c>
      <c r="I459" s="113">
        <v>0</v>
      </c>
      <c r="J459"/>
      <c r="K459"/>
      <c r="L459"/>
      <c r="M459"/>
      <c r="N459"/>
    </row>
    <row r="460" spans="1:14" x14ac:dyDescent="0.3">
      <c r="A460" s="102" t="s">
        <v>999</v>
      </c>
      <c r="B460" s="102" t="s">
        <v>2069</v>
      </c>
      <c r="C460" s="107" t="s">
        <v>54</v>
      </c>
      <c r="D460" s="102">
        <v>6</v>
      </c>
      <c r="E460" s="111">
        <v>0</v>
      </c>
      <c r="F460" s="112">
        <v>0</v>
      </c>
      <c r="G460" s="112">
        <v>0</v>
      </c>
      <c r="H460" s="112">
        <v>0</v>
      </c>
      <c r="I460" s="113">
        <v>0</v>
      </c>
      <c r="J460"/>
      <c r="K460"/>
      <c r="L460"/>
      <c r="M460"/>
      <c r="N460"/>
    </row>
    <row r="461" spans="1:14" x14ac:dyDescent="0.3">
      <c r="A461" s="102" t="s">
        <v>1000</v>
      </c>
      <c r="B461" s="102" t="s">
        <v>2070</v>
      </c>
      <c r="C461" s="107" t="s">
        <v>54</v>
      </c>
      <c r="D461" s="102">
        <v>6</v>
      </c>
      <c r="E461" s="111">
        <v>0</v>
      </c>
      <c r="F461" s="112">
        <v>0</v>
      </c>
      <c r="G461" s="112">
        <v>0</v>
      </c>
      <c r="H461" s="112">
        <v>0</v>
      </c>
      <c r="I461" s="113">
        <v>0</v>
      </c>
      <c r="J461"/>
      <c r="K461"/>
      <c r="L461"/>
      <c r="M461"/>
      <c r="N461"/>
    </row>
    <row r="462" spans="1:14" x14ac:dyDescent="0.3">
      <c r="A462" s="102" t="s">
        <v>1001</v>
      </c>
      <c r="B462" s="102" t="s">
        <v>2071</v>
      </c>
      <c r="C462" s="107" t="s">
        <v>54</v>
      </c>
      <c r="D462" s="102">
        <v>6</v>
      </c>
      <c r="E462" s="111">
        <v>0</v>
      </c>
      <c r="F462" s="112">
        <v>0</v>
      </c>
      <c r="G462" s="112">
        <v>0</v>
      </c>
      <c r="H462" s="112">
        <v>0</v>
      </c>
      <c r="I462" s="113">
        <v>0</v>
      </c>
      <c r="J462"/>
      <c r="K462"/>
      <c r="L462"/>
      <c r="M462"/>
      <c r="N462"/>
    </row>
    <row r="463" spans="1:14" x14ac:dyDescent="0.3">
      <c r="A463" s="102" t="s">
        <v>1002</v>
      </c>
      <c r="B463" s="102" t="s">
        <v>2164</v>
      </c>
      <c r="C463" s="107" t="s">
        <v>54</v>
      </c>
      <c r="D463" s="102">
        <v>4</v>
      </c>
      <c r="E463" s="111">
        <v>0</v>
      </c>
      <c r="F463" s="112">
        <v>0</v>
      </c>
      <c r="G463" s="112">
        <v>201.63</v>
      </c>
      <c r="H463" s="112">
        <v>307889.21000000002</v>
      </c>
      <c r="I463" s="113">
        <v>308090.84000000003</v>
      </c>
      <c r="J463"/>
      <c r="K463"/>
      <c r="L463"/>
      <c r="M463"/>
      <c r="N463"/>
    </row>
    <row r="464" spans="1:14" x14ac:dyDescent="0.3">
      <c r="A464" s="102" t="s">
        <v>1003</v>
      </c>
      <c r="B464" s="102" t="s">
        <v>2067</v>
      </c>
      <c r="C464" s="107" t="s">
        <v>54</v>
      </c>
      <c r="D464" s="102">
        <v>6</v>
      </c>
      <c r="E464" s="111">
        <v>0</v>
      </c>
      <c r="F464" s="112">
        <v>0</v>
      </c>
      <c r="G464" s="112">
        <v>0</v>
      </c>
      <c r="H464" s="112">
        <v>0</v>
      </c>
      <c r="I464" s="113">
        <v>0</v>
      </c>
      <c r="J464"/>
      <c r="K464"/>
      <c r="L464"/>
      <c r="M464"/>
      <c r="N464"/>
    </row>
    <row r="465" spans="1:14" x14ac:dyDescent="0.3">
      <c r="A465" s="102" t="s">
        <v>1004</v>
      </c>
      <c r="B465" s="102" t="s">
        <v>2068</v>
      </c>
      <c r="C465" s="107" t="s">
        <v>54</v>
      </c>
      <c r="D465" s="102">
        <v>6</v>
      </c>
      <c r="E465" s="111">
        <v>0</v>
      </c>
      <c r="F465" s="112">
        <v>0</v>
      </c>
      <c r="G465" s="112">
        <v>201.63</v>
      </c>
      <c r="H465" s="112">
        <v>5860.8</v>
      </c>
      <c r="I465" s="113">
        <v>6062.43</v>
      </c>
      <c r="J465"/>
      <c r="K465"/>
      <c r="L465"/>
      <c r="M465"/>
      <c r="N465"/>
    </row>
    <row r="466" spans="1:14" x14ac:dyDescent="0.3">
      <c r="A466" s="102" t="s">
        <v>1005</v>
      </c>
      <c r="B466" s="102" t="s">
        <v>2069</v>
      </c>
      <c r="C466" s="107" t="s">
        <v>54</v>
      </c>
      <c r="D466" s="102">
        <v>6</v>
      </c>
      <c r="E466" s="111">
        <v>0</v>
      </c>
      <c r="F466" s="112">
        <v>0</v>
      </c>
      <c r="G466" s="112">
        <v>0</v>
      </c>
      <c r="H466" s="112">
        <v>40341.97</v>
      </c>
      <c r="I466" s="113">
        <v>40341.97</v>
      </c>
      <c r="J466"/>
      <c r="K466"/>
      <c r="L466"/>
      <c r="M466"/>
      <c r="N466"/>
    </row>
    <row r="467" spans="1:14" x14ac:dyDescent="0.3">
      <c r="A467" s="102" t="s">
        <v>1006</v>
      </c>
      <c r="B467" s="102" t="s">
        <v>2145</v>
      </c>
      <c r="C467" s="107" t="s">
        <v>54</v>
      </c>
      <c r="D467" s="102">
        <v>6</v>
      </c>
      <c r="E467" s="111">
        <v>0</v>
      </c>
      <c r="F467" s="112">
        <v>0</v>
      </c>
      <c r="G467" s="112">
        <v>0</v>
      </c>
      <c r="H467" s="112">
        <v>30332.23</v>
      </c>
      <c r="I467" s="113">
        <v>30332.23</v>
      </c>
      <c r="J467"/>
      <c r="K467"/>
      <c r="L467"/>
      <c r="M467"/>
      <c r="N467"/>
    </row>
    <row r="468" spans="1:14" x14ac:dyDescent="0.3">
      <c r="A468" s="102" t="s">
        <v>1007</v>
      </c>
      <c r="B468" s="102" t="s">
        <v>2146</v>
      </c>
      <c r="C468" s="107" t="s">
        <v>54</v>
      </c>
      <c r="D468" s="102">
        <v>6</v>
      </c>
      <c r="E468" s="111">
        <v>0</v>
      </c>
      <c r="F468" s="112">
        <v>0</v>
      </c>
      <c r="G468" s="112">
        <v>0</v>
      </c>
      <c r="H468" s="112">
        <v>231354.21</v>
      </c>
      <c r="I468" s="113">
        <v>231354.21</v>
      </c>
      <c r="J468"/>
      <c r="K468"/>
      <c r="L468"/>
      <c r="M468"/>
      <c r="N468"/>
    </row>
    <row r="469" spans="1:14" x14ac:dyDescent="0.3">
      <c r="A469" s="102" t="s">
        <v>1008</v>
      </c>
      <c r="B469" s="102" t="s">
        <v>2165</v>
      </c>
      <c r="C469" s="107" t="s">
        <v>54</v>
      </c>
      <c r="D469" s="102">
        <v>4</v>
      </c>
      <c r="E469" s="111">
        <v>0</v>
      </c>
      <c r="F469" s="112">
        <v>0</v>
      </c>
      <c r="G469" s="112">
        <v>0</v>
      </c>
      <c r="H469" s="112">
        <v>0</v>
      </c>
      <c r="I469" s="113">
        <v>0</v>
      </c>
      <c r="J469"/>
      <c r="K469"/>
      <c r="L469"/>
      <c r="M469"/>
      <c r="N469"/>
    </row>
    <row r="470" spans="1:14" x14ac:dyDescent="0.3">
      <c r="A470" s="102" t="s">
        <v>1009</v>
      </c>
      <c r="B470" s="102" t="s">
        <v>2067</v>
      </c>
      <c r="C470" s="107" t="s">
        <v>54</v>
      </c>
      <c r="D470" s="102">
        <v>6</v>
      </c>
      <c r="E470" s="111">
        <v>0</v>
      </c>
      <c r="F470" s="112">
        <v>0</v>
      </c>
      <c r="G470" s="112">
        <v>0</v>
      </c>
      <c r="H470" s="112">
        <v>0</v>
      </c>
      <c r="I470" s="113">
        <v>0</v>
      </c>
      <c r="J470"/>
      <c r="K470"/>
      <c r="L470"/>
      <c r="M470"/>
      <c r="N470"/>
    </row>
    <row r="471" spans="1:14" x14ac:dyDescent="0.3">
      <c r="A471" s="102" t="s">
        <v>1010</v>
      </c>
      <c r="B471" s="102" t="s">
        <v>2068</v>
      </c>
      <c r="C471" s="107" t="s">
        <v>54</v>
      </c>
      <c r="D471" s="102">
        <v>6</v>
      </c>
      <c r="E471" s="111">
        <v>0</v>
      </c>
      <c r="F471" s="112">
        <v>0</v>
      </c>
      <c r="G471" s="112">
        <v>0</v>
      </c>
      <c r="H471" s="112">
        <v>0</v>
      </c>
      <c r="I471" s="113">
        <v>0</v>
      </c>
      <c r="J471"/>
      <c r="K471"/>
      <c r="L471"/>
      <c r="M471"/>
      <c r="N471"/>
    </row>
    <row r="472" spans="1:14" x14ac:dyDescent="0.3">
      <c r="A472" s="102" t="s">
        <v>1011</v>
      </c>
      <c r="B472" s="102" t="s">
        <v>2148</v>
      </c>
      <c r="C472" s="107" t="s">
        <v>54</v>
      </c>
      <c r="D472" s="102">
        <v>6</v>
      </c>
      <c r="E472" s="111">
        <v>0</v>
      </c>
      <c r="F472" s="112">
        <v>0</v>
      </c>
      <c r="G472" s="112">
        <v>0</v>
      </c>
      <c r="H472" s="112">
        <v>0</v>
      </c>
      <c r="I472" s="113">
        <v>0</v>
      </c>
      <c r="J472"/>
      <c r="K472"/>
      <c r="L472"/>
      <c r="M472"/>
      <c r="N472"/>
    </row>
    <row r="473" spans="1:14" x14ac:dyDescent="0.3">
      <c r="A473" s="102" t="s">
        <v>1012</v>
      </c>
      <c r="B473" s="102" t="s">
        <v>2149</v>
      </c>
      <c r="C473" s="107" t="s">
        <v>54</v>
      </c>
      <c r="D473" s="102">
        <v>6</v>
      </c>
      <c r="E473" s="111">
        <v>0</v>
      </c>
      <c r="F473" s="112">
        <v>0</v>
      </c>
      <c r="G473" s="112">
        <v>0</v>
      </c>
      <c r="H473" s="112">
        <v>0</v>
      </c>
      <c r="I473" s="113">
        <v>0</v>
      </c>
      <c r="J473"/>
      <c r="K473"/>
      <c r="L473"/>
      <c r="M473"/>
      <c r="N473"/>
    </row>
    <row r="474" spans="1:14" x14ac:dyDescent="0.3">
      <c r="A474" s="102" t="s">
        <v>1013</v>
      </c>
      <c r="B474" s="102" t="s">
        <v>2150</v>
      </c>
      <c r="C474" s="107" t="s">
        <v>54</v>
      </c>
      <c r="D474" s="102">
        <v>6</v>
      </c>
      <c r="E474" s="111">
        <v>0</v>
      </c>
      <c r="F474" s="112">
        <v>0</v>
      </c>
      <c r="G474" s="112">
        <v>0</v>
      </c>
      <c r="H474" s="112">
        <v>0</v>
      </c>
      <c r="I474" s="113">
        <v>0</v>
      </c>
      <c r="J474"/>
      <c r="K474"/>
      <c r="L474"/>
      <c r="M474"/>
      <c r="N474"/>
    </row>
    <row r="475" spans="1:14" x14ac:dyDescent="0.3">
      <c r="A475" s="102" t="s">
        <v>1014</v>
      </c>
      <c r="B475" s="102" t="s">
        <v>2151</v>
      </c>
      <c r="C475" s="107" t="s">
        <v>54</v>
      </c>
      <c r="D475" s="102">
        <v>6</v>
      </c>
      <c r="E475" s="111">
        <v>0</v>
      </c>
      <c r="F475" s="112">
        <v>0</v>
      </c>
      <c r="G475" s="112">
        <v>0</v>
      </c>
      <c r="H475" s="112">
        <v>0</v>
      </c>
      <c r="I475" s="113">
        <v>0</v>
      </c>
      <c r="J475"/>
      <c r="K475"/>
      <c r="L475"/>
      <c r="M475"/>
      <c r="N475"/>
    </row>
    <row r="476" spans="1:14" x14ac:dyDescent="0.3">
      <c r="A476" s="102" t="s">
        <v>1015</v>
      </c>
      <c r="B476" s="102" t="s">
        <v>2166</v>
      </c>
      <c r="C476" s="107" t="s">
        <v>54</v>
      </c>
      <c r="D476" s="102">
        <v>4</v>
      </c>
      <c r="E476" s="111">
        <v>0</v>
      </c>
      <c r="F476" s="112">
        <v>0</v>
      </c>
      <c r="G476" s="112">
        <v>0</v>
      </c>
      <c r="H476" s="112">
        <v>0</v>
      </c>
      <c r="I476" s="113">
        <v>0</v>
      </c>
      <c r="J476"/>
      <c r="K476"/>
      <c r="L476"/>
      <c r="M476"/>
      <c r="N476"/>
    </row>
    <row r="477" spans="1:14" x14ac:dyDescent="0.3">
      <c r="A477" s="102" t="s">
        <v>1016</v>
      </c>
      <c r="B477" s="102" t="s">
        <v>2067</v>
      </c>
      <c r="C477" s="107" t="s">
        <v>54</v>
      </c>
      <c r="D477" s="102">
        <v>6</v>
      </c>
      <c r="E477" s="111">
        <v>0</v>
      </c>
      <c r="F477" s="112">
        <v>0</v>
      </c>
      <c r="G477" s="112">
        <v>0</v>
      </c>
      <c r="H477" s="112">
        <v>0</v>
      </c>
      <c r="I477" s="113">
        <v>0</v>
      </c>
      <c r="J477"/>
      <c r="K477"/>
      <c r="L477"/>
      <c r="M477"/>
      <c r="N477"/>
    </row>
    <row r="478" spans="1:14" x14ac:dyDescent="0.3">
      <c r="A478" s="102" t="s">
        <v>1017</v>
      </c>
      <c r="B478" s="102" t="s">
        <v>2068</v>
      </c>
      <c r="C478" s="107" t="s">
        <v>54</v>
      </c>
      <c r="D478" s="102">
        <v>6</v>
      </c>
      <c r="E478" s="111">
        <v>0</v>
      </c>
      <c r="F478" s="112">
        <v>0</v>
      </c>
      <c r="G478" s="112">
        <v>0</v>
      </c>
      <c r="H478" s="112">
        <v>0</v>
      </c>
      <c r="I478" s="113">
        <v>0</v>
      </c>
      <c r="J478"/>
      <c r="K478"/>
      <c r="L478"/>
      <c r="M478"/>
      <c r="N478"/>
    </row>
    <row r="479" spans="1:14" x14ac:dyDescent="0.3">
      <c r="A479" s="102" t="s">
        <v>1018</v>
      </c>
      <c r="B479" s="102" t="s">
        <v>2069</v>
      </c>
      <c r="C479" s="107" t="s">
        <v>54</v>
      </c>
      <c r="D479" s="102">
        <v>6</v>
      </c>
      <c r="E479" s="111">
        <v>0</v>
      </c>
      <c r="F479" s="112">
        <v>0</v>
      </c>
      <c r="G479" s="112">
        <v>0</v>
      </c>
      <c r="H479" s="112">
        <v>0</v>
      </c>
      <c r="I479" s="113">
        <v>0</v>
      </c>
      <c r="J479"/>
      <c r="K479"/>
      <c r="L479"/>
      <c r="M479"/>
      <c r="N479"/>
    </row>
    <row r="480" spans="1:14" x14ac:dyDescent="0.3">
      <c r="A480" s="102" t="s">
        <v>1019</v>
      </c>
      <c r="B480" s="102" t="s">
        <v>2070</v>
      </c>
      <c r="C480" s="107" t="s">
        <v>54</v>
      </c>
      <c r="D480" s="102">
        <v>6</v>
      </c>
      <c r="E480" s="111">
        <v>0</v>
      </c>
      <c r="F480" s="112">
        <v>0</v>
      </c>
      <c r="G480" s="112">
        <v>0</v>
      </c>
      <c r="H480" s="112">
        <v>0</v>
      </c>
      <c r="I480" s="113">
        <v>0</v>
      </c>
      <c r="J480"/>
      <c r="K480"/>
      <c r="L480"/>
      <c r="M480"/>
      <c r="N480"/>
    </row>
    <row r="481" spans="1:14" x14ac:dyDescent="0.3">
      <c r="A481" s="102" t="s">
        <v>1020</v>
      </c>
      <c r="B481" s="102" t="s">
        <v>2071</v>
      </c>
      <c r="C481" s="107" t="s">
        <v>54</v>
      </c>
      <c r="D481" s="102">
        <v>6</v>
      </c>
      <c r="E481" s="111">
        <v>0</v>
      </c>
      <c r="F481" s="112">
        <v>0</v>
      </c>
      <c r="G481" s="112">
        <v>0</v>
      </c>
      <c r="H481" s="112">
        <v>0</v>
      </c>
      <c r="I481" s="113">
        <v>0</v>
      </c>
      <c r="J481"/>
      <c r="K481"/>
      <c r="L481"/>
      <c r="M481"/>
      <c r="N481"/>
    </row>
    <row r="482" spans="1:14" x14ac:dyDescent="0.3">
      <c r="A482" s="102" t="s">
        <v>1021</v>
      </c>
      <c r="B482" s="102" t="s">
        <v>2167</v>
      </c>
      <c r="C482" s="107" t="s">
        <v>54</v>
      </c>
      <c r="D482" s="102">
        <v>4</v>
      </c>
      <c r="E482" s="111">
        <v>0</v>
      </c>
      <c r="F482" s="112">
        <v>0</v>
      </c>
      <c r="G482" s="112">
        <v>0</v>
      </c>
      <c r="H482" s="112">
        <v>0</v>
      </c>
      <c r="I482" s="113">
        <v>0</v>
      </c>
      <c r="J482"/>
      <c r="K482"/>
      <c r="L482"/>
      <c r="M482"/>
      <c r="N482"/>
    </row>
    <row r="483" spans="1:14" x14ac:dyDescent="0.3">
      <c r="A483" s="102" t="s">
        <v>1022</v>
      </c>
      <c r="B483" s="102" t="s">
        <v>2067</v>
      </c>
      <c r="C483" s="107" t="s">
        <v>54</v>
      </c>
      <c r="D483" s="102">
        <v>6</v>
      </c>
      <c r="E483" s="111">
        <v>0</v>
      </c>
      <c r="F483" s="112">
        <v>0</v>
      </c>
      <c r="G483" s="112">
        <v>0</v>
      </c>
      <c r="H483" s="112">
        <v>0</v>
      </c>
      <c r="I483" s="113">
        <v>0</v>
      </c>
      <c r="J483"/>
      <c r="K483"/>
      <c r="L483"/>
      <c r="M483"/>
      <c r="N483"/>
    </row>
    <row r="484" spans="1:14" x14ac:dyDescent="0.3">
      <c r="A484" s="102" t="s">
        <v>1023</v>
      </c>
      <c r="B484" s="102" t="s">
        <v>2068</v>
      </c>
      <c r="C484" s="107" t="s">
        <v>54</v>
      </c>
      <c r="D484" s="102">
        <v>6</v>
      </c>
      <c r="E484" s="111">
        <v>0</v>
      </c>
      <c r="F484" s="112">
        <v>0</v>
      </c>
      <c r="G484" s="112">
        <v>0</v>
      </c>
      <c r="H484" s="112">
        <v>0</v>
      </c>
      <c r="I484" s="113">
        <v>0</v>
      </c>
      <c r="J484"/>
      <c r="K484"/>
      <c r="L484"/>
      <c r="M484"/>
      <c r="N484"/>
    </row>
    <row r="485" spans="1:14" x14ac:dyDescent="0.3">
      <c r="A485" s="102" t="s">
        <v>1024</v>
      </c>
      <c r="B485" s="102" t="s">
        <v>2069</v>
      </c>
      <c r="C485" s="107" t="s">
        <v>54</v>
      </c>
      <c r="D485" s="102">
        <v>6</v>
      </c>
      <c r="E485" s="111">
        <v>0</v>
      </c>
      <c r="F485" s="112">
        <v>0</v>
      </c>
      <c r="G485" s="112">
        <v>0</v>
      </c>
      <c r="H485" s="112">
        <v>0</v>
      </c>
      <c r="I485" s="113">
        <v>0</v>
      </c>
      <c r="J485"/>
      <c r="K485"/>
      <c r="L485"/>
      <c r="M485"/>
      <c r="N485"/>
    </row>
    <row r="486" spans="1:14" x14ac:dyDescent="0.3">
      <c r="A486" s="102" t="s">
        <v>1025</v>
      </c>
      <c r="B486" s="102" t="s">
        <v>2070</v>
      </c>
      <c r="C486" s="107" t="s">
        <v>54</v>
      </c>
      <c r="D486" s="102">
        <v>6</v>
      </c>
      <c r="E486" s="111">
        <v>0</v>
      </c>
      <c r="F486" s="112">
        <v>0</v>
      </c>
      <c r="G486" s="112">
        <v>0</v>
      </c>
      <c r="H486" s="112">
        <v>0</v>
      </c>
      <c r="I486" s="113">
        <v>0</v>
      </c>
      <c r="J486"/>
      <c r="K486"/>
      <c r="L486"/>
      <c r="M486"/>
      <c r="N486"/>
    </row>
    <row r="487" spans="1:14" x14ac:dyDescent="0.3">
      <c r="A487" s="102" t="s">
        <v>1026</v>
      </c>
      <c r="B487" s="102" t="s">
        <v>2071</v>
      </c>
      <c r="C487" s="107" t="s">
        <v>54</v>
      </c>
      <c r="D487" s="102">
        <v>6</v>
      </c>
      <c r="E487" s="111">
        <v>0</v>
      </c>
      <c r="F487" s="112">
        <v>0</v>
      </c>
      <c r="G487" s="112">
        <v>0</v>
      </c>
      <c r="H487" s="112">
        <v>0</v>
      </c>
      <c r="I487" s="113">
        <v>0</v>
      </c>
      <c r="J487"/>
      <c r="K487"/>
      <c r="L487"/>
      <c r="M487"/>
      <c r="N487"/>
    </row>
    <row r="488" spans="1:14" x14ac:dyDescent="0.3">
      <c r="A488" s="102" t="s">
        <v>1027</v>
      </c>
      <c r="B488" s="102" t="s">
        <v>2168</v>
      </c>
      <c r="C488" s="107" t="s">
        <v>54</v>
      </c>
      <c r="D488" s="102">
        <v>4</v>
      </c>
      <c r="E488" s="111">
        <v>0</v>
      </c>
      <c r="F488" s="112">
        <v>0</v>
      </c>
      <c r="G488" s="112">
        <v>0</v>
      </c>
      <c r="H488" s="112">
        <v>0</v>
      </c>
      <c r="I488" s="113">
        <v>0</v>
      </c>
      <c r="J488"/>
      <c r="K488"/>
      <c r="L488"/>
      <c r="M488"/>
      <c r="N488"/>
    </row>
    <row r="489" spans="1:14" x14ac:dyDescent="0.3">
      <c r="A489" s="102" t="s">
        <v>1028</v>
      </c>
      <c r="B489" s="102" t="s">
        <v>2067</v>
      </c>
      <c r="C489" s="107" t="s">
        <v>54</v>
      </c>
      <c r="D489" s="102">
        <v>6</v>
      </c>
      <c r="E489" s="111">
        <v>0</v>
      </c>
      <c r="F489" s="112">
        <v>0</v>
      </c>
      <c r="G489" s="112">
        <v>0</v>
      </c>
      <c r="H489" s="112">
        <v>0</v>
      </c>
      <c r="I489" s="113">
        <v>0</v>
      </c>
      <c r="J489"/>
      <c r="K489"/>
      <c r="L489"/>
      <c r="M489"/>
      <c r="N489"/>
    </row>
    <row r="490" spans="1:14" x14ac:dyDescent="0.3">
      <c r="A490" s="102" t="s">
        <v>1029</v>
      </c>
      <c r="B490" s="102" t="s">
        <v>2068</v>
      </c>
      <c r="C490" s="107" t="s">
        <v>54</v>
      </c>
      <c r="D490" s="102">
        <v>6</v>
      </c>
      <c r="E490" s="111">
        <v>0</v>
      </c>
      <c r="F490" s="112">
        <v>0</v>
      </c>
      <c r="G490" s="112">
        <v>0</v>
      </c>
      <c r="H490" s="112">
        <v>0</v>
      </c>
      <c r="I490" s="113">
        <v>0</v>
      </c>
      <c r="J490"/>
      <c r="K490"/>
      <c r="L490"/>
      <c r="M490"/>
      <c r="N490"/>
    </row>
    <row r="491" spans="1:14" x14ac:dyDescent="0.3">
      <c r="A491" s="102" t="s">
        <v>1030</v>
      </c>
      <c r="B491" s="102" t="s">
        <v>2069</v>
      </c>
      <c r="C491" s="107" t="s">
        <v>54</v>
      </c>
      <c r="D491" s="102">
        <v>6</v>
      </c>
      <c r="E491" s="111">
        <v>0</v>
      </c>
      <c r="F491" s="112">
        <v>0</v>
      </c>
      <c r="G491" s="112">
        <v>0</v>
      </c>
      <c r="H491" s="112">
        <v>0</v>
      </c>
      <c r="I491" s="113">
        <v>0</v>
      </c>
      <c r="J491"/>
      <c r="K491"/>
      <c r="L491"/>
      <c r="M491"/>
      <c r="N491"/>
    </row>
    <row r="492" spans="1:14" x14ac:dyDescent="0.3">
      <c r="A492" s="102" t="s">
        <v>1031</v>
      </c>
      <c r="B492" s="102" t="s">
        <v>2070</v>
      </c>
      <c r="C492" s="107" t="s">
        <v>54</v>
      </c>
      <c r="D492" s="102">
        <v>6</v>
      </c>
      <c r="E492" s="111">
        <v>0</v>
      </c>
      <c r="F492" s="112">
        <v>0</v>
      </c>
      <c r="G492" s="112">
        <v>0</v>
      </c>
      <c r="H492" s="112">
        <v>0</v>
      </c>
      <c r="I492" s="113">
        <v>0</v>
      </c>
      <c r="J492"/>
      <c r="K492"/>
      <c r="L492"/>
      <c r="M492"/>
      <c r="N492"/>
    </row>
    <row r="493" spans="1:14" x14ac:dyDescent="0.3">
      <c r="A493" s="102" t="s">
        <v>1032</v>
      </c>
      <c r="B493" s="102" t="s">
        <v>2071</v>
      </c>
      <c r="C493" s="107" t="s">
        <v>54</v>
      </c>
      <c r="D493" s="102">
        <v>6</v>
      </c>
      <c r="E493" s="111">
        <v>0</v>
      </c>
      <c r="F493" s="112">
        <v>0</v>
      </c>
      <c r="G493" s="112">
        <v>0</v>
      </c>
      <c r="H493" s="112">
        <v>0</v>
      </c>
      <c r="I493" s="113">
        <v>0</v>
      </c>
      <c r="J493"/>
      <c r="K493"/>
      <c r="L493"/>
      <c r="M493"/>
      <c r="N493"/>
    </row>
    <row r="494" spans="1:14" x14ac:dyDescent="0.3">
      <c r="A494" s="102" t="s">
        <v>1033</v>
      </c>
      <c r="B494" s="102" t="s">
        <v>2169</v>
      </c>
      <c r="C494" s="107" t="s">
        <v>54</v>
      </c>
      <c r="D494" s="102">
        <v>4</v>
      </c>
      <c r="E494" s="111">
        <v>0</v>
      </c>
      <c r="F494" s="112">
        <v>0</v>
      </c>
      <c r="G494" s="112">
        <v>0</v>
      </c>
      <c r="H494" s="112">
        <v>0</v>
      </c>
      <c r="I494" s="113">
        <v>0</v>
      </c>
      <c r="J494"/>
      <c r="K494"/>
      <c r="L494"/>
      <c r="M494"/>
      <c r="N494"/>
    </row>
    <row r="495" spans="1:14" x14ac:dyDescent="0.3">
      <c r="A495" s="102" t="s">
        <v>1034</v>
      </c>
      <c r="B495" s="102" t="s">
        <v>2067</v>
      </c>
      <c r="C495" s="107" t="s">
        <v>54</v>
      </c>
      <c r="D495" s="102">
        <v>6</v>
      </c>
      <c r="E495" s="111">
        <v>0</v>
      </c>
      <c r="F495" s="112">
        <v>0</v>
      </c>
      <c r="G495" s="112">
        <v>0</v>
      </c>
      <c r="H495" s="112">
        <v>0</v>
      </c>
      <c r="I495" s="113">
        <v>0</v>
      </c>
      <c r="J495"/>
      <c r="K495"/>
      <c r="L495"/>
      <c r="M495"/>
      <c r="N495"/>
    </row>
    <row r="496" spans="1:14" x14ac:dyDescent="0.3">
      <c r="A496" s="102" t="s">
        <v>1035</v>
      </c>
      <c r="B496" s="102" t="s">
        <v>2068</v>
      </c>
      <c r="C496" s="107" t="s">
        <v>54</v>
      </c>
      <c r="D496" s="102">
        <v>6</v>
      </c>
      <c r="E496" s="111">
        <v>0</v>
      </c>
      <c r="F496" s="112">
        <v>0</v>
      </c>
      <c r="G496" s="112">
        <v>0</v>
      </c>
      <c r="H496" s="112">
        <v>0</v>
      </c>
      <c r="I496" s="113">
        <v>0</v>
      </c>
      <c r="J496"/>
      <c r="K496"/>
      <c r="L496"/>
      <c r="M496"/>
      <c r="N496"/>
    </row>
    <row r="497" spans="1:14" x14ac:dyDescent="0.3">
      <c r="A497" s="102" t="s">
        <v>1036</v>
      </c>
      <c r="B497" s="102" t="s">
        <v>2148</v>
      </c>
      <c r="C497" s="107" t="s">
        <v>54</v>
      </c>
      <c r="D497" s="102">
        <v>6</v>
      </c>
      <c r="E497" s="111">
        <v>0</v>
      </c>
      <c r="F497" s="112">
        <v>0</v>
      </c>
      <c r="G497" s="112">
        <v>0</v>
      </c>
      <c r="H497" s="112">
        <v>0</v>
      </c>
      <c r="I497" s="113">
        <v>0</v>
      </c>
      <c r="J497"/>
      <c r="K497"/>
      <c r="L497"/>
      <c r="M497"/>
      <c r="N497"/>
    </row>
    <row r="498" spans="1:14" x14ac:dyDescent="0.3">
      <c r="A498" s="102" t="s">
        <v>1037</v>
      </c>
      <c r="B498" s="102" t="s">
        <v>2149</v>
      </c>
      <c r="C498" s="107" t="s">
        <v>54</v>
      </c>
      <c r="D498" s="102">
        <v>6</v>
      </c>
      <c r="E498" s="111">
        <v>0</v>
      </c>
      <c r="F498" s="112">
        <v>0</v>
      </c>
      <c r="G498" s="112">
        <v>0</v>
      </c>
      <c r="H498" s="112">
        <v>0</v>
      </c>
      <c r="I498" s="113">
        <v>0</v>
      </c>
      <c r="J498"/>
      <c r="K498"/>
      <c r="L498"/>
      <c r="M498"/>
      <c r="N498"/>
    </row>
    <row r="499" spans="1:14" x14ac:dyDescent="0.3">
      <c r="A499" s="102" t="s">
        <v>1038</v>
      </c>
      <c r="B499" s="102" t="s">
        <v>2150</v>
      </c>
      <c r="C499" s="107" t="s">
        <v>54</v>
      </c>
      <c r="D499" s="102">
        <v>6</v>
      </c>
      <c r="E499" s="111">
        <v>0</v>
      </c>
      <c r="F499" s="112">
        <v>0</v>
      </c>
      <c r="G499" s="112">
        <v>0</v>
      </c>
      <c r="H499" s="112">
        <v>0</v>
      </c>
      <c r="I499" s="113">
        <v>0</v>
      </c>
      <c r="J499"/>
      <c r="K499"/>
      <c r="L499"/>
      <c r="M499"/>
      <c r="N499"/>
    </row>
    <row r="500" spans="1:14" x14ac:dyDescent="0.3">
      <c r="A500" s="102" t="s">
        <v>1039</v>
      </c>
      <c r="B500" s="102" t="s">
        <v>2151</v>
      </c>
      <c r="C500" s="107" t="s">
        <v>54</v>
      </c>
      <c r="D500" s="102">
        <v>6</v>
      </c>
      <c r="E500" s="111">
        <v>0</v>
      </c>
      <c r="F500" s="112">
        <v>0</v>
      </c>
      <c r="G500" s="112">
        <v>0</v>
      </c>
      <c r="H500" s="112">
        <v>0</v>
      </c>
      <c r="I500" s="113">
        <v>0</v>
      </c>
      <c r="J500"/>
      <c r="K500"/>
      <c r="L500"/>
      <c r="M500"/>
      <c r="N500"/>
    </row>
    <row r="501" spans="1:14" x14ac:dyDescent="0.3">
      <c r="A501" s="102" t="s">
        <v>1040</v>
      </c>
      <c r="B501" s="102" t="s">
        <v>2170</v>
      </c>
      <c r="C501" s="107" t="s">
        <v>54</v>
      </c>
      <c r="D501" s="102">
        <v>4</v>
      </c>
      <c r="E501" s="111">
        <v>0</v>
      </c>
      <c r="F501" s="112">
        <v>0</v>
      </c>
      <c r="G501" s="112">
        <v>0</v>
      </c>
      <c r="H501" s="112">
        <v>0</v>
      </c>
      <c r="I501" s="113">
        <v>0</v>
      </c>
      <c r="J501"/>
      <c r="K501"/>
      <c r="L501"/>
      <c r="M501"/>
      <c r="N501"/>
    </row>
    <row r="502" spans="1:14" x14ac:dyDescent="0.3">
      <c r="A502" s="102" t="s">
        <v>1041</v>
      </c>
      <c r="B502" s="102" t="s">
        <v>2067</v>
      </c>
      <c r="C502" s="107" t="s">
        <v>54</v>
      </c>
      <c r="D502" s="102">
        <v>6</v>
      </c>
      <c r="E502" s="111">
        <v>0</v>
      </c>
      <c r="F502" s="112">
        <v>0</v>
      </c>
      <c r="G502" s="112">
        <v>0</v>
      </c>
      <c r="H502" s="112">
        <v>0</v>
      </c>
      <c r="I502" s="113">
        <v>0</v>
      </c>
      <c r="J502"/>
      <c r="K502"/>
      <c r="L502"/>
      <c r="M502"/>
      <c r="N502"/>
    </row>
    <row r="503" spans="1:14" x14ac:dyDescent="0.3">
      <c r="A503" s="102" t="s">
        <v>1042</v>
      </c>
      <c r="B503" s="102" t="s">
        <v>2068</v>
      </c>
      <c r="C503" s="107" t="s">
        <v>54</v>
      </c>
      <c r="D503" s="102">
        <v>6</v>
      </c>
      <c r="E503" s="111">
        <v>0</v>
      </c>
      <c r="F503" s="112">
        <v>0</v>
      </c>
      <c r="G503" s="112">
        <v>0</v>
      </c>
      <c r="H503" s="112">
        <v>0</v>
      </c>
      <c r="I503" s="113">
        <v>0</v>
      </c>
      <c r="J503"/>
      <c r="K503"/>
      <c r="L503"/>
      <c r="M503"/>
      <c r="N503"/>
    </row>
    <row r="504" spans="1:14" x14ac:dyDescent="0.3">
      <c r="A504" s="102" t="s">
        <v>1043</v>
      </c>
      <c r="B504" s="102" t="s">
        <v>2069</v>
      </c>
      <c r="C504" s="107" t="s">
        <v>54</v>
      </c>
      <c r="D504" s="102">
        <v>6</v>
      </c>
      <c r="E504" s="111">
        <v>0</v>
      </c>
      <c r="F504" s="112">
        <v>0</v>
      </c>
      <c r="G504" s="112">
        <v>0</v>
      </c>
      <c r="H504" s="112">
        <v>0</v>
      </c>
      <c r="I504" s="113">
        <v>0</v>
      </c>
      <c r="J504"/>
      <c r="K504"/>
      <c r="L504"/>
      <c r="M504"/>
      <c r="N504"/>
    </row>
    <row r="505" spans="1:14" x14ac:dyDescent="0.3">
      <c r="A505" s="102" t="s">
        <v>1044</v>
      </c>
      <c r="B505" s="102" t="s">
        <v>2070</v>
      </c>
      <c r="C505" s="107" t="s">
        <v>54</v>
      </c>
      <c r="D505" s="102">
        <v>6</v>
      </c>
      <c r="E505" s="111">
        <v>0</v>
      </c>
      <c r="F505" s="112">
        <v>0</v>
      </c>
      <c r="G505" s="112">
        <v>0</v>
      </c>
      <c r="H505" s="112">
        <v>0</v>
      </c>
      <c r="I505" s="113">
        <v>0</v>
      </c>
      <c r="J505"/>
      <c r="K505"/>
      <c r="L505"/>
      <c r="M505"/>
      <c r="N505"/>
    </row>
    <row r="506" spans="1:14" x14ac:dyDescent="0.3">
      <c r="A506" s="102" t="s">
        <v>1045</v>
      </c>
      <c r="B506" s="102" t="s">
        <v>2071</v>
      </c>
      <c r="C506" s="107" t="s">
        <v>54</v>
      </c>
      <c r="D506" s="102">
        <v>6</v>
      </c>
      <c r="E506" s="111">
        <v>0</v>
      </c>
      <c r="F506" s="112">
        <v>0</v>
      </c>
      <c r="G506" s="112">
        <v>0</v>
      </c>
      <c r="H506" s="112">
        <v>0</v>
      </c>
      <c r="I506" s="113">
        <v>0</v>
      </c>
      <c r="J506"/>
      <c r="K506"/>
      <c r="L506"/>
      <c r="M506"/>
      <c r="N506"/>
    </row>
    <row r="507" spans="1:14" x14ac:dyDescent="0.3">
      <c r="A507" s="102" t="s">
        <v>1046</v>
      </c>
      <c r="B507" s="102" t="s">
        <v>2171</v>
      </c>
      <c r="C507" s="107" t="s">
        <v>54</v>
      </c>
      <c r="D507" s="102">
        <v>4</v>
      </c>
      <c r="E507" s="111">
        <v>0</v>
      </c>
      <c r="F507" s="112">
        <v>0</v>
      </c>
      <c r="G507" s="112">
        <v>0</v>
      </c>
      <c r="H507" s="112">
        <v>0</v>
      </c>
      <c r="I507" s="113">
        <v>0</v>
      </c>
      <c r="J507"/>
      <c r="K507"/>
      <c r="L507"/>
      <c r="M507"/>
      <c r="N507"/>
    </row>
    <row r="508" spans="1:14" x14ac:dyDescent="0.3">
      <c r="A508" s="102" t="s">
        <v>1047</v>
      </c>
      <c r="B508" s="102" t="s">
        <v>2067</v>
      </c>
      <c r="C508" s="107" t="s">
        <v>54</v>
      </c>
      <c r="D508" s="102">
        <v>6</v>
      </c>
      <c r="E508" s="111">
        <v>0</v>
      </c>
      <c r="F508" s="112">
        <v>0</v>
      </c>
      <c r="G508" s="112">
        <v>0</v>
      </c>
      <c r="H508" s="112">
        <v>0</v>
      </c>
      <c r="I508" s="113">
        <v>0</v>
      </c>
      <c r="J508"/>
      <c r="K508"/>
      <c r="L508"/>
      <c r="M508"/>
      <c r="N508"/>
    </row>
    <row r="509" spans="1:14" x14ac:dyDescent="0.3">
      <c r="A509" s="102" t="s">
        <v>1048</v>
      </c>
      <c r="B509" s="102" t="s">
        <v>2068</v>
      </c>
      <c r="C509" s="107" t="s">
        <v>54</v>
      </c>
      <c r="D509" s="102">
        <v>6</v>
      </c>
      <c r="E509" s="111">
        <v>0</v>
      </c>
      <c r="F509" s="112">
        <v>0</v>
      </c>
      <c r="G509" s="112">
        <v>0</v>
      </c>
      <c r="H509" s="112">
        <v>0</v>
      </c>
      <c r="I509" s="113">
        <v>0</v>
      </c>
      <c r="J509"/>
      <c r="K509"/>
      <c r="L509"/>
      <c r="M509"/>
      <c r="N509"/>
    </row>
    <row r="510" spans="1:14" x14ac:dyDescent="0.3">
      <c r="A510" s="102" t="s">
        <v>1049</v>
      </c>
      <c r="B510" s="102" t="s">
        <v>2069</v>
      </c>
      <c r="C510" s="107" t="s">
        <v>54</v>
      </c>
      <c r="D510" s="102">
        <v>6</v>
      </c>
      <c r="E510" s="111">
        <v>0</v>
      </c>
      <c r="F510" s="112">
        <v>0</v>
      </c>
      <c r="G510" s="112">
        <v>0</v>
      </c>
      <c r="H510" s="112">
        <v>0</v>
      </c>
      <c r="I510" s="113">
        <v>0</v>
      </c>
      <c r="J510"/>
      <c r="K510"/>
      <c r="L510"/>
      <c r="M510"/>
      <c r="N510"/>
    </row>
    <row r="511" spans="1:14" x14ac:dyDescent="0.3">
      <c r="A511" s="102" t="s">
        <v>1050</v>
      </c>
      <c r="B511" s="102" t="s">
        <v>2070</v>
      </c>
      <c r="C511" s="107" t="s">
        <v>54</v>
      </c>
      <c r="D511" s="102">
        <v>6</v>
      </c>
      <c r="E511" s="111">
        <v>0</v>
      </c>
      <c r="F511" s="112">
        <v>0</v>
      </c>
      <c r="G511" s="112">
        <v>0</v>
      </c>
      <c r="H511" s="112">
        <v>0</v>
      </c>
      <c r="I511" s="113">
        <v>0</v>
      </c>
      <c r="J511"/>
      <c r="K511"/>
      <c r="L511"/>
      <c r="M511"/>
      <c r="N511"/>
    </row>
    <row r="512" spans="1:14" x14ac:dyDescent="0.3">
      <c r="A512" s="102" t="s">
        <v>1051</v>
      </c>
      <c r="B512" s="102" t="s">
        <v>2071</v>
      </c>
      <c r="C512" s="107" t="s">
        <v>54</v>
      </c>
      <c r="D512" s="102">
        <v>6</v>
      </c>
      <c r="E512" s="111">
        <v>0</v>
      </c>
      <c r="F512" s="112">
        <v>0</v>
      </c>
      <c r="G512" s="112">
        <v>0</v>
      </c>
      <c r="H512" s="112">
        <v>0</v>
      </c>
      <c r="I512" s="113">
        <v>0</v>
      </c>
      <c r="J512"/>
      <c r="K512"/>
      <c r="L512"/>
      <c r="M512"/>
      <c r="N512"/>
    </row>
    <row r="513" spans="1:14" x14ac:dyDescent="0.3">
      <c r="A513" s="102" t="s">
        <v>1052</v>
      </c>
      <c r="B513" s="102" t="s">
        <v>2172</v>
      </c>
      <c r="C513" s="107" t="s">
        <v>54</v>
      </c>
      <c r="D513" s="102">
        <v>4</v>
      </c>
      <c r="E513" s="111">
        <v>0</v>
      </c>
      <c r="F513" s="112">
        <v>0</v>
      </c>
      <c r="G513" s="112">
        <v>0</v>
      </c>
      <c r="H513" s="112">
        <v>0</v>
      </c>
      <c r="I513" s="113">
        <v>0</v>
      </c>
      <c r="J513"/>
      <c r="K513"/>
      <c r="L513"/>
      <c r="M513"/>
      <c r="N513"/>
    </row>
    <row r="514" spans="1:14" x14ac:dyDescent="0.3">
      <c r="A514" s="102" t="s">
        <v>1053</v>
      </c>
      <c r="B514" s="102" t="s">
        <v>2067</v>
      </c>
      <c r="C514" s="107" t="s">
        <v>54</v>
      </c>
      <c r="D514" s="102">
        <v>6</v>
      </c>
      <c r="E514" s="111">
        <v>0</v>
      </c>
      <c r="F514" s="112">
        <v>0</v>
      </c>
      <c r="G514" s="112">
        <v>0</v>
      </c>
      <c r="H514" s="112">
        <v>0</v>
      </c>
      <c r="I514" s="113">
        <v>0</v>
      </c>
      <c r="J514"/>
      <c r="K514"/>
      <c r="L514"/>
      <c r="M514"/>
      <c r="N514"/>
    </row>
    <row r="515" spans="1:14" x14ac:dyDescent="0.3">
      <c r="A515" s="102" t="s">
        <v>1054</v>
      </c>
      <c r="B515" s="102" t="s">
        <v>2068</v>
      </c>
      <c r="C515" s="107" t="s">
        <v>54</v>
      </c>
      <c r="D515" s="102">
        <v>6</v>
      </c>
      <c r="E515" s="111">
        <v>0</v>
      </c>
      <c r="F515" s="112">
        <v>0</v>
      </c>
      <c r="G515" s="112">
        <v>0</v>
      </c>
      <c r="H515" s="112">
        <v>0</v>
      </c>
      <c r="I515" s="113">
        <v>0</v>
      </c>
      <c r="J515"/>
      <c r="K515"/>
      <c r="L515"/>
      <c r="M515"/>
      <c r="N515"/>
    </row>
    <row r="516" spans="1:14" x14ac:dyDescent="0.3">
      <c r="A516" s="102" t="s">
        <v>1055</v>
      </c>
      <c r="B516" s="102" t="s">
        <v>2069</v>
      </c>
      <c r="C516" s="107" t="s">
        <v>54</v>
      </c>
      <c r="D516" s="102">
        <v>6</v>
      </c>
      <c r="E516" s="111">
        <v>0</v>
      </c>
      <c r="F516" s="112">
        <v>0</v>
      </c>
      <c r="G516" s="112">
        <v>0</v>
      </c>
      <c r="H516" s="112">
        <v>0</v>
      </c>
      <c r="I516" s="113">
        <v>0</v>
      </c>
      <c r="J516"/>
      <c r="K516"/>
      <c r="L516"/>
      <c r="M516"/>
      <c r="N516"/>
    </row>
    <row r="517" spans="1:14" x14ac:dyDescent="0.3">
      <c r="A517" s="102" t="s">
        <v>1056</v>
      </c>
      <c r="B517" s="102" t="s">
        <v>2070</v>
      </c>
      <c r="C517" s="107" t="s">
        <v>54</v>
      </c>
      <c r="D517" s="102">
        <v>6</v>
      </c>
      <c r="E517" s="111">
        <v>0</v>
      </c>
      <c r="F517" s="112">
        <v>0</v>
      </c>
      <c r="G517" s="112">
        <v>0</v>
      </c>
      <c r="H517" s="112">
        <v>0</v>
      </c>
      <c r="I517" s="113">
        <v>0</v>
      </c>
      <c r="J517"/>
      <c r="K517"/>
      <c r="L517"/>
      <c r="M517"/>
      <c r="N517"/>
    </row>
    <row r="518" spans="1:14" x14ac:dyDescent="0.3">
      <c r="A518" s="102" t="s">
        <v>1057</v>
      </c>
      <c r="B518" s="102" t="s">
        <v>2071</v>
      </c>
      <c r="C518" s="107" t="s">
        <v>54</v>
      </c>
      <c r="D518" s="102">
        <v>6</v>
      </c>
      <c r="E518" s="111">
        <v>0</v>
      </c>
      <c r="F518" s="112">
        <v>0</v>
      </c>
      <c r="G518" s="112">
        <v>0</v>
      </c>
      <c r="H518" s="112">
        <v>0</v>
      </c>
      <c r="I518" s="113">
        <v>0</v>
      </c>
      <c r="J518"/>
      <c r="K518"/>
      <c r="L518"/>
      <c r="M518"/>
      <c r="N518"/>
    </row>
    <row r="519" spans="1:14" x14ac:dyDescent="0.3">
      <c r="A519" s="102" t="s">
        <v>1058</v>
      </c>
      <c r="B519" s="102" t="s">
        <v>2173</v>
      </c>
      <c r="C519" s="107" t="s">
        <v>54</v>
      </c>
      <c r="D519" s="102">
        <v>4</v>
      </c>
      <c r="E519" s="111">
        <v>0</v>
      </c>
      <c r="F519" s="112">
        <v>0</v>
      </c>
      <c r="G519" s="112">
        <v>0</v>
      </c>
      <c r="H519" s="112">
        <v>0</v>
      </c>
      <c r="I519" s="113">
        <v>0</v>
      </c>
      <c r="J519"/>
      <c r="K519"/>
      <c r="L519"/>
      <c r="M519"/>
      <c r="N519"/>
    </row>
    <row r="520" spans="1:14" x14ac:dyDescent="0.3">
      <c r="A520" s="102" t="s">
        <v>1059</v>
      </c>
      <c r="B520" s="102" t="s">
        <v>2067</v>
      </c>
      <c r="C520" s="107" t="s">
        <v>54</v>
      </c>
      <c r="D520" s="102">
        <v>6</v>
      </c>
      <c r="E520" s="111">
        <v>0</v>
      </c>
      <c r="F520" s="112">
        <v>0</v>
      </c>
      <c r="G520" s="112">
        <v>0</v>
      </c>
      <c r="H520" s="112">
        <v>0</v>
      </c>
      <c r="I520" s="113">
        <v>0</v>
      </c>
      <c r="J520"/>
      <c r="K520"/>
      <c r="L520"/>
      <c r="M520"/>
      <c r="N520"/>
    </row>
    <row r="521" spans="1:14" x14ac:dyDescent="0.3">
      <c r="A521" s="102" t="s">
        <v>1060</v>
      </c>
      <c r="B521" s="102" t="s">
        <v>2068</v>
      </c>
      <c r="C521" s="107" t="s">
        <v>54</v>
      </c>
      <c r="D521" s="102">
        <v>6</v>
      </c>
      <c r="E521" s="111">
        <v>0</v>
      </c>
      <c r="F521" s="112">
        <v>0</v>
      </c>
      <c r="G521" s="112">
        <v>0</v>
      </c>
      <c r="H521" s="112">
        <v>0</v>
      </c>
      <c r="I521" s="113">
        <v>0</v>
      </c>
      <c r="J521"/>
      <c r="K521"/>
      <c r="L521"/>
      <c r="M521"/>
      <c r="N521"/>
    </row>
    <row r="522" spans="1:14" x14ac:dyDescent="0.3">
      <c r="A522" s="102" t="s">
        <v>1061</v>
      </c>
      <c r="B522" s="102" t="s">
        <v>2069</v>
      </c>
      <c r="C522" s="107" t="s">
        <v>54</v>
      </c>
      <c r="D522" s="102">
        <v>6</v>
      </c>
      <c r="E522" s="111">
        <v>0</v>
      </c>
      <c r="F522" s="112">
        <v>0</v>
      </c>
      <c r="G522" s="112">
        <v>0</v>
      </c>
      <c r="H522" s="112">
        <v>0</v>
      </c>
      <c r="I522" s="113">
        <v>0</v>
      </c>
      <c r="J522"/>
      <c r="K522"/>
      <c r="L522"/>
      <c r="M522"/>
      <c r="N522"/>
    </row>
    <row r="523" spans="1:14" x14ac:dyDescent="0.3">
      <c r="A523" s="102" t="s">
        <v>1062</v>
      </c>
      <c r="B523" s="102" t="s">
        <v>2070</v>
      </c>
      <c r="C523" s="107" t="s">
        <v>54</v>
      </c>
      <c r="D523" s="102">
        <v>6</v>
      </c>
      <c r="E523" s="111">
        <v>0</v>
      </c>
      <c r="F523" s="112">
        <v>0</v>
      </c>
      <c r="G523" s="112">
        <v>0</v>
      </c>
      <c r="H523" s="112">
        <v>0</v>
      </c>
      <c r="I523" s="113">
        <v>0</v>
      </c>
      <c r="J523"/>
      <c r="K523"/>
      <c r="L523"/>
      <c r="M523"/>
      <c r="N523"/>
    </row>
    <row r="524" spans="1:14" x14ac:dyDescent="0.3">
      <c r="A524" s="102" t="s">
        <v>1063</v>
      </c>
      <c r="B524" s="102" t="s">
        <v>2071</v>
      </c>
      <c r="C524" s="107" t="s">
        <v>54</v>
      </c>
      <c r="D524" s="102">
        <v>6</v>
      </c>
      <c r="E524" s="111">
        <v>0</v>
      </c>
      <c r="F524" s="112">
        <v>0</v>
      </c>
      <c r="G524" s="112">
        <v>0</v>
      </c>
      <c r="H524" s="112">
        <v>0</v>
      </c>
      <c r="I524" s="113">
        <v>0</v>
      </c>
      <c r="J524"/>
      <c r="K524"/>
      <c r="L524"/>
      <c r="M524"/>
      <c r="N524"/>
    </row>
    <row r="525" spans="1:14" x14ac:dyDescent="0.3">
      <c r="A525" s="102" t="s">
        <v>1064</v>
      </c>
      <c r="B525" s="102" t="s">
        <v>2174</v>
      </c>
      <c r="C525" s="107" t="s">
        <v>54</v>
      </c>
      <c r="D525" s="102">
        <v>4</v>
      </c>
      <c r="E525" s="111">
        <v>0</v>
      </c>
      <c r="F525" s="112">
        <v>0</v>
      </c>
      <c r="G525" s="112">
        <v>0</v>
      </c>
      <c r="H525" s="112">
        <v>0</v>
      </c>
      <c r="I525" s="113">
        <v>0</v>
      </c>
      <c r="J525"/>
      <c r="K525"/>
      <c r="L525"/>
      <c r="M525"/>
      <c r="N525"/>
    </row>
    <row r="526" spans="1:14" x14ac:dyDescent="0.3">
      <c r="A526" s="102" t="s">
        <v>1065</v>
      </c>
      <c r="B526" s="102" t="s">
        <v>2067</v>
      </c>
      <c r="C526" s="107" t="s">
        <v>54</v>
      </c>
      <c r="D526" s="102">
        <v>6</v>
      </c>
      <c r="E526" s="111">
        <v>0</v>
      </c>
      <c r="F526" s="112">
        <v>0</v>
      </c>
      <c r="G526" s="112">
        <v>0</v>
      </c>
      <c r="H526" s="112">
        <v>0</v>
      </c>
      <c r="I526" s="113">
        <v>0</v>
      </c>
      <c r="J526"/>
      <c r="K526"/>
      <c r="L526"/>
      <c r="M526"/>
      <c r="N526"/>
    </row>
    <row r="527" spans="1:14" x14ac:dyDescent="0.3">
      <c r="A527" s="102" t="s">
        <v>1066</v>
      </c>
      <c r="B527" s="102" t="s">
        <v>2068</v>
      </c>
      <c r="C527" s="107" t="s">
        <v>54</v>
      </c>
      <c r="D527" s="102">
        <v>6</v>
      </c>
      <c r="E527" s="111">
        <v>0</v>
      </c>
      <c r="F527" s="112">
        <v>0</v>
      </c>
      <c r="G527" s="112">
        <v>0</v>
      </c>
      <c r="H527" s="112">
        <v>0</v>
      </c>
      <c r="I527" s="113">
        <v>0</v>
      </c>
      <c r="J527"/>
      <c r="K527"/>
      <c r="L527"/>
      <c r="M527"/>
      <c r="N527"/>
    </row>
    <row r="528" spans="1:14" x14ac:dyDescent="0.3">
      <c r="A528" s="102" t="s">
        <v>1067</v>
      </c>
      <c r="B528" s="102" t="s">
        <v>2069</v>
      </c>
      <c r="C528" s="107" t="s">
        <v>54</v>
      </c>
      <c r="D528" s="102">
        <v>6</v>
      </c>
      <c r="E528" s="111">
        <v>0</v>
      </c>
      <c r="F528" s="112">
        <v>0</v>
      </c>
      <c r="G528" s="112">
        <v>0</v>
      </c>
      <c r="H528" s="112">
        <v>0</v>
      </c>
      <c r="I528" s="113">
        <v>0</v>
      </c>
      <c r="J528"/>
      <c r="K528"/>
      <c r="L528"/>
      <c r="M528"/>
      <c r="N528"/>
    </row>
    <row r="529" spans="1:14" x14ac:dyDescent="0.3">
      <c r="A529" s="102" t="s">
        <v>1068</v>
      </c>
      <c r="B529" s="102" t="s">
        <v>2070</v>
      </c>
      <c r="C529" s="107" t="s">
        <v>54</v>
      </c>
      <c r="D529" s="102">
        <v>6</v>
      </c>
      <c r="E529" s="111">
        <v>0</v>
      </c>
      <c r="F529" s="112">
        <v>0</v>
      </c>
      <c r="G529" s="112">
        <v>0</v>
      </c>
      <c r="H529" s="112">
        <v>0</v>
      </c>
      <c r="I529" s="113">
        <v>0</v>
      </c>
      <c r="J529"/>
      <c r="K529"/>
      <c r="L529"/>
      <c r="M529"/>
      <c r="N529"/>
    </row>
    <row r="530" spans="1:14" x14ac:dyDescent="0.3">
      <c r="A530" s="102" t="s">
        <v>1069</v>
      </c>
      <c r="B530" s="102" t="s">
        <v>2071</v>
      </c>
      <c r="C530" s="107" t="s">
        <v>54</v>
      </c>
      <c r="D530" s="102">
        <v>6</v>
      </c>
      <c r="E530" s="111">
        <v>0</v>
      </c>
      <c r="F530" s="112">
        <v>0</v>
      </c>
      <c r="G530" s="112">
        <v>0</v>
      </c>
      <c r="H530" s="112">
        <v>0</v>
      </c>
      <c r="I530" s="113">
        <v>0</v>
      </c>
      <c r="J530"/>
      <c r="K530"/>
      <c r="L530"/>
      <c r="M530"/>
      <c r="N530"/>
    </row>
    <row r="531" spans="1:14" x14ac:dyDescent="0.3">
      <c r="A531" s="102" t="s">
        <v>1070</v>
      </c>
      <c r="B531" s="102" t="s">
        <v>2175</v>
      </c>
      <c r="C531" s="107" t="s">
        <v>54</v>
      </c>
      <c r="D531" s="102">
        <v>4</v>
      </c>
      <c r="E531" s="111">
        <v>0</v>
      </c>
      <c r="F531" s="112">
        <v>0</v>
      </c>
      <c r="G531" s="112">
        <v>0</v>
      </c>
      <c r="H531" s="112">
        <v>0</v>
      </c>
      <c r="I531" s="113">
        <v>0</v>
      </c>
      <c r="J531"/>
      <c r="K531"/>
      <c r="L531"/>
      <c r="M531"/>
      <c r="N531"/>
    </row>
    <row r="532" spans="1:14" x14ac:dyDescent="0.3">
      <c r="A532" s="102" t="s">
        <v>1071</v>
      </c>
      <c r="B532" s="102" t="s">
        <v>2067</v>
      </c>
      <c r="C532" s="107" t="s">
        <v>54</v>
      </c>
      <c r="D532" s="102">
        <v>6</v>
      </c>
      <c r="E532" s="111">
        <v>0</v>
      </c>
      <c r="F532" s="112">
        <v>0</v>
      </c>
      <c r="G532" s="112">
        <v>0</v>
      </c>
      <c r="H532" s="112">
        <v>0</v>
      </c>
      <c r="I532" s="113">
        <v>0</v>
      </c>
      <c r="J532"/>
      <c r="K532"/>
      <c r="L532"/>
      <c r="M532"/>
      <c r="N532"/>
    </row>
    <row r="533" spans="1:14" x14ac:dyDescent="0.3">
      <c r="A533" s="102" t="s">
        <v>1072</v>
      </c>
      <c r="B533" s="102" t="s">
        <v>2068</v>
      </c>
      <c r="C533" s="107" t="s">
        <v>54</v>
      </c>
      <c r="D533" s="102">
        <v>6</v>
      </c>
      <c r="E533" s="111">
        <v>0</v>
      </c>
      <c r="F533" s="112">
        <v>0</v>
      </c>
      <c r="G533" s="112">
        <v>0</v>
      </c>
      <c r="H533" s="112">
        <v>0</v>
      </c>
      <c r="I533" s="113">
        <v>0</v>
      </c>
      <c r="J533"/>
      <c r="K533"/>
      <c r="L533"/>
      <c r="M533"/>
      <c r="N533"/>
    </row>
    <row r="534" spans="1:14" x14ac:dyDescent="0.3">
      <c r="A534" s="102" t="s">
        <v>1073</v>
      </c>
      <c r="B534" s="102" t="s">
        <v>2069</v>
      </c>
      <c r="C534" s="107" t="s">
        <v>54</v>
      </c>
      <c r="D534" s="102">
        <v>6</v>
      </c>
      <c r="E534" s="111">
        <v>0</v>
      </c>
      <c r="F534" s="112">
        <v>0</v>
      </c>
      <c r="G534" s="112">
        <v>0</v>
      </c>
      <c r="H534" s="112">
        <v>0</v>
      </c>
      <c r="I534" s="113">
        <v>0</v>
      </c>
      <c r="J534"/>
      <c r="K534"/>
      <c r="L534"/>
      <c r="M534"/>
      <c r="N534"/>
    </row>
    <row r="535" spans="1:14" x14ac:dyDescent="0.3">
      <c r="A535" s="102" t="s">
        <v>1074</v>
      </c>
      <c r="B535" s="102" t="s">
        <v>2070</v>
      </c>
      <c r="C535" s="107" t="s">
        <v>54</v>
      </c>
      <c r="D535" s="102">
        <v>6</v>
      </c>
      <c r="E535" s="111">
        <v>0</v>
      </c>
      <c r="F535" s="112">
        <v>0</v>
      </c>
      <c r="G535" s="112">
        <v>0</v>
      </c>
      <c r="H535" s="112">
        <v>0</v>
      </c>
      <c r="I535" s="113">
        <v>0</v>
      </c>
      <c r="J535"/>
      <c r="K535"/>
      <c r="L535"/>
      <c r="M535"/>
      <c r="N535"/>
    </row>
    <row r="536" spans="1:14" x14ac:dyDescent="0.3">
      <c r="A536" s="102" t="s">
        <v>1075</v>
      </c>
      <c r="B536" s="102" t="s">
        <v>2071</v>
      </c>
      <c r="C536" s="107" t="s">
        <v>54</v>
      </c>
      <c r="D536" s="102">
        <v>6</v>
      </c>
      <c r="E536" s="111">
        <v>0</v>
      </c>
      <c r="F536" s="112">
        <v>0</v>
      </c>
      <c r="G536" s="112">
        <v>0</v>
      </c>
      <c r="H536" s="112">
        <v>0</v>
      </c>
      <c r="I536" s="113">
        <v>0</v>
      </c>
      <c r="J536"/>
      <c r="K536"/>
      <c r="L536"/>
      <c r="M536"/>
      <c r="N536"/>
    </row>
    <row r="537" spans="1:14" x14ac:dyDescent="0.3">
      <c r="A537" s="102" t="s">
        <v>1076</v>
      </c>
      <c r="B537" s="102" t="s">
        <v>2176</v>
      </c>
      <c r="C537" s="107" t="s">
        <v>54</v>
      </c>
      <c r="D537" s="102">
        <v>4</v>
      </c>
      <c r="E537" s="111">
        <v>0</v>
      </c>
      <c r="F537" s="112">
        <v>0</v>
      </c>
      <c r="G537" s="112">
        <v>0</v>
      </c>
      <c r="H537" s="112">
        <v>0</v>
      </c>
      <c r="I537" s="113">
        <v>0</v>
      </c>
      <c r="J537"/>
      <c r="K537"/>
      <c r="L537"/>
      <c r="M537"/>
      <c r="N537"/>
    </row>
    <row r="538" spans="1:14" x14ac:dyDescent="0.3">
      <c r="A538" s="102" t="s">
        <v>1077</v>
      </c>
      <c r="B538" s="102" t="s">
        <v>2067</v>
      </c>
      <c r="C538" s="107" t="s">
        <v>54</v>
      </c>
      <c r="D538" s="102">
        <v>6</v>
      </c>
      <c r="E538" s="111">
        <v>0</v>
      </c>
      <c r="F538" s="112">
        <v>0</v>
      </c>
      <c r="G538" s="112">
        <v>0</v>
      </c>
      <c r="H538" s="112">
        <v>0</v>
      </c>
      <c r="I538" s="113">
        <v>0</v>
      </c>
      <c r="J538"/>
      <c r="K538"/>
      <c r="L538"/>
      <c r="M538"/>
      <c r="N538"/>
    </row>
    <row r="539" spans="1:14" x14ac:dyDescent="0.3">
      <c r="A539" s="102" t="s">
        <v>1078</v>
      </c>
      <c r="B539" s="102" t="s">
        <v>2068</v>
      </c>
      <c r="C539" s="107" t="s">
        <v>54</v>
      </c>
      <c r="D539" s="102">
        <v>6</v>
      </c>
      <c r="E539" s="111">
        <v>0</v>
      </c>
      <c r="F539" s="112">
        <v>0</v>
      </c>
      <c r="G539" s="112">
        <v>0</v>
      </c>
      <c r="H539" s="112">
        <v>0</v>
      </c>
      <c r="I539" s="113">
        <v>0</v>
      </c>
      <c r="J539"/>
      <c r="K539"/>
      <c r="L539"/>
      <c r="M539"/>
      <c r="N539"/>
    </row>
    <row r="540" spans="1:14" x14ac:dyDescent="0.3">
      <c r="A540" s="102" t="s">
        <v>1079</v>
      </c>
      <c r="B540" s="102" t="s">
        <v>2069</v>
      </c>
      <c r="C540" s="107" t="s">
        <v>54</v>
      </c>
      <c r="D540" s="102">
        <v>6</v>
      </c>
      <c r="E540" s="111">
        <v>0</v>
      </c>
      <c r="F540" s="112">
        <v>0</v>
      </c>
      <c r="G540" s="112">
        <v>0</v>
      </c>
      <c r="H540" s="112">
        <v>0</v>
      </c>
      <c r="I540" s="113">
        <v>0</v>
      </c>
      <c r="J540"/>
      <c r="K540"/>
      <c r="L540"/>
      <c r="M540"/>
      <c r="N540"/>
    </row>
    <row r="541" spans="1:14" x14ac:dyDescent="0.3">
      <c r="A541" s="102" t="s">
        <v>1080</v>
      </c>
      <c r="B541" s="102" t="s">
        <v>2070</v>
      </c>
      <c r="C541" s="107" t="s">
        <v>54</v>
      </c>
      <c r="D541" s="102">
        <v>6</v>
      </c>
      <c r="E541" s="111">
        <v>0</v>
      </c>
      <c r="F541" s="112">
        <v>0</v>
      </c>
      <c r="G541" s="112">
        <v>0</v>
      </c>
      <c r="H541" s="112">
        <v>0</v>
      </c>
      <c r="I541" s="113">
        <v>0</v>
      </c>
      <c r="J541"/>
      <c r="K541"/>
      <c r="L541"/>
      <c r="M541"/>
      <c r="N541"/>
    </row>
    <row r="542" spans="1:14" x14ac:dyDescent="0.3">
      <c r="A542" s="102" t="s">
        <v>1081</v>
      </c>
      <c r="B542" s="102" t="s">
        <v>2071</v>
      </c>
      <c r="C542" s="107" t="s">
        <v>54</v>
      </c>
      <c r="D542" s="102">
        <v>6</v>
      </c>
      <c r="E542" s="111">
        <v>0</v>
      </c>
      <c r="F542" s="112">
        <v>0</v>
      </c>
      <c r="G542" s="112">
        <v>0</v>
      </c>
      <c r="H542" s="112">
        <v>0</v>
      </c>
      <c r="I542" s="113">
        <v>0</v>
      </c>
      <c r="J542"/>
      <c r="K542"/>
      <c r="L542"/>
      <c r="M542"/>
      <c r="N542"/>
    </row>
    <row r="543" spans="1:14" x14ac:dyDescent="0.3">
      <c r="A543" s="102" t="s">
        <v>1082</v>
      </c>
      <c r="B543" s="102" t="s">
        <v>2177</v>
      </c>
      <c r="C543" s="107" t="s">
        <v>54</v>
      </c>
      <c r="D543" s="102">
        <v>4</v>
      </c>
      <c r="E543" s="111">
        <v>0</v>
      </c>
      <c r="F543" s="112">
        <v>0</v>
      </c>
      <c r="G543" s="112">
        <v>0</v>
      </c>
      <c r="H543" s="112">
        <v>0</v>
      </c>
      <c r="I543" s="113">
        <v>0</v>
      </c>
      <c r="J543"/>
      <c r="K543"/>
      <c r="L543"/>
      <c r="M543"/>
      <c r="N543"/>
    </row>
    <row r="544" spans="1:14" x14ac:dyDescent="0.3">
      <c r="A544" s="102" t="s">
        <v>1083</v>
      </c>
      <c r="B544" s="102" t="s">
        <v>2067</v>
      </c>
      <c r="C544" s="107" t="s">
        <v>54</v>
      </c>
      <c r="D544" s="102">
        <v>6</v>
      </c>
      <c r="E544" s="111">
        <v>0</v>
      </c>
      <c r="F544" s="112">
        <v>0</v>
      </c>
      <c r="G544" s="112">
        <v>0</v>
      </c>
      <c r="H544" s="112">
        <v>0</v>
      </c>
      <c r="I544" s="113">
        <v>0</v>
      </c>
      <c r="J544"/>
      <c r="K544"/>
      <c r="L544"/>
      <c r="M544"/>
      <c r="N544"/>
    </row>
    <row r="545" spans="1:14" x14ac:dyDescent="0.3">
      <c r="A545" s="102" t="s">
        <v>1084</v>
      </c>
      <c r="B545" s="102" t="s">
        <v>2068</v>
      </c>
      <c r="C545" s="107" t="s">
        <v>54</v>
      </c>
      <c r="D545" s="102">
        <v>6</v>
      </c>
      <c r="E545" s="111">
        <v>0</v>
      </c>
      <c r="F545" s="112">
        <v>0</v>
      </c>
      <c r="G545" s="112">
        <v>0</v>
      </c>
      <c r="H545" s="112">
        <v>0</v>
      </c>
      <c r="I545" s="113">
        <v>0</v>
      </c>
      <c r="J545"/>
      <c r="K545"/>
      <c r="L545"/>
      <c r="M545"/>
      <c r="N545"/>
    </row>
    <row r="546" spans="1:14" x14ac:dyDescent="0.3">
      <c r="A546" s="102" t="s">
        <v>1085</v>
      </c>
      <c r="B546" s="102" t="s">
        <v>2069</v>
      </c>
      <c r="C546" s="107" t="s">
        <v>54</v>
      </c>
      <c r="D546" s="102">
        <v>6</v>
      </c>
      <c r="E546" s="111">
        <v>0</v>
      </c>
      <c r="F546" s="112">
        <v>0</v>
      </c>
      <c r="G546" s="112">
        <v>0</v>
      </c>
      <c r="H546" s="112">
        <v>0</v>
      </c>
      <c r="I546" s="113">
        <v>0</v>
      </c>
      <c r="J546"/>
      <c r="K546"/>
      <c r="L546"/>
      <c r="M546"/>
      <c r="N546"/>
    </row>
    <row r="547" spans="1:14" x14ac:dyDescent="0.3">
      <c r="A547" s="102" t="s">
        <v>1086</v>
      </c>
      <c r="B547" s="102" t="s">
        <v>2070</v>
      </c>
      <c r="C547" s="107" t="s">
        <v>54</v>
      </c>
      <c r="D547" s="102">
        <v>6</v>
      </c>
      <c r="E547" s="111">
        <v>0</v>
      </c>
      <c r="F547" s="112">
        <v>0</v>
      </c>
      <c r="G547" s="112">
        <v>0</v>
      </c>
      <c r="H547" s="112">
        <v>0</v>
      </c>
      <c r="I547" s="113">
        <v>0</v>
      </c>
      <c r="J547"/>
      <c r="K547"/>
      <c r="L547"/>
      <c r="M547"/>
      <c r="N547"/>
    </row>
    <row r="548" spans="1:14" x14ac:dyDescent="0.3">
      <c r="A548" s="102" t="s">
        <v>1087</v>
      </c>
      <c r="B548" s="102" t="s">
        <v>2071</v>
      </c>
      <c r="C548" s="107" t="s">
        <v>54</v>
      </c>
      <c r="D548" s="102">
        <v>6</v>
      </c>
      <c r="E548" s="111">
        <v>0</v>
      </c>
      <c r="F548" s="112">
        <v>0</v>
      </c>
      <c r="G548" s="112">
        <v>0</v>
      </c>
      <c r="H548" s="112">
        <v>0</v>
      </c>
      <c r="I548" s="113">
        <v>0</v>
      </c>
      <c r="J548"/>
      <c r="K548"/>
      <c r="L548"/>
      <c r="M548"/>
      <c r="N548"/>
    </row>
    <row r="549" spans="1:14" x14ac:dyDescent="0.3">
      <c r="A549" s="102" t="s">
        <v>1088</v>
      </c>
      <c r="B549" s="102" t="s">
        <v>2178</v>
      </c>
      <c r="C549" s="107" t="s">
        <v>54</v>
      </c>
      <c r="D549" s="102">
        <v>4</v>
      </c>
      <c r="E549" s="111">
        <v>0</v>
      </c>
      <c r="F549" s="112">
        <v>0</v>
      </c>
      <c r="G549" s="112">
        <v>0</v>
      </c>
      <c r="H549" s="112">
        <v>0</v>
      </c>
      <c r="I549" s="113">
        <v>0</v>
      </c>
      <c r="J549"/>
      <c r="K549"/>
      <c r="L549"/>
      <c r="M549"/>
      <c r="N549"/>
    </row>
    <row r="550" spans="1:14" x14ac:dyDescent="0.3">
      <c r="A550" s="102" t="s">
        <v>1089</v>
      </c>
      <c r="B550" s="102" t="s">
        <v>2067</v>
      </c>
      <c r="C550" s="107" t="s">
        <v>54</v>
      </c>
      <c r="D550" s="102">
        <v>6</v>
      </c>
      <c r="E550" s="111">
        <v>0</v>
      </c>
      <c r="F550" s="112">
        <v>0</v>
      </c>
      <c r="G550" s="112">
        <v>0</v>
      </c>
      <c r="H550" s="112">
        <v>0</v>
      </c>
      <c r="I550" s="113">
        <v>0</v>
      </c>
      <c r="J550"/>
      <c r="K550"/>
      <c r="L550"/>
      <c r="M550"/>
      <c r="N550"/>
    </row>
    <row r="551" spans="1:14" x14ac:dyDescent="0.3">
      <c r="A551" s="102" t="s">
        <v>1090</v>
      </c>
      <c r="B551" s="102" t="s">
        <v>2068</v>
      </c>
      <c r="C551" s="107" t="s">
        <v>54</v>
      </c>
      <c r="D551" s="102">
        <v>6</v>
      </c>
      <c r="E551" s="111">
        <v>0</v>
      </c>
      <c r="F551" s="112">
        <v>0</v>
      </c>
      <c r="G551" s="112">
        <v>0</v>
      </c>
      <c r="H551" s="112">
        <v>0</v>
      </c>
      <c r="I551" s="113">
        <v>0</v>
      </c>
      <c r="J551"/>
      <c r="K551"/>
      <c r="L551"/>
      <c r="M551"/>
      <c r="N551"/>
    </row>
    <row r="552" spans="1:14" x14ac:dyDescent="0.3">
      <c r="A552" s="102" t="s">
        <v>1091</v>
      </c>
      <c r="B552" s="102" t="s">
        <v>2069</v>
      </c>
      <c r="C552" s="107" t="s">
        <v>54</v>
      </c>
      <c r="D552" s="102">
        <v>6</v>
      </c>
      <c r="E552" s="111">
        <v>0</v>
      </c>
      <c r="F552" s="112">
        <v>0</v>
      </c>
      <c r="G552" s="112">
        <v>0</v>
      </c>
      <c r="H552" s="112">
        <v>0</v>
      </c>
      <c r="I552" s="113">
        <v>0</v>
      </c>
      <c r="J552"/>
      <c r="K552"/>
      <c r="L552"/>
      <c r="M552"/>
      <c r="N552"/>
    </row>
    <row r="553" spans="1:14" x14ac:dyDescent="0.3">
      <c r="A553" s="102" t="s">
        <v>1092</v>
      </c>
      <c r="B553" s="102" t="s">
        <v>2070</v>
      </c>
      <c r="C553" s="107" t="s">
        <v>54</v>
      </c>
      <c r="D553" s="102">
        <v>6</v>
      </c>
      <c r="E553" s="111">
        <v>0</v>
      </c>
      <c r="F553" s="112">
        <v>0</v>
      </c>
      <c r="G553" s="112">
        <v>0</v>
      </c>
      <c r="H553" s="112">
        <v>0</v>
      </c>
      <c r="I553" s="113">
        <v>0</v>
      </c>
      <c r="J553"/>
      <c r="K553"/>
      <c r="L553"/>
      <c r="M553"/>
      <c r="N553"/>
    </row>
    <row r="554" spans="1:14" x14ac:dyDescent="0.3">
      <c r="A554" s="102" t="s">
        <v>1093</v>
      </c>
      <c r="B554" s="102" t="s">
        <v>2071</v>
      </c>
      <c r="C554" s="107" t="s">
        <v>54</v>
      </c>
      <c r="D554" s="102">
        <v>6</v>
      </c>
      <c r="E554" s="111">
        <v>0</v>
      </c>
      <c r="F554" s="112">
        <v>0</v>
      </c>
      <c r="G554" s="112">
        <v>0</v>
      </c>
      <c r="H554" s="112">
        <v>0</v>
      </c>
      <c r="I554" s="113">
        <v>0</v>
      </c>
      <c r="J554"/>
      <c r="K554"/>
      <c r="L554"/>
      <c r="M554"/>
      <c r="N554"/>
    </row>
    <row r="555" spans="1:14" x14ac:dyDescent="0.3">
      <c r="A555" s="102" t="s">
        <v>1094</v>
      </c>
      <c r="B555" s="102" t="s">
        <v>2179</v>
      </c>
      <c r="C555" s="107" t="s">
        <v>54</v>
      </c>
      <c r="D555" s="102">
        <v>4</v>
      </c>
      <c r="E555" s="111">
        <v>-954257.55</v>
      </c>
      <c r="F555" s="112">
        <v>-3081786.19</v>
      </c>
      <c r="G555" s="112">
        <v>-1390291.53</v>
      </c>
      <c r="H555" s="112">
        <v>-13734483.039999999</v>
      </c>
      <c r="I555" s="113">
        <v>-19160818.309999999</v>
      </c>
      <c r="J555"/>
      <c r="K555"/>
      <c r="L555"/>
      <c r="M555"/>
      <c r="N555"/>
    </row>
    <row r="556" spans="1:14" x14ac:dyDescent="0.3">
      <c r="A556" s="102" t="s">
        <v>1095</v>
      </c>
      <c r="B556" s="102" t="s">
        <v>2180</v>
      </c>
      <c r="C556" s="107" t="s">
        <v>54</v>
      </c>
      <c r="D556" s="102">
        <v>6</v>
      </c>
      <c r="E556" s="111">
        <v>0</v>
      </c>
      <c r="F556" s="112">
        <v>-42902.720000000001</v>
      </c>
      <c r="G556" s="112">
        <v>-31004.45</v>
      </c>
      <c r="H556" s="112">
        <v>-890421.54</v>
      </c>
      <c r="I556" s="113">
        <v>-964328.71</v>
      </c>
      <c r="J556"/>
      <c r="K556"/>
      <c r="L556"/>
      <c r="M556"/>
      <c r="N556"/>
    </row>
    <row r="557" spans="1:14" x14ac:dyDescent="0.3">
      <c r="A557" s="102" t="s">
        <v>1096</v>
      </c>
      <c r="B557" s="102" t="s">
        <v>2181</v>
      </c>
      <c r="C557" s="107" t="s">
        <v>54</v>
      </c>
      <c r="D557" s="102">
        <v>6</v>
      </c>
      <c r="E557" s="111">
        <v>-130618.34</v>
      </c>
      <c r="F557" s="112">
        <v>-553820.88</v>
      </c>
      <c r="G557" s="112">
        <v>-581203.31999999995</v>
      </c>
      <c r="H557" s="112">
        <v>-5148062.6399999997</v>
      </c>
      <c r="I557" s="113">
        <v>-6413705.1799999997</v>
      </c>
      <c r="J557"/>
      <c r="K557"/>
      <c r="L557"/>
      <c r="M557"/>
      <c r="N557"/>
    </row>
    <row r="558" spans="1:14" x14ac:dyDescent="0.3">
      <c r="A558" s="102" t="s">
        <v>1097</v>
      </c>
      <c r="B558" s="102" t="s">
        <v>2182</v>
      </c>
      <c r="C558" s="107" t="s">
        <v>54</v>
      </c>
      <c r="D558" s="102">
        <v>6</v>
      </c>
      <c r="E558" s="111">
        <v>-180532.92</v>
      </c>
      <c r="F558" s="112">
        <v>-2233430.41</v>
      </c>
      <c r="G558" s="112">
        <v>-303819.88</v>
      </c>
      <c r="H558" s="112">
        <v>-4626622.55</v>
      </c>
      <c r="I558" s="113">
        <v>-7344405.7599999998</v>
      </c>
      <c r="J558"/>
      <c r="K558"/>
      <c r="L558"/>
      <c r="M558"/>
      <c r="N558"/>
    </row>
    <row r="559" spans="1:14" x14ac:dyDescent="0.3">
      <c r="A559" s="102" t="s">
        <v>1098</v>
      </c>
      <c r="B559" s="102" t="s">
        <v>2183</v>
      </c>
      <c r="C559" s="107" t="s">
        <v>54</v>
      </c>
      <c r="D559" s="102">
        <v>6</v>
      </c>
      <c r="E559" s="111">
        <v>-253258.71</v>
      </c>
      <c r="F559" s="112">
        <v>-31745.62</v>
      </c>
      <c r="G559" s="112">
        <v>-200580.01</v>
      </c>
      <c r="H559" s="112">
        <v>-1916073.73</v>
      </c>
      <c r="I559" s="113">
        <v>-2401658.0699999998</v>
      </c>
      <c r="J559"/>
      <c r="K559"/>
      <c r="L559"/>
      <c r="M559"/>
      <c r="N559"/>
    </row>
    <row r="560" spans="1:14" x14ac:dyDescent="0.3">
      <c r="A560" s="102" t="s">
        <v>1099</v>
      </c>
      <c r="B560" s="102" t="s">
        <v>2184</v>
      </c>
      <c r="C560" s="107" t="s">
        <v>54</v>
      </c>
      <c r="D560" s="102">
        <v>6</v>
      </c>
      <c r="E560" s="111">
        <v>0</v>
      </c>
      <c r="F560" s="112">
        <v>0</v>
      </c>
      <c r="G560" s="112">
        <v>0</v>
      </c>
      <c r="H560" s="112">
        <v>-5916.5</v>
      </c>
      <c r="I560" s="113">
        <v>-5916.5</v>
      </c>
      <c r="J560"/>
      <c r="K560"/>
      <c r="L560"/>
      <c r="M560"/>
      <c r="N560"/>
    </row>
    <row r="561" spans="1:14" x14ac:dyDescent="0.3">
      <c r="A561" s="102" t="s">
        <v>1100</v>
      </c>
      <c r="B561" s="102" t="s">
        <v>2185</v>
      </c>
      <c r="C561" s="107" t="s">
        <v>54</v>
      </c>
      <c r="D561" s="102">
        <v>6</v>
      </c>
      <c r="E561" s="111">
        <v>0</v>
      </c>
      <c r="F561" s="112">
        <v>-149145.64000000001</v>
      </c>
      <c r="G561" s="112">
        <v>0</v>
      </c>
      <c r="H561" s="112">
        <v>-233934.32</v>
      </c>
      <c r="I561" s="113">
        <v>-383079.96</v>
      </c>
      <c r="J561"/>
      <c r="K561"/>
      <c r="L561"/>
      <c r="M561"/>
      <c r="N561"/>
    </row>
    <row r="562" spans="1:14" x14ac:dyDescent="0.3">
      <c r="A562" s="102" t="s">
        <v>1101</v>
      </c>
      <c r="B562" s="102" t="s">
        <v>2186</v>
      </c>
      <c r="C562" s="107" t="s">
        <v>54</v>
      </c>
      <c r="D562" s="102">
        <v>6</v>
      </c>
      <c r="E562" s="111">
        <v>0</v>
      </c>
      <c r="F562" s="112">
        <v>0</v>
      </c>
      <c r="G562" s="112">
        <v>0</v>
      </c>
      <c r="H562" s="112">
        <v>-97698.04</v>
      </c>
      <c r="I562" s="113">
        <v>-97698.04</v>
      </c>
      <c r="J562"/>
      <c r="K562"/>
      <c r="L562"/>
      <c r="M562"/>
      <c r="N562"/>
    </row>
    <row r="563" spans="1:14" x14ac:dyDescent="0.3">
      <c r="A563" s="102" t="s">
        <v>1102</v>
      </c>
      <c r="B563" s="102" t="s">
        <v>2187</v>
      </c>
      <c r="C563" s="107" t="s">
        <v>54</v>
      </c>
      <c r="D563" s="102">
        <v>6</v>
      </c>
      <c r="E563" s="111">
        <v>-239805.64</v>
      </c>
      <c r="F563" s="112">
        <v>0</v>
      </c>
      <c r="G563" s="112">
        <v>0</v>
      </c>
      <c r="H563" s="112">
        <v>-97596.65</v>
      </c>
      <c r="I563" s="113">
        <v>-337402.29</v>
      </c>
      <c r="J563"/>
      <c r="K563"/>
      <c r="L563"/>
      <c r="M563"/>
      <c r="N563"/>
    </row>
    <row r="564" spans="1:14" x14ac:dyDescent="0.3">
      <c r="A564" s="102" t="s">
        <v>1103</v>
      </c>
      <c r="B564" s="102" t="s">
        <v>2188</v>
      </c>
      <c r="C564" s="107" t="s">
        <v>54</v>
      </c>
      <c r="D564" s="102">
        <v>6</v>
      </c>
      <c r="E564" s="111">
        <v>0</v>
      </c>
      <c r="F564" s="112">
        <v>0</v>
      </c>
      <c r="G564" s="112">
        <v>0</v>
      </c>
      <c r="H564" s="112">
        <v>-718157.07</v>
      </c>
      <c r="I564" s="113">
        <v>-718157.07</v>
      </c>
      <c r="J564"/>
      <c r="K564"/>
      <c r="L564"/>
      <c r="M564"/>
      <c r="N564"/>
    </row>
    <row r="565" spans="1:14" x14ac:dyDescent="0.3">
      <c r="A565" s="102" t="s">
        <v>1104</v>
      </c>
      <c r="B565" s="102" t="s">
        <v>2189</v>
      </c>
      <c r="C565" s="107" t="s">
        <v>54</v>
      </c>
      <c r="D565" s="102">
        <v>6</v>
      </c>
      <c r="E565" s="111">
        <v>0</v>
      </c>
      <c r="F565" s="112">
        <v>0</v>
      </c>
      <c r="G565" s="112">
        <v>0</v>
      </c>
      <c r="H565" s="112">
        <v>0</v>
      </c>
      <c r="I565" s="113">
        <v>0</v>
      </c>
      <c r="J565"/>
      <c r="K565"/>
      <c r="L565"/>
      <c r="M565"/>
      <c r="N565"/>
    </row>
    <row r="566" spans="1:14" x14ac:dyDescent="0.3">
      <c r="A566" s="102" t="s">
        <v>1105</v>
      </c>
      <c r="B566" s="102" t="s">
        <v>2190</v>
      </c>
      <c r="C566" s="107" t="s">
        <v>54</v>
      </c>
      <c r="D566" s="102">
        <v>6</v>
      </c>
      <c r="E566" s="111">
        <v>-150041.94</v>
      </c>
      <c r="F566" s="112">
        <v>0</v>
      </c>
      <c r="G566" s="112">
        <v>-273683.87</v>
      </c>
      <c r="H566" s="112">
        <v>0</v>
      </c>
      <c r="I566" s="113">
        <v>-423725.81</v>
      </c>
      <c r="J566"/>
      <c r="K566"/>
      <c r="L566"/>
      <c r="M566"/>
      <c r="N566"/>
    </row>
    <row r="567" spans="1:14" x14ac:dyDescent="0.3">
      <c r="A567" s="102" t="s">
        <v>1106</v>
      </c>
      <c r="B567" s="102" t="s">
        <v>2191</v>
      </c>
      <c r="C567" s="107" t="s">
        <v>54</v>
      </c>
      <c r="D567" s="102">
        <v>6</v>
      </c>
      <c r="E567" s="111">
        <v>0</v>
      </c>
      <c r="F567" s="112">
        <v>0</v>
      </c>
      <c r="G567" s="112">
        <v>0</v>
      </c>
      <c r="H567" s="112">
        <v>0</v>
      </c>
      <c r="I567" s="113">
        <v>0</v>
      </c>
      <c r="J567"/>
      <c r="K567"/>
      <c r="L567"/>
      <c r="M567"/>
      <c r="N567"/>
    </row>
    <row r="568" spans="1:14" x14ac:dyDescent="0.3">
      <c r="A568" s="102" t="s">
        <v>1107</v>
      </c>
      <c r="B568" s="102" t="s">
        <v>2192</v>
      </c>
      <c r="C568" s="107" t="s">
        <v>54</v>
      </c>
      <c r="D568" s="102">
        <v>6</v>
      </c>
      <c r="E568" s="111">
        <v>0</v>
      </c>
      <c r="F568" s="112">
        <v>0</v>
      </c>
      <c r="G568" s="112">
        <v>0</v>
      </c>
      <c r="H568" s="112">
        <v>0</v>
      </c>
      <c r="I568" s="113">
        <v>0</v>
      </c>
      <c r="J568"/>
      <c r="K568"/>
      <c r="L568"/>
      <c r="M568"/>
      <c r="N568"/>
    </row>
    <row r="569" spans="1:14" x14ac:dyDescent="0.3">
      <c r="A569" s="102" t="s">
        <v>1108</v>
      </c>
      <c r="B569" s="102" t="s">
        <v>2193</v>
      </c>
      <c r="C569" s="107" t="s">
        <v>54</v>
      </c>
      <c r="D569" s="102">
        <v>6</v>
      </c>
      <c r="E569" s="111">
        <v>0</v>
      </c>
      <c r="F569" s="112">
        <v>-70740.92</v>
      </c>
      <c r="G569" s="112">
        <v>0</v>
      </c>
      <c r="H569" s="112">
        <v>0</v>
      </c>
      <c r="I569" s="113">
        <v>-70740.92</v>
      </c>
      <c r="J569"/>
      <c r="K569"/>
      <c r="L569"/>
      <c r="M569"/>
      <c r="N569"/>
    </row>
    <row r="570" spans="1:14" x14ac:dyDescent="0.3">
      <c r="A570" s="102" t="s">
        <v>1109</v>
      </c>
      <c r="B570" s="102" t="s">
        <v>2194</v>
      </c>
      <c r="C570" s="107" t="s">
        <v>54</v>
      </c>
      <c r="D570" s="102">
        <v>2</v>
      </c>
      <c r="E570" s="111">
        <v>0</v>
      </c>
      <c r="F570" s="112">
        <v>0</v>
      </c>
      <c r="G570" s="112">
        <v>0</v>
      </c>
      <c r="H570" s="112">
        <v>0</v>
      </c>
      <c r="I570" s="113">
        <v>0</v>
      </c>
      <c r="J570"/>
      <c r="K570"/>
      <c r="L570"/>
      <c r="M570"/>
      <c r="N570"/>
    </row>
    <row r="571" spans="1:14" x14ac:dyDescent="0.3">
      <c r="A571" s="102" t="s">
        <v>1110</v>
      </c>
      <c r="B571" s="102" t="s">
        <v>2195</v>
      </c>
      <c r="C571" s="107" t="s">
        <v>54</v>
      </c>
      <c r="D571" s="102">
        <v>4</v>
      </c>
      <c r="E571" s="111">
        <v>0</v>
      </c>
      <c r="F571" s="112">
        <v>0</v>
      </c>
      <c r="G571" s="112">
        <v>0</v>
      </c>
      <c r="H571" s="112">
        <v>0</v>
      </c>
      <c r="I571" s="113">
        <v>0</v>
      </c>
      <c r="J571"/>
      <c r="K571"/>
      <c r="L571"/>
      <c r="M571"/>
      <c r="N571"/>
    </row>
    <row r="572" spans="1:14" x14ac:dyDescent="0.3">
      <c r="A572" s="102" t="s">
        <v>1111</v>
      </c>
      <c r="B572" s="102" t="s">
        <v>2195</v>
      </c>
      <c r="C572" s="107" t="s">
        <v>54</v>
      </c>
      <c r="D572" s="102">
        <v>6</v>
      </c>
      <c r="E572" s="111">
        <v>0</v>
      </c>
      <c r="F572" s="112">
        <v>0</v>
      </c>
      <c r="G572" s="112">
        <v>0</v>
      </c>
      <c r="H572" s="112">
        <v>0</v>
      </c>
      <c r="I572" s="113">
        <v>0</v>
      </c>
      <c r="J572"/>
      <c r="K572"/>
      <c r="L572"/>
      <c r="M572"/>
      <c r="N572"/>
    </row>
    <row r="573" spans="1:14" x14ac:dyDescent="0.3">
      <c r="A573" s="102" t="s">
        <v>1112</v>
      </c>
      <c r="B573" s="102" t="s">
        <v>2196</v>
      </c>
      <c r="C573" s="107" t="s">
        <v>54</v>
      </c>
      <c r="D573" s="102">
        <v>4</v>
      </c>
      <c r="E573" s="111">
        <v>0</v>
      </c>
      <c r="F573" s="112">
        <v>0</v>
      </c>
      <c r="G573" s="112">
        <v>0</v>
      </c>
      <c r="H573" s="112">
        <v>0</v>
      </c>
      <c r="I573" s="113">
        <v>0</v>
      </c>
      <c r="J573"/>
      <c r="K573"/>
      <c r="L573"/>
      <c r="M573"/>
      <c r="N573"/>
    </row>
    <row r="574" spans="1:14" x14ac:dyDescent="0.3">
      <c r="A574" s="102" t="s">
        <v>1113</v>
      </c>
      <c r="B574" s="102" t="s">
        <v>2196</v>
      </c>
      <c r="C574" s="107" t="s">
        <v>54</v>
      </c>
      <c r="D574" s="102">
        <v>6</v>
      </c>
      <c r="E574" s="111">
        <v>0</v>
      </c>
      <c r="F574" s="112">
        <v>0</v>
      </c>
      <c r="G574" s="112">
        <v>0</v>
      </c>
      <c r="H574" s="112">
        <v>0</v>
      </c>
      <c r="I574" s="113">
        <v>0</v>
      </c>
      <c r="J574"/>
      <c r="K574"/>
      <c r="L574"/>
      <c r="M574"/>
      <c r="N574"/>
    </row>
    <row r="575" spans="1:14" x14ac:dyDescent="0.3">
      <c r="A575" s="102" t="s">
        <v>1114</v>
      </c>
      <c r="B575" s="102" t="s">
        <v>2019</v>
      </c>
      <c r="C575" s="107" t="s">
        <v>54</v>
      </c>
      <c r="D575" s="102">
        <v>2</v>
      </c>
      <c r="E575" s="111">
        <v>364204.29</v>
      </c>
      <c r="F575" s="112">
        <v>1224004.69</v>
      </c>
      <c r="G575" s="112">
        <v>451921.44</v>
      </c>
      <c r="H575" s="112">
        <v>29326220.239999998</v>
      </c>
      <c r="I575" s="113">
        <v>31366350.66</v>
      </c>
      <c r="J575"/>
      <c r="K575"/>
      <c r="L575"/>
      <c r="M575"/>
      <c r="N575"/>
    </row>
    <row r="576" spans="1:14" x14ac:dyDescent="0.3">
      <c r="A576" s="102" t="s">
        <v>1115</v>
      </c>
      <c r="B576" s="102" t="s">
        <v>2197</v>
      </c>
      <c r="C576" s="107" t="s">
        <v>54</v>
      </c>
      <c r="D576" s="102">
        <v>4</v>
      </c>
      <c r="E576" s="111">
        <v>0</v>
      </c>
      <c r="F576" s="112">
        <v>0</v>
      </c>
      <c r="G576" s="112">
        <v>0</v>
      </c>
      <c r="H576" s="112">
        <v>0</v>
      </c>
      <c r="I576" s="113">
        <v>0</v>
      </c>
      <c r="J576"/>
      <c r="K576"/>
      <c r="L576"/>
      <c r="M576"/>
      <c r="N576"/>
    </row>
    <row r="577" spans="1:14" x14ac:dyDescent="0.3">
      <c r="A577" s="102" t="s">
        <v>1116</v>
      </c>
      <c r="B577" s="102" t="s">
        <v>2198</v>
      </c>
      <c r="C577" s="107" t="s">
        <v>54</v>
      </c>
      <c r="D577" s="102">
        <v>6</v>
      </c>
      <c r="E577" s="111">
        <v>0</v>
      </c>
      <c r="F577" s="112">
        <v>0</v>
      </c>
      <c r="G577" s="112">
        <v>0</v>
      </c>
      <c r="H577" s="112">
        <v>0</v>
      </c>
      <c r="I577" s="113">
        <v>0</v>
      </c>
      <c r="J577"/>
      <c r="K577"/>
      <c r="L577"/>
      <c r="M577"/>
      <c r="N577"/>
    </row>
    <row r="578" spans="1:14" x14ac:dyDescent="0.3">
      <c r="A578" s="102" t="s">
        <v>1117</v>
      </c>
      <c r="B578" s="102" t="s">
        <v>2050</v>
      </c>
      <c r="C578" s="107" t="s">
        <v>54</v>
      </c>
      <c r="D578" s="102">
        <v>6</v>
      </c>
      <c r="E578" s="111">
        <v>0</v>
      </c>
      <c r="F578" s="112">
        <v>0</v>
      </c>
      <c r="G578" s="112">
        <v>0</v>
      </c>
      <c r="H578" s="112">
        <v>0</v>
      </c>
      <c r="I578" s="113">
        <v>0</v>
      </c>
      <c r="J578"/>
      <c r="K578"/>
      <c r="L578"/>
      <c r="M578"/>
      <c r="N578"/>
    </row>
    <row r="579" spans="1:14" x14ac:dyDescent="0.3">
      <c r="A579" s="102" t="s">
        <v>1118</v>
      </c>
      <c r="B579" s="102" t="s">
        <v>2199</v>
      </c>
      <c r="C579" s="107" t="s">
        <v>54</v>
      </c>
      <c r="D579" s="102">
        <v>4</v>
      </c>
      <c r="E579" s="111">
        <v>55630.11</v>
      </c>
      <c r="F579" s="112">
        <v>135633.81</v>
      </c>
      <c r="G579" s="112">
        <v>22170.75</v>
      </c>
      <c r="H579" s="112">
        <v>12079564.939999999</v>
      </c>
      <c r="I579" s="113">
        <v>12292999.609999999</v>
      </c>
      <c r="J579"/>
      <c r="K579"/>
      <c r="L579"/>
      <c r="M579"/>
      <c r="N579"/>
    </row>
    <row r="580" spans="1:14" x14ac:dyDescent="0.3">
      <c r="A580" s="102" t="s">
        <v>1119</v>
      </c>
      <c r="B580" s="102" t="s">
        <v>2200</v>
      </c>
      <c r="C580" s="107" t="s">
        <v>54</v>
      </c>
      <c r="D580" s="102">
        <v>6</v>
      </c>
      <c r="E580" s="111">
        <v>0</v>
      </c>
      <c r="F580" s="112">
        <v>0</v>
      </c>
      <c r="G580" s="112">
        <v>0</v>
      </c>
      <c r="H580" s="112">
        <v>0</v>
      </c>
      <c r="I580" s="113">
        <v>0</v>
      </c>
      <c r="J580"/>
      <c r="K580"/>
      <c r="L580"/>
      <c r="M580"/>
      <c r="N580"/>
    </row>
    <row r="581" spans="1:14" x14ac:dyDescent="0.3">
      <c r="A581" s="102" t="s">
        <v>1120</v>
      </c>
      <c r="B581" s="102" t="s">
        <v>2201</v>
      </c>
      <c r="C581" s="107" t="s">
        <v>54</v>
      </c>
      <c r="D581" s="102">
        <v>6</v>
      </c>
      <c r="E581" s="111">
        <v>54290.11</v>
      </c>
      <c r="F581" s="112">
        <v>129230.39</v>
      </c>
      <c r="G581" s="112">
        <v>21718.7</v>
      </c>
      <c r="H581" s="112">
        <v>11583237.949999999</v>
      </c>
      <c r="I581" s="113">
        <v>11788477.15</v>
      </c>
      <c r="J581"/>
      <c r="K581"/>
      <c r="L581"/>
      <c r="M581"/>
      <c r="N581"/>
    </row>
    <row r="582" spans="1:14" x14ac:dyDescent="0.3">
      <c r="A582" s="102" t="s">
        <v>1121</v>
      </c>
      <c r="B582" s="102" t="s">
        <v>2202</v>
      </c>
      <c r="C582" s="107" t="s">
        <v>54</v>
      </c>
      <c r="D582" s="102">
        <v>6</v>
      </c>
      <c r="E582" s="111">
        <v>1340</v>
      </c>
      <c r="F582" s="112">
        <v>0</v>
      </c>
      <c r="G582" s="112">
        <v>452.05</v>
      </c>
      <c r="H582" s="112">
        <v>493350.98</v>
      </c>
      <c r="I582" s="113">
        <v>495143.03</v>
      </c>
      <c r="J582"/>
      <c r="K582"/>
      <c r="L582"/>
      <c r="M582"/>
      <c r="N582"/>
    </row>
    <row r="583" spans="1:14" x14ac:dyDescent="0.3">
      <c r="A583" s="102" t="s">
        <v>1122</v>
      </c>
      <c r="B583" s="102" t="s">
        <v>2091</v>
      </c>
      <c r="C583" s="107" t="s">
        <v>54</v>
      </c>
      <c r="D583" s="102">
        <v>6</v>
      </c>
      <c r="E583" s="111">
        <v>0</v>
      </c>
      <c r="F583" s="112">
        <v>6403.42</v>
      </c>
      <c r="G583" s="112">
        <v>0</v>
      </c>
      <c r="H583" s="112">
        <v>2976.01</v>
      </c>
      <c r="I583" s="113">
        <v>9379.43</v>
      </c>
      <c r="J583"/>
      <c r="K583"/>
      <c r="L583"/>
      <c r="M583"/>
      <c r="N583"/>
    </row>
    <row r="584" spans="1:14" x14ac:dyDescent="0.3">
      <c r="A584" s="102" t="s">
        <v>1123</v>
      </c>
      <c r="B584" s="102" t="s">
        <v>2203</v>
      </c>
      <c r="C584" s="107" t="s">
        <v>54</v>
      </c>
      <c r="D584" s="102">
        <v>4</v>
      </c>
      <c r="E584" s="111">
        <v>163304.93</v>
      </c>
      <c r="F584" s="112">
        <v>1071977.46</v>
      </c>
      <c r="G584" s="112">
        <v>369193.16</v>
      </c>
      <c r="H584" s="112">
        <v>4597041.17</v>
      </c>
      <c r="I584" s="113">
        <v>6201516.7200000007</v>
      </c>
      <c r="J584"/>
      <c r="K584"/>
      <c r="L584"/>
      <c r="M584"/>
      <c r="N584"/>
    </row>
    <row r="585" spans="1:14" x14ac:dyDescent="0.3">
      <c r="A585" s="102" t="s">
        <v>1124</v>
      </c>
      <c r="B585" s="102" t="s">
        <v>2204</v>
      </c>
      <c r="C585" s="107" t="s">
        <v>54</v>
      </c>
      <c r="D585" s="102">
        <v>6</v>
      </c>
      <c r="E585" s="111">
        <v>0</v>
      </c>
      <c r="F585" s="112">
        <v>23254.14</v>
      </c>
      <c r="G585" s="112">
        <v>1924.58</v>
      </c>
      <c r="H585" s="112">
        <v>756846.96</v>
      </c>
      <c r="I585" s="113">
        <v>782025.68</v>
      </c>
      <c r="J585"/>
      <c r="K585"/>
      <c r="L585"/>
      <c r="M585"/>
      <c r="N585"/>
    </row>
    <row r="586" spans="1:14" x14ac:dyDescent="0.3">
      <c r="A586" s="102" t="s">
        <v>1125</v>
      </c>
      <c r="B586" s="102" t="s">
        <v>2205</v>
      </c>
      <c r="C586" s="107" t="s">
        <v>54</v>
      </c>
      <c r="D586" s="102">
        <v>6</v>
      </c>
      <c r="E586" s="111">
        <v>46519.42</v>
      </c>
      <c r="F586" s="112">
        <v>140237.99</v>
      </c>
      <c r="G586" s="112">
        <v>209541.07</v>
      </c>
      <c r="H586" s="112">
        <v>1970769.35</v>
      </c>
      <c r="I586" s="113">
        <v>2367067.83</v>
      </c>
      <c r="J586"/>
      <c r="K586"/>
      <c r="L586"/>
      <c r="M586"/>
      <c r="N586"/>
    </row>
    <row r="587" spans="1:14" x14ac:dyDescent="0.3">
      <c r="A587" s="102" t="s">
        <v>1126</v>
      </c>
      <c r="B587" s="102" t="s">
        <v>2206</v>
      </c>
      <c r="C587" s="107" t="s">
        <v>54</v>
      </c>
      <c r="D587" s="102">
        <v>6</v>
      </c>
      <c r="E587" s="111">
        <v>34306.18</v>
      </c>
      <c r="F587" s="112">
        <v>795168.02</v>
      </c>
      <c r="G587" s="112">
        <v>111960.95</v>
      </c>
      <c r="H587" s="112">
        <v>1101512.52</v>
      </c>
      <c r="I587" s="113">
        <v>2042947.67</v>
      </c>
      <c r="J587"/>
      <c r="K587"/>
      <c r="L587"/>
      <c r="M587"/>
      <c r="N587"/>
    </row>
    <row r="588" spans="1:14" x14ac:dyDescent="0.3">
      <c r="A588" s="102" t="s">
        <v>1127</v>
      </c>
      <c r="B588" s="102" t="s">
        <v>2207</v>
      </c>
      <c r="C588" s="107" t="s">
        <v>54</v>
      </c>
      <c r="D588" s="102">
        <v>6</v>
      </c>
      <c r="E588" s="111">
        <v>54266.9</v>
      </c>
      <c r="F588" s="112">
        <v>3577.1</v>
      </c>
      <c r="G588" s="112">
        <v>45123.67</v>
      </c>
      <c r="H588" s="112">
        <v>480144.39</v>
      </c>
      <c r="I588" s="113">
        <v>583112.06000000006</v>
      </c>
      <c r="J588"/>
      <c r="K588"/>
      <c r="L588"/>
      <c r="M588"/>
      <c r="N588"/>
    </row>
    <row r="589" spans="1:14" x14ac:dyDescent="0.3">
      <c r="A589" s="102" t="s">
        <v>1128</v>
      </c>
      <c r="B589" s="102" t="s">
        <v>2208</v>
      </c>
      <c r="C589" s="107" t="s">
        <v>54</v>
      </c>
      <c r="D589" s="102">
        <v>6</v>
      </c>
      <c r="E589" s="111">
        <v>0</v>
      </c>
      <c r="F589" s="112">
        <v>0</v>
      </c>
      <c r="G589" s="112">
        <v>0</v>
      </c>
      <c r="H589" s="112">
        <v>7693.59</v>
      </c>
      <c r="I589" s="113">
        <v>7693.59</v>
      </c>
      <c r="J589"/>
      <c r="K589"/>
      <c r="L589"/>
      <c r="M589"/>
      <c r="N589"/>
    </row>
    <row r="590" spans="1:14" x14ac:dyDescent="0.3">
      <c r="A590" s="102" t="s">
        <v>1129</v>
      </c>
      <c r="B590" s="102" t="s">
        <v>2209</v>
      </c>
      <c r="C590" s="107" t="s">
        <v>54</v>
      </c>
      <c r="D590" s="102">
        <v>6</v>
      </c>
      <c r="E590" s="111">
        <v>0</v>
      </c>
      <c r="F590" s="112">
        <v>109740.21</v>
      </c>
      <c r="G590" s="112">
        <v>0</v>
      </c>
      <c r="H590" s="112">
        <v>237665.78</v>
      </c>
      <c r="I590" s="113">
        <v>347405.99</v>
      </c>
      <c r="J590"/>
      <c r="K590"/>
      <c r="L590"/>
      <c r="M590"/>
      <c r="N590"/>
    </row>
    <row r="591" spans="1:14" x14ac:dyDescent="0.3">
      <c r="A591" s="102" t="s">
        <v>1130</v>
      </c>
      <c r="B591" s="102" t="s">
        <v>2210</v>
      </c>
      <c r="C591" s="107" t="s">
        <v>54</v>
      </c>
      <c r="D591" s="102">
        <v>6</v>
      </c>
      <c r="E591" s="111">
        <v>0</v>
      </c>
      <c r="F591" s="112">
        <v>0</v>
      </c>
      <c r="G591" s="112">
        <v>0</v>
      </c>
      <c r="H591" s="112">
        <v>29980.93</v>
      </c>
      <c r="I591" s="113">
        <v>29980.93</v>
      </c>
      <c r="J591"/>
      <c r="K591"/>
      <c r="L591"/>
      <c r="M591"/>
      <c r="N591"/>
    </row>
    <row r="592" spans="1:14" x14ac:dyDescent="0.3">
      <c r="A592" s="102" t="s">
        <v>1131</v>
      </c>
      <c r="B592" s="102" t="s">
        <v>2211</v>
      </c>
      <c r="C592" s="107" t="s">
        <v>54</v>
      </c>
      <c r="D592" s="102">
        <v>6</v>
      </c>
      <c r="E592" s="111">
        <v>0</v>
      </c>
      <c r="F592" s="112">
        <v>0</v>
      </c>
      <c r="G592" s="112">
        <v>0</v>
      </c>
      <c r="H592" s="112">
        <v>0</v>
      </c>
      <c r="I592" s="113">
        <v>0</v>
      </c>
      <c r="J592"/>
      <c r="K592"/>
      <c r="L592"/>
      <c r="M592"/>
      <c r="N592"/>
    </row>
    <row r="593" spans="1:14" x14ac:dyDescent="0.3">
      <c r="A593" s="102" t="s">
        <v>1132</v>
      </c>
      <c r="B593" s="102" t="s">
        <v>2212</v>
      </c>
      <c r="C593" s="107" t="s">
        <v>54</v>
      </c>
      <c r="D593" s="102">
        <v>6</v>
      </c>
      <c r="E593" s="111">
        <v>28212.43</v>
      </c>
      <c r="F593" s="112">
        <v>0</v>
      </c>
      <c r="G593" s="112">
        <v>483.81</v>
      </c>
      <c r="H593" s="112">
        <v>12427.65</v>
      </c>
      <c r="I593" s="113">
        <v>41123.89</v>
      </c>
      <c r="J593"/>
      <c r="K593"/>
      <c r="L593"/>
      <c r="M593"/>
      <c r="N593"/>
    </row>
    <row r="594" spans="1:14" x14ac:dyDescent="0.3">
      <c r="A594" s="102" t="s">
        <v>1133</v>
      </c>
      <c r="B594" s="102" t="s">
        <v>2213</v>
      </c>
      <c r="C594" s="107" t="s">
        <v>54</v>
      </c>
      <c r="D594" s="102">
        <v>6</v>
      </c>
      <c r="E594" s="111">
        <v>0</v>
      </c>
      <c r="F594" s="112">
        <v>0</v>
      </c>
      <c r="G594" s="112">
        <v>159.08000000000001</v>
      </c>
      <c r="H594" s="112">
        <v>0</v>
      </c>
      <c r="I594" s="113">
        <v>159.08000000000001</v>
      </c>
      <c r="J594"/>
      <c r="K594"/>
      <c r="L594"/>
      <c r="M594"/>
      <c r="N594"/>
    </row>
    <row r="595" spans="1:14" x14ac:dyDescent="0.3">
      <c r="A595" s="102" t="s">
        <v>1134</v>
      </c>
      <c r="B595" s="102" t="s">
        <v>2214</v>
      </c>
      <c r="C595" s="107" t="s">
        <v>54</v>
      </c>
      <c r="D595" s="102">
        <v>4</v>
      </c>
      <c r="E595" s="111">
        <v>0</v>
      </c>
      <c r="F595" s="112">
        <v>0</v>
      </c>
      <c r="G595" s="112">
        <v>0</v>
      </c>
      <c r="H595" s="112">
        <v>0</v>
      </c>
      <c r="I595" s="113">
        <v>0</v>
      </c>
      <c r="J595"/>
      <c r="K595"/>
      <c r="L595"/>
      <c r="M595"/>
      <c r="N595"/>
    </row>
    <row r="596" spans="1:14" x14ac:dyDescent="0.3">
      <c r="A596" s="102" t="s">
        <v>1135</v>
      </c>
      <c r="B596" s="102" t="s">
        <v>2215</v>
      </c>
      <c r="C596" s="107" t="s">
        <v>54</v>
      </c>
      <c r="D596" s="102">
        <v>4</v>
      </c>
      <c r="E596" s="111">
        <v>0</v>
      </c>
      <c r="F596" s="112">
        <v>0</v>
      </c>
      <c r="G596" s="112">
        <v>0</v>
      </c>
      <c r="H596" s="112">
        <v>0</v>
      </c>
      <c r="I596" s="113">
        <v>0</v>
      </c>
      <c r="J596"/>
      <c r="K596"/>
      <c r="L596"/>
      <c r="M596"/>
      <c r="N596"/>
    </row>
    <row r="597" spans="1:14" x14ac:dyDescent="0.3">
      <c r="A597" s="102" t="s">
        <v>1136</v>
      </c>
      <c r="B597" s="102" t="s">
        <v>2100</v>
      </c>
      <c r="C597" s="107" t="s">
        <v>54</v>
      </c>
      <c r="D597" s="102">
        <v>6</v>
      </c>
      <c r="E597" s="111">
        <v>0</v>
      </c>
      <c r="F597" s="112">
        <v>0</v>
      </c>
      <c r="G597" s="112">
        <v>0</v>
      </c>
      <c r="H597" s="112">
        <v>0</v>
      </c>
      <c r="I597" s="113">
        <v>0</v>
      </c>
      <c r="J597"/>
      <c r="K597"/>
      <c r="L597"/>
      <c r="M597"/>
      <c r="N597"/>
    </row>
    <row r="598" spans="1:14" x14ac:dyDescent="0.3">
      <c r="A598" s="102" t="s">
        <v>1137</v>
      </c>
      <c r="B598" s="102" t="s">
        <v>2194</v>
      </c>
      <c r="C598" s="107" t="s">
        <v>54</v>
      </c>
      <c r="D598" s="102">
        <v>6</v>
      </c>
      <c r="E598" s="111">
        <v>0</v>
      </c>
      <c r="F598" s="112">
        <v>0</v>
      </c>
      <c r="G598" s="112">
        <v>0</v>
      </c>
      <c r="H598" s="112">
        <v>0</v>
      </c>
      <c r="I598" s="113">
        <v>0</v>
      </c>
      <c r="J598"/>
      <c r="K598"/>
      <c r="L598"/>
      <c r="M598"/>
      <c r="N598"/>
    </row>
    <row r="599" spans="1:14" x14ac:dyDescent="0.3">
      <c r="A599" s="102" t="s">
        <v>1138</v>
      </c>
      <c r="B599" s="102" t="s">
        <v>2216</v>
      </c>
      <c r="C599" s="107" t="s">
        <v>54</v>
      </c>
      <c r="D599" s="102">
        <v>6</v>
      </c>
      <c r="E599" s="111">
        <v>0</v>
      </c>
      <c r="F599" s="112">
        <v>0</v>
      </c>
      <c r="G599" s="112">
        <v>0</v>
      </c>
      <c r="H599" s="112">
        <v>0</v>
      </c>
      <c r="I599" s="113">
        <v>0</v>
      </c>
      <c r="J599"/>
      <c r="K599"/>
      <c r="L599"/>
      <c r="M599"/>
      <c r="N599"/>
    </row>
    <row r="600" spans="1:14" x14ac:dyDescent="0.3">
      <c r="A600" s="102" t="s">
        <v>1139</v>
      </c>
      <c r="B600" s="102" t="s">
        <v>2217</v>
      </c>
      <c r="C600" s="107" t="s">
        <v>54</v>
      </c>
      <c r="D600" s="102">
        <v>6</v>
      </c>
      <c r="E600" s="111">
        <v>0</v>
      </c>
      <c r="F600" s="112">
        <v>0</v>
      </c>
      <c r="G600" s="112">
        <v>0</v>
      </c>
      <c r="H600" s="112">
        <v>0</v>
      </c>
      <c r="I600" s="113">
        <v>0</v>
      </c>
      <c r="J600"/>
      <c r="K600"/>
      <c r="L600"/>
      <c r="M600"/>
      <c r="N600"/>
    </row>
    <row r="601" spans="1:14" x14ac:dyDescent="0.3">
      <c r="A601" s="102" t="s">
        <v>1140</v>
      </c>
      <c r="B601" s="102" t="s">
        <v>2218</v>
      </c>
      <c r="C601" s="107" t="s">
        <v>54</v>
      </c>
      <c r="D601" s="102">
        <v>4</v>
      </c>
      <c r="E601" s="111">
        <v>21203.38</v>
      </c>
      <c r="F601" s="112">
        <v>280.97000000000003</v>
      </c>
      <c r="G601" s="112">
        <v>0</v>
      </c>
      <c r="H601" s="112">
        <v>212004.2</v>
      </c>
      <c r="I601" s="113">
        <v>233488.55</v>
      </c>
      <c r="J601"/>
      <c r="K601"/>
      <c r="L601"/>
      <c r="M601"/>
      <c r="N601"/>
    </row>
    <row r="602" spans="1:14" x14ac:dyDescent="0.3">
      <c r="A602" s="102" t="s">
        <v>1141</v>
      </c>
      <c r="B602" s="102" t="s">
        <v>2219</v>
      </c>
      <c r="C602" s="107" t="s">
        <v>54</v>
      </c>
      <c r="D602" s="102">
        <v>4</v>
      </c>
      <c r="E602" s="111">
        <v>0</v>
      </c>
      <c r="F602" s="112">
        <v>0</v>
      </c>
      <c r="G602" s="112">
        <v>0</v>
      </c>
      <c r="H602" s="112">
        <v>0</v>
      </c>
      <c r="I602" s="113">
        <v>0</v>
      </c>
      <c r="J602"/>
      <c r="K602"/>
      <c r="L602"/>
      <c r="M602"/>
      <c r="N602"/>
    </row>
    <row r="603" spans="1:14" x14ac:dyDescent="0.3">
      <c r="A603" s="102" t="s">
        <v>1142</v>
      </c>
      <c r="B603" s="102" t="s">
        <v>2220</v>
      </c>
      <c r="C603" s="107" t="s">
        <v>54</v>
      </c>
      <c r="D603" s="102">
        <v>4</v>
      </c>
      <c r="E603" s="111">
        <v>0</v>
      </c>
      <c r="F603" s="112">
        <v>0</v>
      </c>
      <c r="G603" s="112">
        <v>0</v>
      </c>
      <c r="H603" s="112">
        <v>0</v>
      </c>
      <c r="I603" s="113">
        <v>0</v>
      </c>
      <c r="J603"/>
      <c r="K603"/>
      <c r="L603"/>
      <c r="M603"/>
      <c r="N603"/>
    </row>
    <row r="604" spans="1:14" x14ac:dyDescent="0.3">
      <c r="A604" s="102" t="s">
        <v>1143</v>
      </c>
      <c r="B604" s="102" t="s">
        <v>2221</v>
      </c>
      <c r="C604" s="107" t="s">
        <v>54</v>
      </c>
      <c r="D604" s="102">
        <v>4</v>
      </c>
      <c r="E604" s="111">
        <v>15661.01</v>
      </c>
      <c r="F604" s="112">
        <v>62662.81</v>
      </c>
      <c r="G604" s="112">
        <v>65511.01</v>
      </c>
      <c r="H604" s="112">
        <v>2191087.7999999998</v>
      </c>
      <c r="I604" s="113">
        <v>2334922.63</v>
      </c>
      <c r="J604"/>
      <c r="K604"/>
      <c r="L604"/>
      <c r="M604"/>
      <c r="N604"/>
    </row>
    <row r="605" spans="1:14" x14ac:dyDescent="0.3">
      <c r="A605" s="102" t="s">
        <v>1144</v>
      </c>
      <c r="B605" s="102" t="s">
        <v>2222</v>
      </c>
      <c r="C605" s="107" t="s">
        <v>54</v>
      </c>
      <c r="D605" s="102">
        <v>6</v>
      </c>
      <c r="E605" s="111">
        <v>0</v>
      </c>
      <c r="F605" s="112">
        <v>0</v>
      </c>
      <c r="G605" s="112">
        <v>0</v>
      </c>
      <c r="H605" s="112">
        <v>0</v>
      </c>
      <c r="I605" s="113">
        <v>0</v>
      </c>
      <c r="J605"/>
      <c r="K605"/>
      <c r="L605"/>
      <c r="M605"/>
      <c r="N605"/>
    </row>
    <row r="606" spans="1:14" x14ac:dyDescent="0.3">
      <c r="A606" s="102" t="s">
        <v>1145</v>
      </c>
      <c r="B606" s="102" t="s">
        <v>2223</v>
      </c>
      <c r="C606" s="107" t="s">
        <v>54</v>
      </c>
      <c r="D606" s="102">
        <v>6</v>
      </c>
      <c r="E606" s="111">
        <v>0</v>
      </c>
      <c r="F606" s="112">
        <v>0</v>
      </c>
      <c r="G606" s="112">
        <v>0</v>
      </c>
      <c r="H606" s="112">
        <v>0</v>
      </c>
      <c r="I606" s="113">
        <v>0</v>
      </c>
      <c r="J606"/>
      <c r="K606"/>
      <c r="L606"/>
      <c r="M606"/>
      <c r="N606"/>
    </row>
    <row r="607" spans="1:14" x14ac:dyDescent="0.3">
      <c r="A607" s="102" t="s">
        <v>1146</v>
      </c>
      <c r="B607" s="102" t="s">
        <v>2224</v>
      </c>
      <c r="C607" s="107" t="s">
        <v>54</v>
      </c>
      <c r="D607" s="102">
        <v>6</v>
      </c>
      <c r="E607" s="111">
        <v>0</v>
      </c>
      <c r="F607" s="112">
        <v>0</v>
      </c>
      <c r="G607" s="112">
        <v>0</v>
      </c>
      <c r="H607" s="112">
        <v>0</v>
      </c>
      <c r="I607" s="113">
        <v>0</v>
      </c>
      <c r="J607"/>
      <c r="K607"/>
      <c r="L607"/>
      <c r="M607"/>
      <c r="N607"/>
    </row>
    <row r="608" spans="1:14" x14ac:dyDescent="0.3">
      <c r="A608" s="102" t="s">
        <v>1147</v>
      </c>
      <c r="B608" s="102" t="s">
        <v>2225</v>
      </c>
      <c r="C608" s="107" t="s">
        <v>54</v>
      </c>
      <c r="D608" s="102">
        <v>6</v>
      </c>
      <c r="E608" s="111">
        <v>0</v>
      </c>
      <c r="F608" s="112">
        <v>0</v>
      </c>
      <c r="G608" s="112">
        <v>23807.43</v>
      </c>
      <c r="H608" s="112">
        <v>1073194.57</v>
      </c>
      <c r="I608" s="113">
        <v>1097002</v>
      </c>
      <c r="J608"/>
      <c r="K608"/>
      <c r="L608"/>
      <c r="M608"/>
      <c r="N608"/>
    </row>
    <row r="609" spans="1:14" x14ac:dyDescent="0.3">
      <c r="A609" s="102" t="s">
        <v>1148</v>
      </c>
      <c r="B609" s="102" t="s">
        <v>2226</v>
      </c>
      <c r="C609" s="107" t="s">
        <v>54</v>
      </c>
      <c r="D609" s="102">
        <v>6</v>
      </c>
      <c r="E609" s="111">
        <v>0</v>
      </c>
      <c r="F609" s="112">
        <v>0</v>
      </c>
      <c r="G609" s="112">
        <v>24</v>
      </c>
      <c r="H609" s="112">
        <v>0</v>
      </c>
      <c r="I609" s="113">
        <v>24</v>
      </c>
      <c r="J609"/>
      <c r="K609"/>
      <c r="L609"/>
      <c r="M609"/>
      <c r="N609"/>
    </row>
    <row r="610" spans="1:14" x14ac:dyDescent="0.3">
      <c r="A610" s="102" t="s">
        <v>1149</v>
      </c>
      <c r="B610" s="102" t="s">
        <v>2227</v>
      </c>
      <c r="C610" s="107" t="s">
        <v>54</v>
      </c>
      <c r="D610" s="102">
        <v>6</v>
      </c>
      <c r="E610" s="111">
        <v>15661.01</v>
      </c>
      <c r="F610" s="112">
        <v>44591.23</v>
      </c>
      <c r="G610" s="112">
        <v>41527.199999999997</v>
      </c>
      <c r="H610" s="112">
        <v>828213.87</v>
      </c>
      <c r="I610" s="113">
        <v>929993.31</v>
      </c>
      <c r="J610"/>
      <c r="K610"/>
      <c r="L610"/>
      <c r="M610"/>
      <c r="N610"/>
    </row>
    <row r="611" spans="1:14" x14ac:dyDescent="0.3">
      <c r="A611" s="102" t="s">
        <v>1150</v>
      </c>
      <c r="B611" s="102" t="s">
        <v>2096</v>
      </c>
      <c r="C611" s="107" t="s">
        <v>54</v>
      </c>
      <c r="D611" s="102">
        <v>6</v>
      </c>
      <c r="E611" s="111">
        <v>0</v>
      </c>
      <c r="F611" s="112">
        <v>18071.580000000002</v>
      </c>
      <c r="G611" s="112">
        <v>152.38</v>
      </c>
      <c r="H611" s="112">
        <v>289679.35999999999</v>
      </c>
      <c r="I611" s="113">
        <v>307903.32</v>
      </c>
      <c r="J611"/>
      <c r="K611"/>
      <c r="L611"/>
      <c r="M611"/>
      <c r="N611"/>
    </row>
    <row r="612" spans="1:14" x14ac:dyDescent="0.3">
      <c r="A612" s="102" t="s">
        <v>1151</v>
      </c>
      <c r="B612" s="102" t="s">
        <v>2228</v>
      </c>
      <c r="C612" s="107" t="s">
        <v>54</v>
      </c>
      <c r="D612" s="102">
        <v>4</v>
      </c>
      <c r="E612" s="111">
        <v>0</v>
      </c>
      <c r="F612" s="112">
        <v>0</v>
      </c>
      <c r="G612" s="112">
        <v>0</v>
      </c>
      <c r="H612" s="112">
        <v>0</v>
      </c>
      <c r="I612" s="113">
        <v>0</v>
      </c>
      <c r="J612"/>
      <c r="K612"/>
      <c r="L612"/>
      <c r="M612"/>
      <c r="N612"/>
    </row>
    <row r="613" spans="1:14" x14ac:dyDescent="0.3">
      <c r="A613" s="102" t="s">
        <v>1152</v>
      </c>
      <c r="B613" s="102" t="s">
        <v>2229</v>
      </c>
      <c r="C613" s="107" t="s">
        <v>54</v>
      </c>
      <c r="D613" s="102">
        <v>6</v>
      </c>
      <c r="E613" s="111">
        <v>0</v>
      </c>
      <c r="F613" s="112">
        <v>0</v>
      </c>
      <c r="G613" s="112">
        <v>0</v>
      </c>
      <c r="H613" s="112">
        <v>0</v>
      </c>
      <c r="I613" s="113">
        <v>0</v>
      </c>
      <c r="J613"/>
      <c r="K613"/>
      <c r="L613"/>
      <c r="M613"/>
      <c r="N613"/>
    </row>
    <row r="614" spans="1:14" x14ac:dyDescent="0.3">
      <c r="A614" s="102" t="s">
        <v>1153</v>
      </c>
      <c r="B614" s="102" t="s">
        <v>2230</v>
      </c>
      <c r="C614" s="107" t="s">
        <v>54</v>
      </c>
      <c r="D614" s="102">
        <v>6</v>
      </c>
      <c r="E614" s="111">
        <v>0</v>
      </c>
      <c r="F614" s="112">
        <v>0</v>
      </c>
      <c r="G614" s="112">
        <v>0</v>
      </c>
      <c r="H614" s="112">
        <v>0</v>
      </c>
      <c r="I614" s="113">
        <v>0</v>
      </c>
      <c r="J614"/>
      <c r="K614"/>
      <c r="L614"/>
      <c r="M614"/>
      <c r="N614"/>
    </row>
    <row r="615" spans="1:14" x14ac:dyDescent="0.3">
      <c r="A615" s="102" t="s">
        <v>1154</v>
      </c>
      <c r="B615" s="102" t="s">
        <v>2231</v>
      </c>
      <c r="C615" s="107" t="s">
        <v>54</v>
      </c>
      <c r="D615" s="102">
        <v>6</v>
      </c>
      <c r="E615" s="111">
        <v>0</v>
      </c>
      <c r="F615" s="112">
        <v>0</v>
      </c>
      <c r="G615" s="112">
        <v>0</v>
      </c>
      <c r="H615" s="112">
        <v>0</v>
      </c>
      <c r="I615" s="113">
        <v>0</v>
      </c>
      <c r="J615"/>
      <c r="K615"/>
      <c r="L615"/>
      <c r="M615"/>
      <c r="N615"/>
    </row>
    <row r="616" spans="1:14" x14ac:dyDescent="0.3">
      <c r="A616" s="102" t="s">
        <v>1155</v>
      </c>
      <c r="B616" s="102" t="s">
        <v>2232</v>
      </c>
      <c r="C616" s="107" t="s">
        <v>54</v>
      </c>
      <c r="D616" s="102">
        <v>6</v>
      </c>
      <c r="E616" s="111">
        <v>0</v>
      </c>
      <c r="F616" s="112">
        <v>0</v>
      </c>
      <c r="G616" s="112">
        <v>0</v>
      </c>
      <c r="H616" s="112">
        <v>0</v>
      </c>
      <c r="I616" s="113">
        <v>0</v>
      </c>
      <c r="J616"/>
      <c r="K616"/>
      <c r="L616"/>
      <c r="M616"/>
      <c r="N616"/>
    </row>
    <row r="617" spans="1:14" x14ac:dyDescent="0.3">
      <c r="A617" s="102" t="s">
        <v>1156</v>
      </c>
      <c r="B617" s="102" t="s">
        <v>2233</v>
      </c>
      <c r="C617" s="107" t="s">
        <v>54</v>
      </c>
      <c r="D617" s="102">
        <v>6</v>
      </c>
      <c r="E617" s="111">
        <v>0</v>
      </c>
      <c r="F617" s="112">
        <v>0</v>
      </c>
      <c r="G617" s="112">
        <v>0</v>
      </c>
      <c r="H617" s="112">
        <v>0</v>
      </c>
      <c r="I617" s="113">
        <v>0</v>
      </c>
      <c r="J617"/>
      <c r="K617"/>
      <c r="L617"/>
      <c r="M617"/>
      <c r="N617"/>
    </row>
    <row r="618" spans="1:14" x14ac:dyDescent="0.3">
      <c r="A618" s="102" t="s">
        <v>1157</v>
      </c>
      <c r="B618" s="102" t="s">
        <v>2234</v>
      </c>
      <c r="C618" s="107" t="s">
        <v>54</v>
      </c>
      <c r="D618" s="102">
        <v>6</v>
      </c>
      <c r="E618" s="111">
        <v>0</v>
      </c>
      <c r="F618" s="112">
        <v>0</v>
      </c>
      <c r="G618" s="112">
        <v>0</v>
      </c>
      <c r="H618" s="112">
        <v>0</v>
      </c>
      <c r="I618" s="113">
        <v>0</v>
      </c>
      <c r="J618"/>
      <c r="K618"/>
      <c r="L618"/>
      <c r="M618"/>
      <c r="N618"/>
    </row>
    <row r="619" spans="1:14" x14ac:dyDescent="0.3">
      <c r="A619" s="102" t="s">
        <v>1158</v>
      </c>
      <c r="B619" s="102" t="s">
        <v>2235</v>
      </c>
      <c r="C619" s="107" t="s">
        <v>54</v>
      </c>
      <c r="D619" s="102">
        <v>6</v>
      </c>
      <c r="E619" s="111">
        <v>0</v>
      </c>
      <c r="F619" s="112">
        <v>0</v>
      </c>
      <c r="G619" s="112">
        <v>0</v>
      </c>
      <c r="H619" s="112">
        <v>0</v>
      </c>
      <c r="I619" s="113">
        <v>0</v>
      </c>
      <c r="J619"/>
      <c r="K619"/>
      <c r="L619"/>
      <c r="M619"/>
      <c r="N619"/>
    </row>
    <row r="620" spans="1:14" x14ac:dyDescent="0.3">
      <c r="A620" s="102" t="s">
        <v>1159</v>
      </c>
      <c r="B620" s="102" t="s">
        <v>2236</v>
      </c>
      <c r="C620" s="107" t="s">
        <v>54</v>
      </c>
      <c r="D620" s="102">
        <v>6</v>
      </c>
      <c r="E620" s="111">
        <v>0</v>
      </c>
      <c r="F620" s="112">
        <v>0</v>
      </c>
      <c r="G620" s="112">
        <v>0</v>
      </c>
      <c r="H620" s="112">
        <v>0</v>
      </c>
      <c r="I620" s="113">
        <v>0</v>
      </c>
      <c r="J620"/>
      <c r="K620"/>
      <c r="L620"/>
      <c r="M620"/>
      <c r="N620"/>
    </row>
    <row r="621" spans="1:14" x14ac:dyDescent="0.3">
      <c r="A621" s="102" t="s">
        <v>1160</v>
      </c>
      <c r="B621" s="102" t="s">
        <v>2237</v>
      </c>
      <c r="C621" s="107" t="s">
        <v>54</v>
      </c>
      <c r="D621" s="102">
        <v>4</v>
      </c>
      <c r="E621" s="111">
        <v>0</v>
      </c>
      <c r="F621" s="112">
        <v>0</v>
      </c>
      <c r="G621" s="112">
        <v>0</v>
      </c>
      <c r="H621" s="112">
        <v>8323722.4299999997</v>
      </c>
      <c r="I621" s="113">
        <v>8323722.4299999997</v>
      </c>
      <c r="J621"/>
      <c r="K621"/>
      <c r="L621"/>
      <c r="M621"/>
      <c r="N621"/>
    </row>
    <row r="622" spans="1:14" x14ac:dyDescent="0.3">
      <c r="A622" s="102" t="s">
        <v>1161</v>
      </c>
      <c r="B622" s="102" t="s">
        <v>2238</v>
      </c>
      <c r="C622" s="107" t="s">
        <v>54</v>
      </c>
      <c r="D622" s="102">
        <v>4</v>
      </c>
      <c r="E622" s="111">
        <v>128430.01</v>
      </c>
      <c r="F622" s="112">
        <v>7661.48</v>
      </c>
      <c r="G622" s="112">
        <v>42855.48</v>
      </c>
      <c r="H622" s="112">
        <v>12034095.890000001</v>
      </c>
      <c r="I622" s="113">
        <v>12213042.859999999</v>
      </c>
      <c r="J622"/>
      <c r="K622"/>
      <c r="L622"/>
      <c r="M622"/>
      <c r="N622"/>
    </row>
    <row r="623" spans="1:14" x14ac:dyDescent="0.3">
      <c r="A623" s="102" t="s">
        <v>1162</v>
      </c>
      <c r="B623" s="102" t="s">
        <v>2239</v>
      </c>
      <c r="C623" s="107" t="s">
        <v>54</v>
      </c>
      <c r="D623" s="102">
        <v>6</v>
      </c>
      <c r="E623" s="111">
        <v>8088.68</v>
      </c>
      <c r="F623" s="112">
        <v>0</v>
      </c>
      <c r="G623" s="112">
        <v>782.5</v>
      </c>
      <c r="H623" s="112">
        <v>17252.05</v>
      </c>
      <c r="I623" s="113">
        <v>26123.23</v>
      </c>
      <c r="J623"/>
      <c r="K623"/>
      <c r="L623"/>
      <c r="M623"/>
      <c r="N623"/>
    </row>
    <row r="624" spans="1:14" x14ac:dyDescent="0.3">
      <c r="A624" s="102" t="s">
        <v>1163</v>
      </c>
      <c r="B624" s="102" t="s">
        <v>2240</v>
      </c>
      <c r="C624" s="107" t="s">
        <v>54</v>
      </c>
      <c r="D624" s="102">
        <v>6</v>
      </c>
      <c r="E624" s="111">
        <v>0</v>
      </c>
      <c r="F624" s="112">
        <v>0</v>
      </c>
      <c r="G624" s="112">
        <v>0</v>
      </c>
      <c r="H624" s="112">
        <v>0</v>
      </c>
      <c r="I624" s="113">
        <v>0</v>
      </c>
      <c r="J624"/>
      <c r="K624"/>
      <c r="L624"/>
      <c r="M624"/>
      <c r="N624"/>
    </row>
    <row r="625" spans="1:14" x14ac:dyDescent="0.3">
      <c r="A625" s="102" t="s">
        <v>1164</v>
      </c>
      <c r="B625" s="102" t="s">
        <v>2241</v>
      </c>
      <c r="C625" s="107" t="s">
        <v>54</v>
      </c>
      <c r="D625" s="102">
        <v>6</v>
      </c>
      <c r="E625" s="111">
        <v>0</v>
      </c>
      <c r="F625" s="112">
        <v>1</v>
      </c>
      <c r="G625" s="112">
        <v>0</v>
      </c>
      <c r="H625" s="112">
        <v>0</v>
      </c>
      <c r="I625" s="113">
        <v>1</v>
      </c>
      <c r="J625"/>
      <c r="K625"/>
      <c r="L625"/>
      <c r="M625"/>
      <c r="N625"/>
    </row>
    <row r="626" spans="1:14" x14ac:dyDescent="0.3">
      <c r="A626" s="102" t="s">
        <v>1165</v>
      </c>
      <c r="B626" s="102" t="s">
        <v>2242</v>
      </c>
      <c r="C626" s="107" t="s">
        <v>54</v>
      </c>
      <c r="D626" s="102">
        <v>6</v>
      </c>
      <c r="E626" s="111">
        <v>0</v>
      </c>
      <c r="F626" s="112">
        <v>0</v>
      </c>
      <c r="G626" s="112">
        <v>639.92999999999995</v>
      </c>
      <c r="H626" s="112">
        <v>0</v>
      </c>
      <c r="I626" s="113">
        <v>639.92999999999995</v>
      </c>
      <c r="J626"/>
      <c r="K626"/>
      <c r="L626"/>
      <c r="M626"/>
      <c r="N626"/>
    </row>
    <row r="627" spans="1:14" x14ac:dyDescent="0.3">
      <c r="A627" s="102" t="s">
        <v>1166</v>
      </c>
      <c r="B627" s="102" t="s">
        <v>2243</v>
      </c>
      <c r="C627" s="107" t="s">
        <v>54</v>
      </c>
      <c r="D627" s="102">
        <v>6</v>
      </c>
      <c r="E627" s="111">
        <v>0</v>
      </c>
      <c r="F627" s="112">
        <v>0</v>
      </c>
      <c r="G627" s="112">
        <v>0</v>
      </c>
      <c r="H627" s="112">
        <v>0</v>
      </c>
      <c r="I627" s="113">
        <v>0</v>
      </c>
      <c r="J627"/>
      <c r="K627"/>
      <c r="L627"/>
      <c r="M627"/>
      <c r="N627"/>
    </row>
    <row r="628" spans="1:14" x14ac:dyDescent="0.3">
      <c r="A628" s="102" t="s">
        <v>1167</v>
      </c>
      <c r="B628" s="102" t="s">
        <v>2244</v>
      </c>
      <c r="C628" s="107" t="s">
        <v>54</v>
      </c>
      <c r="D628" s="102">
        <v>6</v>
      </c>
      <c r="E628" s="111">
        <v>17472.43</v>
      </c>
      <c r="F628" s="112">
        <v>0</v>
      </c>
      <c r="G628" s="112">
        <v>0</v>
      </c>
      <c r="H628" s="112">
        <v>51999.89</v>
      </c>
      <c r="I628" s="113">
        <v>69472.320000000007</v>
      </c>
      <c r="J628"/>
      <c r="K628"/>
      <c r="L628"/>
      <c r="M628"/>
      <c r="N628"/>
    </row>
    <row r="629" spans="1:14" x14ac:dyDescent="0.3">
      <c r="A629" s="102" t="s">
        <v>1168</v>
      </c>
      <c r="B629" s="102" t="s">
        <v>2245</v>
      </c>
      <c r="C629" s="107" t="s">
        <v>54</v>
      </c>
      <c r="D629" s="102">
        <v>6</v>
      </c>
      <c r="E629" s="111">
        <v>0</v>
      </c>
      <c r="F629" s="112">
        <v>0</v>
      </c>
      <c r="G629" s="112">
        <v>0</v>
      </c>
      <c r="H629" s="112">
        <v>0</v>
      </c>
      <c r="I629" s="113">
        <v>0</v>
      </c>
      <c r="J629"/>
      <c r="K629"/>
      <c r="L629"/>
      <c r="M629"/>
      <c r="N629"/>
    </row>
    <row r="630" spans="1:14" x14ac:dyDescent="0.3">
      <c r="A630" s="102" t="s">
        <v>1169</v>
      </c>
      <c r="B630" s="102" t="s">
        <v>2246</v>
      </c>
      <c r="C630" s="107" t="s">
        <v>54</v>
      </c>
      <c r="D630" s="102">
        <v>6</v>
      </c>
      <c r="E630" s="111">
        <v>0</v>
      </c>
      <c r="F630" s="112">
        <v>0</v>
      </c>
      <c r="G630" s="112">
        <v>0</v>
      </c>
      <c r="H630" s="112">
        <v>0</v>
      </c>
      <c r="I630" s="113">
        <v>0</v>
      </c>
      <c r="J630"/>
      <c r="K630"/>
      <c r="L630"/>
      <c r="M630"/>
      <c r="N630"/>
    </row>
    <row r="631" spans="1:14" x14ac:dyDescent="0.3">
      <c r="A631" s="102" t="s">
        <v>1170</v>
      </c>
      <c r="B631" s="102" t="s">
        <v>2217</v>
      </c>
      <c r="C631" s="107" t="s">
        <v>54</v>
      </c>
      <c r="D631" s="102">
        <v>6</v>
      </c>
      <c r="E631" s="111">
        <v>102868.9</v>
      </c>
      <c r="F631" s="112">
        <v>7660.48</v>
      </c>
      <c r="G631" s="112">
        <v>41433.050000000003</v>
      </c>
      <c r="H631" s="112">
        <v>11964843.949999999</v>
      </c>
      <c r="I631" s="113">
        <v>12116806.380000001</v>
      </c>
      <c r="J631"/>
      <c r="K631"/>
      <c r="L631"/>
      <c r="M631"/>
      <c r="N631"/>
    </row>
    <row r="632" spans="1:14" x14ac:dyDescent="0.3">
      <c r="A632" s="102" t="s">
        <v>1171</v>
      </c>
      <c r="B632" s="102" t="s">
        <v>2247</v>
      </c>
      <c r="C632" s="107" t="s">
        <v>54</v>
      </c>
      <c r="D632" s="102">
        <v>4</v>
      </c>
      <c r="E632" s="111">
        <v>-20025.150000000001</v>
      </c>
      <c r="F632" s="112">
        <v>-54211.839999999997</v>
      </c>
      <c r="G632" s="112">
        <v>-47808.959999999999</v>
      </c>
      <c r="H632" s="112">
        <v>-10111296.189999999</v>
      </c>
      <c r="I632" s="113">
        <v>-10233342.140000001</v>
      </c>
      <c r="J632"/>
      <c r="K632"/>
      <c r="L632"/>
      <c r="M632"/>
      <c r="N632"/>
    </row>
    <row r="633" spans="1:14" x14ac:dyDescent="0.3">
      <c r="A633" s="102" t="s">
        <v>1172</v>
      </c>
      <c r="B633" s="102" t="s">
        <v>2248</v>
      </c>
      <c r="C633" s="107" t="s">
        <v>54</v>
      </c>
      <c r="D633" s="102">
        <v>6</v>
      </c>
      <c r="E633" s="111">
        <v>0</v>
      </c>
      <c r="F633" s="112">
        <v>-678.17</v>
      </c>
      <c r="G633" s="112">
        <v>0</v>
      </c>
      <c r="H633" s="112">
        <v>-513.5</v>
      </c>
      <c r="I633" s="113">
        <v>-1191.67</v>
      </c>
      <c r="J633"/>
      <c r="K633"/>
      <c r="L633"/>
      <c r="M633"/>
      <c r="N633"/>
    </row>
    <row r="634" spans="1:14" x14ac:dyDescent="0.3">
      <c r="A634" s="102" t="s">
        <v>1173</v>
      </c>
      <c r="B634" s="102" t="s">
        <v>2249</v>
      </c>
      <c r="C634" s="107" t="s">
        <v>54</v>
      </c>
      <c r="D634" s="102">
        <v>6</v>
      </c>
      <c r="E634" s="111">
        <v>-20025.150000000001</v>
      </c>
      <c r="F634" s="112">
        <v>-53533.67</v>
      </c>
      <c r="G634" s="112">
        <v>-47808.959999999999</v>
      </c>
      <c r="H634" s="112">
        <v>-10110782.689999999</v>
      </c>
      <c r="I634" s="113">
        <v>-10232150.470000001</v>
      </c>
      <c r="J634"/>
      <c r="K634"/>
      <c r="L634"/>
      <c r="M634"/>
      <c r="N634"/>
    </row>
    <row r="635" spans="1:14" x14ac:dyDescent="0.3">
      <c r="A635" s="102" t="s">
        <v>1174</v>
      </c>
      <c r="B635" s="102" t="s">
        <v>2250</v>
      </c>
      <c r="C635" s="107" t="s">
        <v>54</v>
      </c>
      <c r="D635" s="102">
        <v>2</v>
      </c>
      <c r="E635" s="111">
        <v>3043593.51</v>
      </c>
      <c r="F635" s="112">
        <v>2320152.6800000002</v>
      </c>
      <c r="G635" s="112">
        <v>896196.21</v>
      </c>
      <c r="H635" s="112">
        <v>25304142.5</v>
      </c>
      <c r="I635" s="113">
        <v>31564084.899999999</v>
      </c>
      <c r="J635"/>
      <c r="K635"/>
      <c r="L635"/>
      <c r="M635"/>
      <c r="N635"/>
    </row>
    <row r="636" spans="1:14" x14ac:dyDescent="0.3">
      <c r="A636" s="102" t="s">
        <v>1979</v>
      </c>
      <c r="B636" s="102" t="s">
        <v>2251</v>
      </c>
      <c r="C636" s="107" t="s">
        <v>54</v>
      </c>
      <c r="D636" s="102">
        <v>4</v>
      </c>
      <c r="E636" s="111">
        <v>3043593.51</v>
      </c>
      <c r="F636" s="112">
        <v>1961437.34</v>
      </c>
      <c r="G636" s="112">
        <v>862162.31</v>
      </c>
      <c r="H636" s="112">
        <v>13738130.619999999</v>
      </c>
      <c r="I636" s="113">
        <v>19605323.780000001</v>
      </c>
      <c r="J636"/>
      <c r="K636"/>
      <c r="L636"/>
      <c r="M636"/>
      <c r="N636"/>
    </row>
    <row r="637" spans="1:14" x14ac:dyDescent="0.3">
      <c r="A637" s="102" t="s">
        <v>1974</v>
      </c>
      <c r="B637" s="102" t="s">
        <v>2252</v>
      </c>
      <c r="C637" s="107" t="s">
        <v>54</v>
      </c>
      <c r="D637" s="102">
        <v>6</v>
      </c>
      <c r="E637" s="111">
        <v>292641.48</v>
      </c>
      <c r="F637" s="112">
        <v>1820248.78</v>
      </c>
      <c r="G637" s="112">
        <v>855185.76</v>
      </c>
      <c r="H637" s="112">
        <v>9306786.9800000004</v>
      </c>
      <c r="I637" s="113">
        <v>12274863</v>
      </c>
      <c r="J637"/>
      <c r="K637"/>
      <c r="L637"/>
      <c r="M637"/>
      <c r="N637"/>
    </row>
    <row r="638" spans="1:14" x14ac:dyDescent="0.3">
      <c r="A638" s="102" t="s">
        <v>1980</v>
      </c>
      <c r="B638" s="102" t="s">
        <v>2253</v>
      </c>
      <c r="C638" s="107" t="s">
        <v>54</v>
      </c>
      <c r="D638" s="102">
        <v>6</v>
      </c>
      <c r="E638" s="111">
        <v>0</v>
      </c>
      <c r="F638" s="112">
        <v>140044.93</v>
      </c>
      <c r="G638" s="112">
        <v>0</v>
      </c>
      <c r="H638" s="112">
        <v>0</v>
      </c>
      <c r="I638" s="113">
        <v>140044.93</v>
      </c>
      <c r="J638"/>
      <c r="K638"/>
      <c r="L638"/>
      <c r="M638"/>
      <c r="N638"/>
    </row>
    <row r="639" spans="1:14" x14ac:dyDescent="0.3">
      <c r="A639" s="102" t="s">
        <v>1966</v>
      </c>
      <c r="B639" s="102" t="s">
        <v>2254</v>
      </c>
      <c r="C639" s="107" t="s">
        <v>54</v>
      </c>
      <c r="D639" s="102">
        <v>6</v>
      </c>
      <c r="E639" s="111">
        <v>0</v>
      </c>
      <c r="F639" s="112">
        <v>1143.6300000000001</v>
      </c>
      <c r="G639" s="112">
        <v>0</v>
      </c>
      <c r="H639" s="112">
        <v>1207532.71</v>
      </c>
      <c r="I639" s="113">
        <v>1208676.3400000001</v>
      </c>
      <c r="J639"/>
      <c r="K639"/>
      <c r="L639"/>
      <c r="M639"/>
      <c r="N639"/>
    </row>
    <row r="640" spans="1:14" x14ac:dyDescent="0.3">
      <c r="A640" s="102" t="s">
        <v>1978</v>
      </c>
      <c r="B640" s="102" t="s">
        <v>2255</v>
      </c>
      <c r="C640" s="107" t="s">
        <v>54</v>
      </c>
      <c r="D640" s="102">
        <v>6</v>
      </c>
      <c r="E640" s="111">
        <v>2750952.03</v>
      </c>
      <c r="F640" s="112">
        <v>0</v>
      </c>
      <c r="G640" s="112">
        <v>6976.55</v>
      </c>
      <c r="H640" s="112">
        <v>3223810.93</v>
      </c>
      <c r="I640" s="113">
        <v>5981739.5099999998</v>
      </c>
      <c r="J640"/>
      <c r="K640"/>
      <c r="L640"/>
      <c r="M640"/>
      <c r="N640"/>
    </row>
    <row r="641" spans="1:14" x14ac:dyDescent="0.3">
      <c r="A641" s="102" t="s">
        <v>1175</v>
      </c>
      <c r="B641" s="102" t="s">
        <v>2256</v>
      </c>
      <c r="C641" s="107" t="s">
        <v>54</v>
      </c>
      <c r="D641" s="102">
        <v>4</v>
      </c>
      <c r="E641" s="111">
        <v>2961.9</v>
      </c>
      <c r="F641" s="112">
        <v>431663.6</v>
      </c>
      <c r="G641" s="112">
        <v>6</v>
      </c>
      <c r="H641" s="112">
        <v>5258368.4800000004</v>
      </c>
      <c r="I641" s="113">
        <v>5692999.9799999995</v>
      </c>
      <c r="J641"/>
      <c r="K641"/>
      <c r="L641"/>
      <c r="M641"/>
      <c r="N641"/>
    </row>
    <row r="642" spans="1:14" x14ac:dyDescent="0.3">
      <c r="A642" s="102" t="s">
        <v>1176</v>
      </c>
      <c r="B642" s="102" t="s">
        <v>2252</v>
      </c>
      <c r="C642" s="107" t="s">
        <v>54</v>
      </c>
      <c r="D642" s="102">
        <v>6</v>
      </c>
      <c r="E642" s="111">
        <v>2961.9</v>
      </c>
      <c r="F642" s="112">
        <v>300167.03999999998</v>
      </c>
      <c r="G642" s="112">
        <v>0</v>
      </c>
      <c r="H642" s="112">
        <v>1782610.09</v>
      </c>
      <c r="I642" s="113">
        <v>2085739.03</v>
      </c>
      <c r="J642"/>
      <c r="K642"/>
      <c r="L642"/>
      <c r="M642"/>
      <c r="N642"/>
    </row>
    <row r="643" spans="1:14" x14ac:dyDescent="0.3">
      <c r="A643" s="102" t="s">
        <v>1177</v>
      </c>
      <c r="B643" s="102" t="s">
        <v>2257</v>
      </c>
      <c r="C643" s="107" t="s">
        <v>54</v>
      </c>
      <c r="D643" s="102">
        <v>6</v>
      </c>
      <c r="E643" s="111">
        <v>0</v>
      </c>
      <c r="F643" s="112">
        <v>131496.56</v>
      </c>
      <c r="G643" s="112">
        <v>0</v>
      </c>
      <c r="H643" s="112">
        <v>773259.18</v>
      </c>
      <c r="I643" s="113">
        <v>904755.74</v>
      </c>
      <c r="J643"/>
      <c r="K643"/>
      <c r="L643"/>
      <c r="M643"/>
      <c r="N643"/>
    </row>
    <row r="644" spans="1:14" x14ac:dyDescent="0.3">
      <c r="A644" s="102" t="s">
        <v>1178</v>
      </c>
      <c r="B644" s="102" t="s">
        <v>2258</v>
      </c>
      <c r="C644" s="107" t="s">
        <v>54</v>
      </c>
      <c r="D644" s="102">
        <v>6</v>
      </c>
      <c r="E644" s="111">
        <v>0</v>
      </c>
      <c r="F644" s="112">
        <v>0</v>
      </c>
      <c r="G644" s="112">
        <v>0</v>
      </c>
      <c r="H644" s="112">
        <v>2702499.21</v>
      </c>
      <c r="I644" s="113">
        <v>2702499.21</v>
      </c>
      <c r="J644"/>
      <c r="K644"/>
      <c r="L644"/>
      <c r="M644"/>
      <c r="N644"/>
    </row>
    <row r="645" spans="1:14" x14ac:dyDescent="0.3">
      <c r="A645" s="102" t="s">
        <v>1179</v>
      </c>
      <c r="B645" s="102" t="s">
        <v>2259</v>
      </c>
      <c r="C645" s="107" t="s">
        <v>54</v>
      </c>
      <c r="D645" s="102">
        <v>6</v>
      </c>
      <c r="E645" s="111">
        <v>0</v>
      </c>
      <c r="F645" s="112">
        <v>0</v>
      </c>
      <c r="G645" s="112">
        <v>0</v>
      </c>
      <c r="H645" s="112">
        <v>0</v>
      </c>
      <c r="I645" s="113">
        <v>0</v>
      </c>
      <c r="J645"/>
      <c r="K645"/>
      <c r="L645"/>
      <c r="M645"/>
      <c r="N645"/>
    </row>
    <row r="646" spans="1:14" x14ac:dyDescent="0.3">
      <c r="A646" s="102" t="s">
        <v>1180</v>
      </c>
      <c r="B646" s="102" t="s">
        <v>2260</v>
      </c>
      <c r="C646" s="107" t="s">
        <v>54</v>
      </c>
      <c r="D646" s="102">
        <v>6</v>
      </c>
      <c r="E646" s="111">
        <v>0</v>
      </c>
      <c r="F646" s="112">
        <v>0</v>
      </c>
      <c r="G646" s="112">
        <v>0</v>
      </c>
      <c r="H646" s="112">
        <v>0</v>
      </c>
      <c r="I646" s="113">
        <v>0</v>
      </c>
      <c r="J646"/>
      <c r="K646"/>
      <c r="L646"/>
      <c r="M646"/>
      <c r="N646"/>
    </row>
    <row r="647" spans="1:14" x14ac:dyDescent="0.3">
      <c r="A647" s="102" t="s">
        <v>1181</v>
      </c>
      <c r="B647" s="102" t="s">
        <v>2096</v>
      </c>
      <c r="C647" s="107" t="s">
        <v>54</v>
      </c>
      <c r="D647" s="102">
        <v>6</v>
      </c>
      <c r="E647" s="111">
        <v>0</v>
      </c>
      <c r="F647" s="112">
        <v>0</v>
      </c>
      <c r="G647" s="112">
        <v>6</v>
      </c>
      <c r="H647" s="112">
        <v>0</v>
      </c>
      <c r="I647" s="113">
        <v>6</v>
      </c>
      <c r="J647"/>
      <c r="K647"/>
      <c r="L647"/>
      <c r="M647"/>
      <c r="N647"/>
    </row>
    <row r="648" spans="1:14" x14ac:dyDescent="0.3">
      <c r="A648" s="102" t="s">
        <v>1975</v>
      </c>
      <c r="B648" s="102" t="s">
        <v>2261</v>
      </c>
      <c r="C648" s="107" t="s">
        <v>54</v>
      </c>
      <c r="D648" s="102">
        <v>4</v>
      </c>
      <c r="E648" s="111">
        <v>0</v>
      </c>
      <c r="F648" s="112">
        <v>0</v>
      </c>
      <c r="G648" s="112">
        <v>0</v>
      </c>
      <c r="H648" s="112">
        <v>39770.400000000001</v>
      </c>
      <c r="I648" s="113">
        <v>39770.400000000001</v>
      </c>
      <c r="J648"/>
      <c r="K648"/>
      <c r="L648"/>
      <c r="M648"/>
      <c r="N648"/>
    </row>
    <row r="649" spans="1:14" x14ac:dyDescent="0.3">
      <c r="A649" s="102" t="s">
        <v>1969</v>
      </c>
      <c r="B649" s="102" t="s">
        <v>2262</v>
      </c>
      <c r="C649" s="107" t="s">
        <v>54</v>
      </c>
      <c r="D649" s="102">
        <v>6</v>
      </c>
      <c r="E649" s="111">
        <v>0</v>
      </c>
      <c r="F649" s="112">
        <v>0</v>
      </c>
      <c r="G649" s="112">
        <v>0</v>
      </c>
      <c r="H649" s="112">
        <v>39770.400000000001</v>
      </c>
      <c r="I649" s="113">
        <v>39770.400000000001</v>
      </c>
      <c r="J649"/>
      <c r="K649"/>
      <c r="L649"/>
      <c r="M649"/>
      <c r="N649"/>
    </row>
    <row r="650" spans="1:14" x14ac:dyDescent="0.3">
      <c r="A650" s="102" t="s">
        <v>1970</v>
      </c>
      <c r="B650" s="102" t="s">
        <v>2263</v>
      </c>
      <c r="C650" s="107" t="s">
        <v>54</v>
      </c>
      <c r="D650" s="102">
        <v>6</v>
      </c>
      <c r="E650" s="111">
        <v>0</v>
      </c>
      <c r="F650" s="112">
        <v>0</v>
      </c>
      <c r="G650" s="112">
        <v>0</v>
      </c>
      <c r="H650" s="112">
        <v>0</v>
      </c>
      <c r="I650" s="113">
        <v>0</v>
      </c>
      <c r="J650"/>
      <c r="K650"/>
      <c r="L650"/>
      <c r="M650"/>
      <c r="N650"/>
    </row>
    <row r="651" spans="1:14" x14ac:dyDescent="0.3">
      <c r="A651" s="102" t="s">
        <v>1973</v>
      </c>
      <c r="B651" s="102" t="s">
        <v>2264</v>
      </c>
      <c r="C651" s="107" t="s">
        <v>54</v>
      </c>
      <c r="D651" s="102">
        <v>4</v>
      </c>
      <c r="E651" s="111">
        <v>0</v>
      </c>
      <c r="F651" s="112">
        <v>0</v>
      </c>
      <c r="G651" s="112">
        <v>0</v>
      </c>
      <c r="H651" s="112">
        <v>12406.69</v>
      </c>
      <c r="I651" s="113">
        <v>12406.69</v>
      </c>
      <c r="J651"/>
      <c r="K651"/>
      <c r="L651"/>
      <c r="M651"/>
      <c r="N651"/>
    </row>
    <row r="652" spans="1:14" x14ac:dyDescent="0.3">
      <c r="A652" s="102" t="s">
        <v>1972</v>
      </c>
      <c r="B652" s="102" t="s">
        <v>2265</v>
      </c>
      <c r="C652" s="107" t="s">
        <v>54</v>
      </c>
      <c r="D652" s="102">
        <v>6</v>
      </c>
      <c r="E652" s="111">
        <v>0</v>
      </c>
      <c r="F652" s="112">
        <v>0</v>
      </c>
      <c r="G652" s="112">
        <v>0</v>
      </c>
      <c r="H652" s="112">
        <v>12406.69</v>
      </c>
      <c r="I652" s="113">
        <v>12406.69</v>
      </c>
      <c r="J652"/>
      <c r="K652"/>
      <c r="L652"/>
      <c r="M652"/>
      <c r="N652"/>
    </row>
    <row r="653" spans="1:14" x14ac:dyDescent="0.3">
      <c r="A653" s="102" t="s">
        <v>1967</v>
      </c>
      <c r="B653" s="102" t="s">
        <v>2266</v>
      </c>
      <c r="C653" s="107" t="s">
        <v>54</v>
      </c>
      <c r="D653" s="102">
        <v>6</v>
      </c>
      <c r="E653" s="111">
        <v>0</v>
      </c>
      <c r="F653" s="112">
        <v>0</v>
      </c>
      <c r="G653" s="112">
        <v>0</v>
      </c>
      <c r="H653" s="112">
        <v>0</v>
      </c>
      <c r="I653" s="113">
        <v>0</v>
      </c>
      <c r="J653"/>
      <c r="K653"/>
      <c r="L653"/>
      <c r="M653"/>
      <c r="N653"/>
    </row>
    <row r="654" spans="1:14" x14ac:dyDescent="0.3">
      <c r="A654" s="102" t="s">
        <v>1968</v>
      </c>
      <c r="B654" s="102" t="s">
        <v>2267</v>
      </c>
      <c r="C654" s="107" t="s">
        <v>54</v>
      </c>
      <c r="D654" s="102">
        <v>6</v>
      </c>
      <c r="E654" s="111">
        <v>0</v>
      </c>
      <c r="F654" s="112">
        <v>0</v>
      </c>
      <c r="G654" s="112">
        <v>0</v>
      </c>
      <c r="H654" s="112">
        <v>0</v>
      </c>
      <c r="I654" s="113">
        <v>0</v>
      </c>
      <c r="J654"/>
      <c r="K654"/>
      <c r="L654"/>
      <c r="M654"/>
      <c r="N654"/>
    </row>
    <row r="655" spans="1:14" x14ac:dyDescent="0.3">
      <c r="A655" s="102" t="s">
        <v>1976</v>
      </c>
      <c r="B655" s="102" t="s">
        <v>2259</v>
      </c>
      <c r="C655" s="107" t="s">
        <v>54</v>
      </c>
      <c r="D655" s="102">
        <v>6</v>
      </c>
      <c r="E655" s="111">
        <v>0</v>
      </c>
      <c r="F655" s="112">
        <v>0</v>
      </c>
      <c r="G655" s="112">
        <v>0</v>
      </c>
      <c r="H655" s="112">
        <v>0</v>
      </c>
      <c r="I655" s="113">
        <v>0</v>
      </c>
      <c r="J655"/>
      <c r="K655"/>
      <c r="L655"/>
      <c r="M655"/>
      <c r="N655"/>
    </row>
    <row r="656" spans="1:14" x14ac:dyDescent="0.3">
      <c r="A656" s="102" t="s">
        <v>1977</v>
      </c>
      <c r="B656" s="102" t="s">
        <v>2268</v>
      </c>
      <c r="C656" s="107" t="s">
        <v>54</v>
      </c>
      <c r="D656" s="102">
        <v>6</v>
      </c>
      <c r="E656" s="111">
        <v>0</v>
      </c>
      <c r="F656" s="112">
        <v>0</v>
      </c>
      <c r="G656" s="112">
        <v>0</v>
      </c>
      <c r="H656" s="112">
        <v>0</v>
      </c>
      <c r="I656" s="113">
        <v>0</v>
      </c>
      <c r="J656"/>
      <c r="K656"/>
      <c r="L656"/>
      <c r="M656"/>
      <c r="N656"/>
    </row>
    <row r="657" spans="1:14" x14ac:dyDescent="0.3">
      <c r="A657" s="102" t="s">
        <v>1971</v>
      </c>
      <c r="B657" s="102" t="s">
        <v>2096</v>
      </c>
      <c r="C657" s="107" t="s">
        <v>54</v>
      </c>
      <c r="D657" s="102">
        <v>6</v>
      </c>
      <c r="E657" s="111">
        <v>0</v>
      </c>
      <c r="F657" s="112">
        <v>0</v>
      </c>
      <c r="G657" s="112">
        <v>0</v>
      </c>
      <c r="H657" s="112">
        <v>0</v>
      </c>
      <c r="I657" s="113">
        <v>0</v>
      </c>
      <c r="J657"/>
      <c r="K657"/>
      <c r="L657"/>
      <c r="M657"/>
      <c r="N657"/>
    </row>
    <row r="658" spans="1:14" x14ac:dyDescent="0.3">
      <c r="A658" s="102" t="s">
        <v>1182</v>
      </c>
      <c r="B658" s="102" t="s">
        <v>2269</v>
      </c>
      <c r="C658" s="107" t="s">
        <v>54</v>
      </c>
      <c r="D658" s="102">
        <v>4</v>
      </c>
      <c r="E658" s="111">
        <v>0</v>
      </c>
      <c r="F658" s="112">
        <v>0</v>
      </c>
      <c r="G658" s="112">
        <v>0</v>
      </c>
      <c r="H658" s="112">
        <v>4176242.36</v>
      </c>
      <c r="I658" s="113">
        <v>4176242.3600000003</v>
      </c>
      <c r="J658"/>
      <c r="K658"/>
      <c r="L658"/>
      <c r="M658"/>
      <c r="N658"/>
    </row>
    <row r="659" spans="1:14" x14ac:dyDescent="0.3">
      <c r="A659" s="102" t="s">
        <v>1183</v>
      </c>
      <c r="B659" s="102" t="s">
        <v>2265</v>
      </c>
      <c r="C659" s="107" t="s">
        <v>54</v>
      </c>
      <c r="D659" s="102">
        <v>6</v>
      </c>
      <c r="E659" s="111">
        <v>0</v>
      </c>
      <c r="F659" s="112">
        <v>0</v>
      </c>
      <c r="G659" s="112">
        <v>0</v>
      </c>
      <c r="H659" s="112">
        <v>4418373.8099999996</v>
      </c>
      <c r="I659" s="113">
        <v>4418373.8100000005</v>
      </c>
      <c r="J659"/>
      <c r="K659"/>
      <c r="L659"/>
      <c r="M659"/>
      <c r="N659"/>
    </row>
    <row r="660" spans="1:14" x14ac:dyDescent="0.3">
      <c r="A660" s="102" t="s">
        <v>1184</v>
      </c>
      <c r="B660" s="102" t="s">
        <v>2266</v>
      </c>
      <c r="C660" s="107" t="s">
        <v>54</v>
      </c>
      <c r="D660" s="102">
        <v>6</v>
      </c>
      <c r="E660" s="111">
        <v>0</v>
      </c>
      <c r="F660" s="112">
        <v>0</v>
      </c>
      <c r="G660" s="112">
        <v>0</v>
      </c>
      <c r="H660" s="112">
        <v>0</v>
      </c>
      <c r="I660" s="113">
        <v>0</v>
      </c>
      <c r="J660"/>
      <c r="K660"/>
      <c r="L660"/>
      <c r="M660"/>
      <c r="N660"/>
    </row>
    <row r="661" spans="1:14" x14ac:dyDescent="0.3">
      <c r="A661" s="102" t="s">
        <v>1185</v>
      </c>
      <c r="B661" s="102" t="s">
        <v>2267</v>
      </c>
      <c r="C661" s="107" t="s">
        <v>54</v>
      </c>
      <c r="D661" s="102">
        <v>6</v>
      </c>
      <c r="E661" s="111">
        <v>0</v>
      </c>
      <c r="F661" s="112">
        <v>0</v>
      </c>
      <c r="G661" s="112">
        <v>0</v>
      </c>
      <c r="H661" s="112">
        <v>0</v>
      </c>
      <c r="I661" s="113">
        <v>0</v>
      </c>
      <c r="J661"/>
      <c r="K661"/>
      <c r="L661"/>
      <c r="M661"/>
      <c r="N661"/>
    </row>
    <row r="662" spans="1:14" x14ac:dyDescent="0.3">
      <c r="A662" s="102" t="s">
        <v>1186</v>
      </c>
      <c r="B662" s="102" t="s">
        <v>2259</v>
      </c>
      <c r="C662" s="107" t="s">
        <v>54</v>
      </c>
      <c r="D662" s="102">
        <v>6</v>
      </c>
      <c r="E662" s="111">
        <v>0</v>
      </c>
      <c r="F662" s="112">
        <v>0</v>
      </c>
      <c r="G662" s="112">
        <v>0</v>
      </c>
      <c r="H662" s="112">
        <v>0</v>
      </c>
      <c r="I662" s="113">
        <v>0</v>
      </c>
      <c r="J662"/>
      <c r="K662"/>
      <c r="L662"/>
      <c r="M662"/>
      <c r="N662"/>
    </row>
    <row r="663" spans="1:14" x14ac:dyDescent="0.3">
      <c r="A663" s="102" t="s">
        <v>1981</v>
      </c>
      <c r="B663" s="102" t="s">
        <v>2268</v>
      </c>
      <c r="C663" s="107" t="s">
        <v>54</v>
      </c>
      <c r="D663" s="102">
        <v>6</v>
      </c>
      <c r="E663" s="111">
        <v>0</v>
      </c>
      <c r="F663" s="112">
        <v>0</v>
      </c>
      <c r="G663" s="112">
        <v>0</v>
      </c>
      <c r="H663" s="112">
        <v>0</v>
      </c>
      <c r="I663" s="113">
        <v>0</v>
      </c>
      <c r="J663"/>
      <c r="K663"/>
      <c r="L663"/>
      <c r="M663"/>
      <c r="N663"/>
    </row>
    <row r="664" spans="1:14" x14ac:dyDescent="0.3">
      <c r="A664" s="102" t="s">
        <v>1187</v>
      </c>
      <c r="B664" s="102" t="s">
        <v>2096</v>
      </c>
      <c r="C664" s="107" t="s">
        <v>54</v>
      </c>
      <c r="D664" s="102">
        <v>6</v>
      </c>
      <c r="E664" s="111">
        <v>0</v>
      </c>
      <c r="F664" s="112">
        <v>0</v>
      </c>
      <c r="G664" s="112">
        <v>0</v>
      </c>
      <c r="H664" s="112">
        <v>0</v>
      </c>
      <c r="I664" s="113">
        <v>0</v>
      </c>
      <c r="J664"/>
      <c r="K664"/>
      <c r="L664"/>
      <c r="M664"/>
      <c r="N664"/>
    </row>
    <row r="665" spans="1:14" x14ac:dyDescent="0.3">
      <c r="A665" s="102" t="s">
        <v>1188</v>
      </c>
      <c r="B665" s="102" t="s">
        <v>2270</v>
      </c>
      <c r="C665" s="107" t="s">
        <v>54</v>
      </c>
      <c r="D665" s="102">
        <v>6</v>
      </c>
      <c r="E665" s="111">
        <v>0</v>
      </c>
      <c r="F665" s="112">
        <v>0</v>
      </c>
      <c r="G665" s="112">
        <v>0</v>
      </c>
      <c r="H665" s="112">
        <v>-242131.45</v>
      </c>
      <c r="I665" s="113">
        <v>-242131.45</v>
      </c>
      <c r="J665"/>
      <c r="K665"/>
      <c r="L665"/>
      <c r="M665"/>
      <c r="N665"/>
    </row>
    <row r="666" spans="1:14" x14ac:dyDescent="0.3">
      <c r="A666" s="102" t="s">
        <v>1189</v>
      </c>
      <c r="B666" s="102" t="s">
        <v>2271</v>
      </c>
      <c r="C666" s="107" t="s">
        <v>54</v>
      </c>
      <c r="D666" s="102">
        <v>4</v>
      </c>
      <c r="E666" s="111">
        <v>0</v>
      </c>
      <c r="F666" s="112">
        <v>0</v>
      </c>
      <c r="G666" s="112">
        <v>35449.96</v>
      </c>
      <c r="H666" s="112">
        <v>3850247.21</v>
      </c>
      <c r="I666" s="113">
        <v>3885697.1700000004</v>
      </c>
      <c r="J666"/>
      <c r="K666"/>
      <c r="L666"/>
      <c r="M666"/>
      <c r="N666"/>
    </row>
    <row r="667" spans="1:14" x14ac:dyDescent="0.3">
      <c r="A667" s="102" t="s">
        <v>1190</v>
      </c>
      <c r="B667" s="102" t="s">
        <v>2252</v>
      </c>
      <c r="C667" s="107" t="s">
        <v>54</v>
      </c>
      <c r="D667" s="102">
        <v>6</v>
      </c>
      <c r="E667" s="111">
        <v>0</v>
      </c>
      <c r="F667" s="112">
        <v>0</v>
      </c>
      <c r="G667" s="112">
        <v>11748</v>
      </c>
      <c r="H667" s="112">
        <v>3096646.15</v>
      </c>
      <c r="I667" s="113">
        <v>3108394.15</v>
      </c>
      <c r="J667"/>
      <c r="K667"/>
      <c r="L667"/>
      <c r="M667"/>
      <c r="N667"/>
    </row>
    <row r="668" spans="1:14" x14ac:dyDescent="0.3">
      <c r="A668" s="102" t="s">
        <v>1191</v>
      </c>
      <c r="B668" s="102" t="s">
        <v>2272</v>
      </c>
      <c r="C668" s="107" t="s">
        <v>54</v>
      </c>
      <c r="D668" s="102">
        <v>6</v>
      </c>
      <c r="E668" s="111">
        <v>0</v>
      </c>
      <c r="F668" s="112">
        <v>0</v>
      </c>
      <c r="G668" s="112">
        <v>23701.96</v>
      </c>
      <c r="H668" s="112">
        <v>883130.3</v>
      </c>
      <c r="I668" s="113">
        <v>906832.26</v>
      </c>
      <c r="J668"/>
      <c r="K668"/>
      <c r="L668"/>
      <c r="M668"/>
      <c r="N668"/>
    </row>
    <row r="669" spans="1:14" x14ac:dyDescent="0.3">
      <c r="A669" s="102" t="s">
        <v>1192</v>
      </c>
      <c r="B669" s="102" t="s">
        <v>2273</v>
      </c>
      <c r="C669" s="107" t="s">
        <v>54</v>
      </c>
      <c r="D669" s="102">
        <v>6</v>
      </c>
      <c r="E669" s="111">
        <v>0</v>
      </c>
      <c r="F669" s="112">
        <v>0</v>
      </c>
      <c r="G669" s="112">
        <v>0</v>
      </c>
      <c r="H669" s="112">
        <v>0</v>
      </c>
      <c r="I669" s="113">
        <v>0</v>
      </c>
      <c r="J669"/>
      <c r="K669"/>
      <c r="L669"/>
      <c r="M669"/>
      <c r="N669"/>
    </row>
    <row r="670" spans="1:14" x14ac:dyDescent="0.3">
      <c r="A670" s="102" t="s">
        <v>1193</v>
      </c>
      <c r="B670" s="102" t="s">
        <v>2274</v>
      </c>
      <c r="C670" s="107" t="s">
        <v>54</v>
      </c>
      <c r="D670" s="102">
        <v>6</v>
      </c>
      <c r="E670" s="111">
        <v>0</v>
      </c>
      <c r="F670" s="112">
        <v>0</v>
      </c>
      <c r="G670" s="112">
        <v>0</v>
      </c>
      <c r="H670" s="112">
        <v>0</v>
      </c>
      <c r="I670" s="113">
        <v>0</v>
      </c>
      <c r="J670"/>
      <c r="K670"/>
      <c r="L670"/>
      <c r="M670"/>
      <c r="N670"/>
    </row>
    <row r="671" spans="1:14" x14ac:dyDescent="0.3">
      <c r="A671" s="102" t="s">
        <v>1194</v>
      </c>
      <c r="B671" s="102" t="s">
        <v>2096</v>
      </c>
      <c r="C671" s="107" t="s">
        <v>54</v>
      </c>
      <c r="D671" s="102">
        <v>6</v>
      </c>
      <c r="E671" s="111">
        <v>0</v>
      </c>
      <c r="F671" s="112">
        <v>0</v>
      </c>
      <c r="G671" s="112">
        <v>0</v>
      </c>
      <c r="H671" s="112">
        <v>0</v>
      </c>
      <c r="I671" s="113">
        <v>0</v>
      </c>
      <c r="J671"/>
      <c r="K671"/>
      <c r="L671"/>
      <c r="M671"/>
      <c r="N671"/>
    </row>
    <row r="672" spans="1:14" x14ac:dyDescent="0.3">
      <c r="A672" s="102" t="s">
        <v>1195</v>
      </c>
      <c r="B672" s="102" t="s">
        <v>2275</v>
      </c>
      <c r="C672" s="107" t="s">
        <v>54</v>
      </c>
      <c r="D672" s="102">
        <v>6</v>
      </c>
      <c r="E672" s="111">
        <v>0</v>
      </c>
      <c r="F672" s="112">
        <v>0</v>
      </c>
      <c r="G672" s="112">
        <v>0</v>
      </c>
      <c r="H672" s="112">
        <v>-129529.24</v>
      </c>
      <c r="I672" s="113">
        <v>-129529.24</v>
      </c>
      <c r="J672"/>
      <c r="K672"/>
      <c r="L672"/>
      <c r="M672"/>
      <c r="N672"/>
    </row>
    <row r="673" spans="1:14" x14ac:dyDescent="0.3">
      <c r="A673" s="102" t="s">
        <v>1196</v>
      </c>
      <c r="B673" s="102" t="s">
        <v>2276</v>
      </c>
      <c r="C673" s="107" t="s">
        <v>54</v>
      </c>
      <c r="D673" s="102">
        <v>4</v>
      </c>
      <c r="E673" s="111">
        <v>-2961.9</v>
      </c>
      <c r="F673" s="112">
        <v>-72948.259999999995</v>
      </c>
      <c r="G673" s="112">
        <v>-1422.06</v>
      </c>
      <c r="H673" s="112">
        <v>-1771023.26</v>
      </c>
      <c r="I673" s="113">
        <v>-1848355.48</v>
      </c>
      <c r="J673"/>
      <c r="K673"/>
      <c r="L673"/>
      <c r="M673"/>
      <c r="N673"/>
    </row>
    <row r="674" spans="1:14" x14ac:dyDescent="0.3">
      <c r="A674" s="102" t="s">
        <v>1983</v>
      </c>
      <c r="B674" s="102" t="s">
        <v>2277</v>
      </c>
      <c r="C674" s="107" t="s">
        <v>54</v>
      </c>
      <c r="D674" s="102">
        <v>6</v>
      </c>
      <c r="E674" s="111">
        <v>0</v>
      </c>
      <c r="F674" s="112">
        <v>0</v>
      </c>
      <c r="G674" s="112">
        <v>0</v>
      </c>
      <c r="H674" s="112">
        <v>-68467.72</v>
      </c>
      <c r="I674" s="113">
        <v>-68467.72</v>
      </c>
      <c r="J674"/>
      <c r="K674"/>
      <c r="L674"/>
      <c r="M674"/>
      <c r="N674"/>
    </row>
    <row r="675" spans="1:14" x14ac:dyDescent="0.3">
      <c r="A675" s="102" t="s">
        <v>1197</v>
      </c>
      <c r="B675" s="102" t="s">
        <v>2278</v>
      </c>
      <c r="C675" s="107" t="s">
        <v>54</v>
      </c>
      <c r="D675" s="102">
        <v>6</v>
      </c>
      <c r="E675" s="111">
        <v>-2961.9</v>
      </c>
      <c r="F675" s="112">
        <v>-72948.259999999995</v>
      </c>
      <c r="G675" s="112">
        <v>0</v>
      </c>
      <c r="H675" s="112">
        <v>-1702493.51</v>
      </c>
      <c r="I675" s="113">
        <v>-1778403.67</v>
      </c>
      <c r="J675"/>
      <c r="K675"/>
      <c r="L675"/>
      <c r="M675"/>
      <c r="N675"/>
    </row>
    <row r="676" spans="1:14" x14ac:dyDescent="0.3">
      <c r="A676" s="102" t="s">
        <v>1198</v>
      </c>
      <c r="B676" s="102" t="s">
        <v>2279</v>
      </c>
      <c r="C676" s="107" t="s">
        <v>54</v>
      </c>
      <c r="D676" s="102">
        <v>6</v>
      </c>
      <c r="E676" s="111">
        <v>0</v>
      </c>
      <c r="F676" s="112">
        <v>0</v>
      </c>
      <c r="G676" s="112">
        <v>-1422.06</v>
      </c>
      <c r="H676" s="112">
        <v>-62.03</v>
      </c>
      <c r="I676" s="113">
        <v>-1484.09</v>
      </c>
      <c r="J676"/>
      <c r="K676"/>
      <c r="L676"/>
      <c r="M676"/>
      <c r="N676"/>
    </row>
    <row r="677" spans="1:14" x14ac:dyDescent="0.3">
      <c r="A677" s="102" t="s">
        <v>1982</v>
      </c>
      <c r="B677" s="102" t="s">
        <v>2280</v>
      </c>
      <c r="C677" s="107" t="s">
        <v>54</v>
      </c>
      <c r="D677" s="102">
        <v>6</v>
      </c>
      <c r="E677" s="111">
        <v>0</v>
      </c>
      <c r="F677" s="112">
        <v>0</v>
      </c>
      <c r="G677" s="112">
        <v>0</v>
      </c>
      <c r="H677" s="112">
        <v>0</v>
      </c>
      <c r="I677" s="113">
        <v>0</v>
      </c>
      <c r="J677"/>
      <c r="K677"/>
      <c r="L677"/>
      <c r="M677"/>
      <c r="N677"/>
    </row>
    <row r="678" spans="1:14" x14ac:dyDescent="0.3">
      <c r="A678" s="102" t="s">
        <v>1199</v>
      </c>
      <c r="B678" s="102" t="s">
        <v>2014</v>
      </c>
      <c r="C678" s="107" t="s">
        <v>54</v>
      </c>
      <c r="D678" s="102">
        <v>2</v>
      </c>
      <c r="E678" s="111">
        <v>427399.32</v>
      </c>
      <c r="F678" s="112">
        <v>1190512.53</v>
      </c>
      <c r="G678" s="112">
        <v>1718382.57</v>
      </c>
      <c r="H678" s="112">
        <v>13662110.390000001</v>
      </c>
      <c r="I678" s="113">
        <v>16998404.809999999</v>
      </c>
      <c r="J678"/>
      <c r="K678"/>
      <c r="L678"/>
      <c r="M678"/>
      <c r="N678"/>
    </row>
    <row r="679" spans="1:14" x14ac:dyDescent="0.3">
      <c r="A679" s="102" t="s">
        <v>1200</v>
      </c>
      <c r="B679" s="102" t="s">
        <v>2252</v>
      </c>
      <c r="C679" s="107" t="s">
        <v>54</v>
      </c>
      <c r="D679" s="102">
        <v>4</v>
      </c>
      <c r="E679" s="111">
        <v>239836.24</v>
      </c>
      <c r="F679" s="112">
        <v>551301.32999999996</v>
      </c>
      <c r="G679" s="112">
        <v>596248.29</v>
      </c>
      <c r="H679" s="112">
        <v>2930212.61</v>
      </c>
      <c r="I679" s="113">
        <v>4317598.4700000007</v>
      </c>
      <c r="J679"/>
      <c r="K679"/>
      <c r="L679"/>
      <c r="M679"/>
      <c r="N679"/>
    </row>
    <row r="680" spans="1:14" x14ac:dyDescent="0.3">
      <c r="A680" s="102" t="s">
        <v>1201</v>
      </c>
      <c r="B680" s="102" t="s">
        <v>2272</v>
      </c>
      <c r="C680" s="107" t="s">
        <v>54</v>
      </c>
      <c r="D680" s="102">
        <v>4</v>
      </c>
      <c r="E680" s="111">
        <v>910063.61</v>
      </c>
      <c r="F680" s="112">
        <v>2056738.56</v>
      </c>
      <c r="G680" s="112">
        <v>1016977.99</v>
      </c>
      <c r="H680" s="112">
        <v>12569180.4</v>
      </c>
      <c r="I680" s="113">
        <v>16552960.560000001</v>
      </c>
      <c r="J680"/>
      <c r="K680"/>
      <c r="L680"/>
      <c r="M680"/>
      <c r="N680"/>
    </row>
    <row r="681" spans="1:14" x14ac:dyDescent="0.3">
      <c r="A681" s="102" t="s">
        <v>1202</v>
      </c>
      <c r="B681" s="102" t="s">
        <v>2281</v>
      </c>
      <c r="C681" s="107" t="s">
        <v>54</v>
      </c>
      <c r="D681" s="102">
        <v>4</v>
      </c>
      <c r="E681" s="111">
        <v>0</v>
      </c>
      <c r="F681" s="112">
        <v>0</v>
      </c>
      <c r="G681" s="112">
        <v>0</v>
      </c>
      <c r="H681" s="112">
        <v>0</v>
      </c>
      <c r="I681" s="113">
        <v>0</v>
      </c>
      <c r="J681"/>
      <c r="K681"/>
      <c r="L681"/>
      <c r="M681"/>
      <c r="N681"/>
    </row>
    <row r="682" spans="1:14" x14ac:dyDescent="0.3">
      <c r="A682" s="102" t="s">
        <v>1203</v>
      </c>
      <c r="B682" s="102" t="s">
        <v>2273</v>
      </c>
      <c r="C682" s="107" t="s">
        <v>54</v>
      </c>
      <c r="D682" s="102">
        <v>4</v>
      </c>
      <c r="E682" s="111">
        <v>0</v>
      </c>
      <c r="F682" s="112">
        <v>0</v>
      </c>
      <c r="G682" s="112">
        <v>0</v>
      </c>
      <c r="H682" s="112">
        <v>0</v>
      </c>
      <c r="I682" s="113">
        <v>0</v>
      </c>
      <c r="J682"/>
      <c r="K682"/>
      <c r="L682"/>
      <c r="M682"/>
      <c r="N682"/>
    </row>
    <row r="683" spans="1:14" x14ac:dyDescent="0.3">
      <c r="A683" s="102" t="s">
        <v>1204</v>
      </c>
      <c r="B683" s="102" t="s">
        <v>2266</v>
      </c>
      <c r="C683" s="107" t="s">
        <v>54</v>
      </c>
      <c r="D683" s="102">
        <v>4</v>
      </c>
      <c r="E683" s="111">
        <v>60233.87</v>
      </c>
      <c r="F683" s="112">
        <v>513690.53</v>
      </c>
      <c r="G683" s="112">
        <v>145471.96</v>
      </c>
      <c r="H683" s="112">
        <v>1507743.68</v>
      </c>
      <c r="I683" s="113">
        <v>2227140.04</v>
      </c>
      <c r="J683"/>
      <c r="K683"/>
      <c r="L683"/>
      <c r="M683"/>
      <c r="N683"/>
    </row>
    <row r="684" spans="1:14" x14ac:dyDescent="0.3">
      <c r="A684" s="102" t="s">
        <v>1205</v>
      </c>
      <c r="B684" s="102" t="s">
        <v>2267</v>
      </c>
      <c r="C684" s="107" t="s">
        <v>54</v>
      </c>
      <c r="D684" s="102">
        <v>4</v>
      </c>
      <c r="E684" s="111">
        <v>59742.58</v>
      </c>
      <c r="F684" s="112">
        <v>323521.25</v>
      </c>
      <c r="G684" s="112">
        <v>141205.56</v>
      </c>
      <c r="H684" s="112">
        <v>3267275.55</v>
      </c>
      <c r="I684" s="113">
        <v>3791744.94</v>
      </c>
      <c r="J684"/>
      <c r="K684"/>
      <c r="L684"/>
      <c r="M684"/>
      <c r="N684"/>
    </row>
    <row r="685" spans="1:14" x14ac:dyDescent="0.3">
      <c r="A685" s="102" t="s">
        <v>1206</v>
      </c>
      <c r="B685" s="102" t="s">
        <v>2259</v>
      </c>
      <c r="C685" s="107" t="s">
        <v>54</v>
      </c>
      <c r="D685" s="102">
        <v>4</v>
      </c>
      <c r="E685" s="111">
        <v>25450.5</v>
      </c>
      <c r="F685" s="112">
        <v>140308.46</v>
      </c>
      <c r="G685" s="112">
        <v>39491.25</v>
      </c>
      <c r="H685" s="112">
        <v>404256.69</v>
      </c>
      <c r="I685" s="113">
        <v>609506.9</v>
      </c>
      <c r="J685"/>
      <c r="K685"/>
      <c r="L685"/>
      <c r="M685"/>
      <c r="N685"/>
    </row>
    <row r="686" spans="1:14" x14ac:dyDescent="0.3">
      <c r="A686" s="102" t="s">
        <v>1207</v>
      </c>
      <c r="B686" s="102" t="s">
        <v>2268</v>
      </c>
      <c r="C686" s="107" t="s">
        <v>54</v>
      </c>
      <c r="D686" s="102">
        <v>4</v>
      </c>
      <c r="E686" s="111">
        <v>0</v>
      </c>
      <c r="F686" s="112">
        <v>3</v>
      </c>
      <c r="G686" s="112">
        <v>0</v>
      </c>
      <c r="H686" s="112">
        <v>998428.7</v>
      </c>
      <c r="I686" s="113">
        <v>998431.7</v>
      </c>
      <c r="J686"/>
      <c r="K686"/>
      <c r="L686"/>
      <c r="M686"/>
      <c r="N686"/>
    </row>
    <row r="687" spans="1:14" x14ac:dyDescent="0.3">
      <c r="A687" s="102" t="s">
        <v>1208</v>
      </c>
      <c r="B687" s="102" t="s">
        <v>2096</v>
      </c>
      <c r="C687" s="107" t="s">
        <v>54</v>
      </c>
      <c r="D687" s="102">
        <v>4</v>
      </c>
      <c r="E687" s="111">
        <v>112135.29</v>
      </c>
      <c r="F687" s="112">
        <v>69716.69</v>
      </c>
      <c r="G687" s="112">
        <v>4924.33</v>
      </c>
      <c r="H687" s="112">
        <v>1754415.4</v>
      </c>
      <c r="I687" s="113">
        <v>1941191.7100000002</v>
      </c>
      <c r="J687"/>
      <c r="K687"/>
      <c r="L687"/>
      <c r="M687"/>
      <c r="N687"/>
    </row>
    <row r="688" spans="1:14" x14ac:dyDescent="0.3">
      <c r="A688" s="102" t="s">
        <v>1209</v>
      </c>
      <c r="B688" s="102" t="s">
        <v>2282</v>
      </c>
      <c r="C688" s="107" t="s">
        <v>54</v>
      </c>
      <c r="D688" s="102">
        <v>4</v>
      </c>
      <c r="E688" s="111">
        <v>-980062.77</v>
      </c>
      <c r="F688" s="112">
        <v>-2464767.29</v>
      </c>
      <c r="G688" s="112">
        <v>-225936.81</v>
      </c>
      <c r="H688" s="112">
        <v>-9769402.6400000006</v>
      </c>
      <c r="I688" s="113">
        <v>-13440169.51</v>
      </c>
      <c r="J688"/>
      <c r="K688"/>
      <c r="L688"/>
      <c r="M688"/>
      <c r="N688"/>
    </row>
    <row r="689" spans="1:14" x14ac:dyDescent="0.3">
      <c r="A689" s="102" t="s">
        <v>1210</v>
      </c>
      <c r="B689" s="102" t="s">
        <v>2283</v>
      </c>
      <c r="C689" s="107" t="s">
        <v>54</v>
      </c>
      <c r="D689" s="102">
        <v>6</v>
      </c>
      <c r="E689" s="111">
        <v>-819113.27</v>
      </c>
      <c r="F689" s="112">
        <v>-1995336.95</v>
      </c>
      <c r="G689" s="112">
        <v>-3813.67</v>
      </c>
      <c r="H689" s="112">
        <v>-3568641.41</v>
      </c>
      <c r="I689" s="113">
        <v>-6386905.2999999998</v>
      </c>
      <c r="J689"/>
      <c r="K689"/>
      <c r="L689"/>
      <c r="M689"/>
      <c r="N689"/>
    </row>
    <row r="690" spans="1:14" x14ac:dyDescent="0.3">
      <c r="A690" s="102" t="s">
        <v>1211</v>
      </c>
      <c r="B690" s="102" t="s">
        <v>2284</v>
      </c>
      <c r="C690" s="107" t="s">
        <v>54</v>
      </c>
      <c r="D690" s="102">
        <v>6</v>
      </c>
      <c r="E690" s="111">
        <v>0</v>
      </c>
      <c r="F690" s="112">
        <v>0</v>
      </c>
      <c r="G690" s="112">
        <v>0</v>
      </c>
      <c r="H690" s="112">
        <v>0</v>
      </c>
      <c r="I690" s="113">
        <v>0</v>
      </c>
      <c r="J690"/>
      <c r="K690"/>
      <c r="L690"/>
      <c r="M690"/>
      <c r="N690"/>
    </row>
    <row r="691" spans="1:14" x14ac:dyDescent="0.3">
      <c r="A691" s="102" t="s">
        <v>1212</v>
      </c>
      <c r="B691" s="102" t="s">
        <v>2285</v>
      </c>
      <c r="C691" s="107" t="s">
        <v>54</v>
      </c>
      <c r="D691" s="102">
        <v>6</v>
      </c>
      <c r="E691" s="111">
        <v>-18813.25</v>
      </c>
      <c r="F691" s="112">
        <v>-236427.16</v>
      </c>
      <c r="G691" s="112">
        <v>-89501.68</v>
      </c>
      <c r="H691" s="112">
        <v>-1047555.03</v>
      </c>
      <c r="I691" s="113">
        <v>-1392297.1199999999</v>
      </c>
      <c r="J691"/>
      <c r="K691"/>
      <c r="L691"/>
      <c r="M691"/>
      <c r="N691"/>
    </row>
    <row r="692" spans="1:14" x14ac:dyDescent="0.3">
      <c r="A692" s="102" t="s">
        <v>1213</v>
      </c>
      <c r="B692" s="102" t="s">
        <v>2286</v>
      </c>
      <c r="C692" s="107" t="s">
        <v>54</v>
      </c>
      <c r="D692" s="102">
        <v>6</v>
      </c>
      <c r="E692" s="111">
        <v>-37414.44</v>
      </c>
      <c r="F692" s="112">
        <v>-168886.39999999999</v>
      </c>
      <c r="G692" s="112">
        <v>-117180.7</v>
      </c>
      <c r="H692" s="112">
        <v>-3212193.54</v>
      </c>
      <c r="I692" s="113">
        <v>-3535675.0799999996</v>
      </c>
      <c r="J692"/>
      <c r="K692"/>
      <c r="L692"/>
      <c r="M692"/>
      <c r="N692"/>
    </row>
    <row r="693" spans="1:14" x14ac:dyDescent="0.3">
      <c r="A693" s="102" t="s">
        <v>1214</v>
      </c>
      <c r="B693" s="102" t="s">
        <v>2287</v>
      </c>
      <c r="C693" s="107" t="s">
        <v>54</v>
      </c>
      <c r="D693" s="102">
        <v>6</v>
      </c>
      <c r="E693" s="111">
        <v>-11449.22</v>
      </c>
      <c r="F693" s="112">
        <v>-64116.78</v>
      </c>
      <c r="G693" s="112">
        <v>-15440.76</v>
      </c>
      <c r="H693" s="112">
        <v>-323385.49</v>
      </c>
      <c r="I693" s="113">
        <v>-414392.25</v>
      </c>
      <c r="J693"/>
      <c r="K693"/>
      <c r="L693"/>
      <c r="M693"/>
      <c r="N693"/>
    </row>
    <row r="694" spans="1:14" x14ac:dyDescent="0.3">
      <c r="A694" s="102" t="s">
        <v>1215</v>
      </c>
      <c r="B694" s="102" t="s">
        <v>2288</v>
      </c>
      <c r="C694" s="107" t="s">
        <v>54</v>
      </c>
      <c r="D694" s="102">
        <v>6</v>
      </c>
      <c r="E694" s="111">
        <v>0</v>
      </c>
      <c r="F694" s="112">
        <v>0</v>
      </c>
      <c r="G694" s="112">
        <v>0</v>
      </c>
      <c r="H694" s="112">
        <v>-639470.82999999996</v>
      </c>
      <c r="I694" s="113">
        <v>-639470.82999999996</v>
      </c>
      <c r="J694"/>
      <c r="K694"/>
      <c r="L694"/>
      <c r="M694"/>
      <c r="N694"/>
    </row>
    <row r="695" spans="1:14" x14ac:dyDescent="0.3">
      <c r="A695" s="102" t="s">
        <v>1216</v>
      </c>
      <c r="B695" s="102" t="s">
        <v>2289</v>
      </c>
      <c r="C695" s="107" t="s">
        <v>54</v>
      </c>
      <c r="D695" s="102">
        <v>6</v>
      </c>
      <c r="E695" s="111">
        <v>-93272.59</v>
      </c>
      <c r="F695" s="112">
        <v>0</v>
      </c>
      <c r="G695" s="112">
        <v>0</v>
      </c>
      <c r="H695" s="112">
        <v>-978156.34</v>
      </c>
      <c r="I695" s="113">
        <v>-1071428.9300000002</v>
      </c>
      <c r="J695"/>
      <c r="K695"/>
      <c r="L695"/>
      <c r="M695"/>
      <c r="N695"/>
    </row>
    <row r="696" spans="1:14" x14ac:dyDescent="0.3">
      <c r="A696" s="102" t="s">
        <v>1217</v>
      </c>
      <c r="B696" s="102" t="s">
        <v>2020</v>
      </c>
      <c r="C696" s="107" t="s">
        <v>54</v>
      </c>
      <c r="D696" s="102">
        <v>2</v>
      </c>
      <c r="E696" s="111">
        <v>989277.25</v>
      </c>
      <c r="F696" s="112">
        <v>10927112.49</v>
      </c>
      <c r="G696" s="112">
        <v>1784283.59</v>
      </c>
      <c r="H696" s="112">
        <v>119255875.79000001</v>
      </c>
      <c r="I696" s="113">
        <v>132956549.12</v>
      </c>
      <c r="J696"/>
      <c r="K696"/>
      <c r="L696"/>
      <c r="M696"/>
      <c r="N696"/>
    </row>
    <row r="697" spans="1:14" x14ac:dyDescent="0.3">
      <c r="A697" s="102" t="s">
        <v>1218</v>
      </c>
      <c r="B697" s="102" t="s">
        <v>2290</v>
      </c>
      <c r="C697" s="107" t="s">
        <v>54</v>
      </c>
      <c r="D697" s="102">
        <v>4</v>
      </c>
      <c r="E697" s="111">
        <v>13147.36</v>
      </c>
      <c r="F697" s="112">
        <v>149583.82</v>
      </c>
      <c r="G697" s="112">
        <v>13235.91</v>
      </c>
      <c r="H697" s="112">
        <v>4895260.12</v>
      </c>
      <c r="I697" s="113">
        <v>5071227.21</v>
      </c>
      <c r="J697"/>
      <c r="K697"/>
      <c r="L697"/>
      <c r="M697"/>
      <c r="N697"/>
    </row>
    <row r="698" spans="1:14" x14ac:dyDescent="0.3">
      <c r="A698" s="102" t="s">
        <v>1219</v>
      </c>
      <c r="B698" s="102" t="s">
        <v>2291</v>
      </c>
      <c r="C698" s="107" t="s">
        <v>54</v>
      </c>
      <c r="D698" s="102">
        <v>6</v>
      </c>
      <c r="E698" s="111">
        <v>0</v>
      </c>
      <c r="F698" s="112">
        <v>0</v>
      </c>
      <c r="G698" s="112">
        <v>0</v>
      </c>
      <c r="H698" s="112">
        <v>4656053.29</v>
      </c>
      <c r="I698" s="113">
        <v>4656053.29</v>
      </c>
      <c r="J698"/>
      <c r="K698"/>
      <c r="L698"/>
      <c r="M698"/>
      <c r="N698"/>
    </row>
    <row r="699" spans="1:14" x14ac:dyDescent="0.3">
      <c r="A699" s="102" t="s">
        <v>1220</v>
      </c>
      <c r="B699" s="102" t="s">
        <v>2292</v>
      </c>
      <c r="C699" s="107" t="s">
        <v>54</v>
      </c>
      <c r="D699" s="102">
        <v>6</v>
      </c>
      <c r="E699" s="111">
        <v>13147.36</v>
      </c>
      <c r="F699" s="112">
        <v>149583.45000000001</v>
      </c>
      <c r="G699" s="112">
        <v>0</v>
      </c>
      <c r="H699" s="112">
        <v>239206.83</v>
      </c>
      <c r="I699" s="113">
        <v>401937.64</v>
      </c>
      <c r="J699"/>
      <c r="K699"/>
      <c r="L699"/>
      <c r="M699"/>
      <c r="N699"/>
    </row>
    <row r="700" spans="1:14" x14ac:dyDescent="0.3">
      <c r="A700" s="102" t="s">
        <v>1221</v>
      </c>
      <c r="B700" s="102" t="s">
        <v>2293</v>
      </c>
      <c r="C700" s="107" t="s">
        <v>54</v>
      </c>
      <c r="D700" s="102">
        <v>6</v>
      </c>
      <c r="E700" s="111">
        <v>0</v>
      </c>
      <c r="F700" s="112">
        <v>0.37</v>
      </c>
      <c r="G700" s="112">
        <v>0</v>
      </c>
      <c r="H700" s="112">
        <v>0</v>
      </c>
      <c r="I700" s="113">
        <v>0.37</v>
      </c>
      <c r="J700"/>
      <c r="K700"/>
      <c r="L700"/>
      <c r="M700"/>
      <c r="N700"/>
    </row>
    <row r="701" spans="1:14" x14ac:dyDescent="0.3">
      <c r="A701" s="102" t="s">
        <v>1222</v>
      </c>
      <c r="B701" s="102" t="s">
        <v>2294</v>
      </c>
      <c r="C701" s="107" t="s">
        <v>54</v>
      </c>
      <c r="D701" s="102">
        <v>6</v>
      </c>
      <c r="E701" s="111">
        <v>0</v>
      </c>
      <c r="F701" s="112">
        <v>0</v>
      </c>
      <c r="G701" s="112">
        <v>13235.91</v>
      </c>
      <c r="H701" s="112">
        <v>0</v>
      </c>
      <c r="I701" s="113">
        <v>13235.91</v>
      </c>
      <c r="J701"/>
      <c r="K701"/>
      <c r="L701"/>
      <c r="M701"/>
      <c r="N701"/>
    </row>
    <row r="702" spans="1:14" x14ac:dyDescent="0.3">
      <c r="A702" s="102" t="s">
        <v>1223</v>
      </c>
      <c r="B702" s="102" t="s">
        <v>2260</v>
      </c>
      <c r="C702" s="107" t="s">
        <v>54</v>
      </c>
      <c r="D702" s="102">
        <v>4</v>
      </c>
      <c r="E702" s="111">
        <v>423228.1</v>
      </c>
      <c r="F702" s="112">
        <v>9310452.1899999995</v>
      </c>
      <c r="G702" s="112">
        <v>762791.74</v>
      </c>
      <c r="H702" s="112">
        <v>87457868.689999998</v>
      </c>
      <c r="I702" s="113">
        <v>97954340.719999999</v>
      </c>
      <c r="J702"/>
      <c r="K702"/>
      <c r="L702"/>
      <c r="M702"/>
      <c r="N702"/>
    </row>
    <row r="703" spans="1:14" x14ac:dyDescent="0.3">
      <c r="A703" s="102" t="s">
        <v>1224</v>
      </c>
      <c r="B703" s="102" t="s">
        <v>2018</v>
      </c>
      <c r="C703" s="107" t="s">
        <v>54</v>
      </c>
      <c r="D703" s="102">
        <v>6</v>
      </c>
      <c r="E703" s="111">
        <v>0</v>
      </c>
      <c r="F703" s="112">
        <v>0</v>
      </c>
      <c r="G703" s="112">
        <v>0</v>
      </c>
      <c r="H703" s="112">
        <v>20000</v>
      </c>
      <c r="I703" s="113">
        <v>20000</v>
      </c>
      <c r="J703"/>
      <c r="K703"/>
      <c r="L703"/>
      <c r="M703"/>
      <c r="N703"/>
    </row>
    <row r="704" spans="1:14" x14ac:dyDescent="0.3">
      <c r="A704" s="102" t="s">
        <v>1225</v>
      </c>
      <c r="B704" s="102" t="s">
        <v>2295</v>
      </c>
      <c r="C704" s="107" t="s">
        <v>54</v>
      </c>
      <c r="D704" s="102">
        <v>6</v>
      </c>
      <c r="E704" s="111">
        <v>0</v>
      </c>
      <c r="F704" s="112">
        <v>38139.82</v>
      </c>
      <c r="G704" s="112">
        <v>0</v>
      </c>
      <c r="H704" s="112">
        <v>0</v>
      </c>
      <c r="I704" s="113">
        <v>38139.82</v>
      </c>
      <c r="J704"/>
      <c r="K704"/>
      <c r="L704"/>
      <c r="M704"/>
      <c r="N704"/>
    </row>
    <row r="705" spans="1:14" x14ac:dyDescent="0.3">
      <c r="A705" s="102" t="s">
        <v>1226</v>
      </c>
      <c r="B705" s="102" t="s">
        <v>2296</v>
      </c>
      <c r="C705" s="107" t="s">
        <v>54</v>
      </c>
      <c r="D705" s="102">
        <v>6</v>
      </c>
      <c r="E705" s="111">
        <v>0</v>
      </c>
      <c r="F705" s="112">
        <v>0</v>
      </c>
      <c r="G705" s="112">
        <v>0</v>
      </c>
      <c r="H705" s="112">
        <v>0</v>
      </c>
      <c r="I705" s="113">
        <v>0</v>
      </c>
      <c r="J705"/>
      <c r="K705"/>
      <c r="L705"/>
      <c r="M705"/>
      <c r="N705"/>
    </row>
    <row r="706" spans="1:14" x14ac:dyDescent="0.3">
      <c r="A706" s="102" t="s">
        <v>1227</v>
      </c>
      <c r="B706" s="102" t="s">
        <v>2297</v>
      </c>
      <c r="C706" s="107" t="s">
        <v>54</v>
      </c>
      <c r="D706" s="102">
        <v>6</v>
      </c>
      <c r="E706" s="111">
        <v>0</v>
      </c>
      <c r="F706" s="112">
        <v>0</v>
      </c>
      <c r="G706" s="112">
        <v>0</v>
      </c>
      <c r="H706" s="112">
        <v>0</v>
      </c>
      <c r="I706" s="113">
        <v>0</v>
      </c>
      <c r="J706"/>
      <c r="K706"/>
      <c r="L706"/>
      <c r="M706"/>
      <c r="N706"/>
    </row>
    <row r="707" spans="1:14" x14ac:dyDescent="0.3">
      <c r="A707" s="102" t="s">
        <v>1228</v>
      </c>
      <c r="B707" s="102" t="s">
        <v>2298</v>
      </c>
      <c r="C707" s="107" t="s">
        <v>54</v>
      </c>
      <c r="D707" s="102">
        <v>6</v>
      </c>
      <c r="E707" s="111">
        <v>0</v>
      </c>
      <c r="F707" s="112">
        <v>0</v>
      </c>
      <c r="G707" s="112">
        <v>0</v>
      </c>
      <c r="H707" s="112">
        <v>0</v>
      </c>
      <c r="I707" s="113">
        <v>0</v>
      </c>
      <c r="J707"/>
      <c r="K707"/>
      <c r="L707"/>
      <c r="M707"/>
      <c r="N707"/>
    </row>
    <row r="708" spans="1:14" x14ac:dyDescent="0.3">
      <c r="A708" s="102" t="s">
        <v>1229</v>
      </c>
      <c r="B708" s="102" t="s">
        <v>2299</v>
      </c>
      <c r="C708" s="107" t="s">
        <v>54</v>
      </c>
      <c r="D708" s="102">
        <v>6</v>
      </c>
      <c r="E708" s="111">
        <v>0</v>
      </c>
      <c r="F708" s="112">
        <v>0</v>
      </c>
      <c r="G708" s="112">
        <v>0</v>
      </c>
      <c r="H708" s="112">
        <v>0</v>
      </c>
      <c r="I708" s="113">
        <v>0</v>
      </c>
      <c r="J708"/>
      <c r="K708"/>
      <c r="L708"/>
      <c r="M708"/>
      <c r="N708"/>
    </row>
    <row r="709" spans="1:14" x14ac:dyDescent="0.3">
      <c r="A709" s="102" t="s">
        <v>1230</v>
      </c>
      <c r="B709" s="102" t="s">
        <v>2300</v>
      </c>
      <c r="C709" s="107" t="s">
        <v>54</v>
      </c>
      <c r="D709" s="102">
        <v>6</v>
      </c>
      <c r="E709" s="111">
        <v>0</v>
      </c>
      <c r="F709" s="112">
        <v>0</v>
      </c>
      <c r="G709" s="112">
        <v>0</v>
      </c>
      <c r="H709" s="112">
        <v>0</v>
      </c>
      <c r="I709" s="113">
        <v>0</v>
      </c>
      <c r="J709"/>
      <c r="K709"/>
      <c r="L709"/>
      <c r="M709"/>
      <c r="N709"/>
    </row>
    <row r="710" spans="1:14" x14ac:dyDescent="0.3">
      <c r="A710" s="102" t="s">
        <v>1231</v>
      </c>
      <c r="B710" s="102" t="s">
        <v>2301</v>
      </c>
      <c r="C710" s="107" t="s">
        <v>54</v>
      </c>
      <c r="D710" s="102">
        <v>6</v>
      </c>
      <c r="E710" s="111">
        <v>0</v>
      </c>
      <c r="F710" s="112">
        <v>0</v>
      </c>
      <c r="G710" s="112">
        <v>0</v>
      </c>
      <c r="H710" s="112">
        <v>0</v>
      </c>
      <c r="I710" s="113">
        <v>0</v>
      </c>
      <c r="J710"/>
      <c r="K710"/>
      <c r="L710"/>
      <c r="M710"/>
      <c r="N710"/>
    </row>
    <row r="711" spans="1:14" x14ac:dyDescent="0.3">
      <c r="A711" s="102" t="s">
        <v>1232</v>
      </c>
      <c r="B711" s="102" t="s">
        <v>2302</v>
      </c>
      <c r="C711" s="107" t="s">
        <v>54</v>
      </c>
      <c r="D711" s="102">
        <v>6</v>
      </c>
      <c r="E711" s="111">
        <v>0</v>
      </c>
      <c r="F711" s="112">
        <v>0</v>
      </c>
      <c r="G711" s="112">
        <v>0</v>
      </c>
      <c r="H711" s="112">
        <v>0</v>
      </c>
      <c r="I711" s="113">
        <v>0</v>
      </c>
      <c r="J711"/>
      <c r="K711"/>
      <c r="L711"/>
      <c r="M711"/>
      <c r="N711"/>
    </row>
    <row r="712" spans="1:14" x14ac:dyDescent="0.3">
      <c r="A712" s="102" t="s">
        <v>1233</v>
      </c>
      <c r="B712" s="102" t="s">
        <v>2303</v>
      </c>
      <c r="C712" s="107" t="s">
        <v>54</v>
      </c>
      <c r="D712" s="102">
        <v>6</v>
      </c>
      <c r="E712" s="111">
        <v>0</v>
      </c>
      <c r="F712" s="112">
        <v>0</v>
      </c>
      <c r="G712" s="112">
        <v>0</v>
      </c>
      <c r="H712" s="112">
        <v>0</v>
      </c>
      <c r="I712" s="113">
        <v>0</v>
      </c>
      <c r="J712"/>
      <c r="K712"/>
      <c r="L712"/>
      <c r="M712"/>
      <c r="N712"/>
    </row>
    <row r="713" spans="1:14" x14ac:dyDescent="0.3">
      <c r="A713" s="102" t="s">
        <v>1234</v>
      </c>
      <c r="B713" s="102" t="s">
        <v>2194</v>
      </c>
      <c r="C713" s="107" t="s">
        <v>54</v>
      </c>
      <c r="D713" s="102">
        <v>6</v>
      </c>
      <c r="E713" s="111">
        <v>0</v>
      </c>
      <c r="F713" s="112">
        <v>0</v>
      </c>
      <c r="G713" s="112">
        <v>0</v>
      </c>
      <c r="H713" s="112">
        <v>0</v>
      </c>
      <c r="I713" s="113">
        <v>0</v>
      </c>
      <c r="J713"/>
      <c r="K713"/>
      <c r="L713"/>
      <c r="M713"/>
      <c r="N713"/>
    </row>
    <row r="714" spans="1:14" x14ac:dyDescent="0.3">
      <c r="A714" s="102" t="s">
        <v>1235</v>
      </c>
      <c r="B714" s="102" t="s">
        <v>2019</v>
      </c>
      <c r="C714" s="107" t="s">
        <v>54</v>
      </c>
      <c r="D714" s="102">
        <v>6</v>
      </c>
      <c r="E714" s="111">
        <v>0</v>
      </c>
      <c r="F714" s="112">
        <v>0</v>
      </c>
      <c r="G714" s="112">
        <v>0</v>
      </c>
      <c r="H714" s="112">
        <v>5875327.75</v>
      </c>
      <c r="I714" s="113">
        <v>5875327.75</v>
      </c>
      <c r="J714"/>
      <c r="K714"/>
      <c r="L714"/>
      <c r="M714"/>
      <c r="N714"/>
    </row>
    <row r="715" spans="1:14" x14ac:dyDescent="0.3">
      <c r="A715" s="102" t="s">
        <v>1985</v>
      </c>
      <c r="B715" s="102" t="s">
        <v>2251</v>
      </c>
      <c r="C715" s="107" t="s">
        <v>54</v>
      </c>
      <c r="D715" s="102">
        <v>6</v>
      </c>
      <c r="E715" s="111">
        <v>0</v>
      </c>
      <c r="F715" s="112">
        <v>0</v>
      </c>
      <c r="G715" s="112">
        <v>0</v>
      </c>
      <c r="H715" s="112">
        <v>39477199.829999998</v>
      </c>
      <c r="I715" s="113">
        <v>39477199.829999998</v>
      </c>
      <c r="J715"/>
      <c r="K715"/>
      <c r="L715"/>
      <c r="M715"/>
      <c r="N715"/>
    </row>
    <row r="716" spans="1:14" x14ac:dyDescent="0.3">
      <c r="A716" s="102" t="s">
        <v>1236</v>
      </c>
      <c r="B716" s="102" t="s">
        <v>2256</v>
      </c>
      <c r="C716" s="107" t="s">
        <v>54</v>
      </c>
      <c r="D716" s="102">
        <v>6</v>
      </c>
      <c r="E716" s="111">
        <v>0</v>
      </c>
      <c r="F716" s="112">
        <v>0</v>
      </c>
      <c r="G716" s="112">
        <v>0</v>
      </c>
      <c r="H716" s="112">
        <v>0</v>
      </c>
      <c r="I716" s="113">
        <v>0</v>
      </c>
      <c r="J716"/>
      <c r="K716"/>
      <c r="L716"/>
      <c r="M716"/>
      <c r="N716"/>
    </row>
    <row r="717" spans="1:14" x14ac:dyDescent="0.3">
      <c r="A717" s="102" t="s">
        <v>1988</v>
      </c>
      <c r="B717" s="102" t="s">
        <v>2264</v>
      </c>
      <c r="C717" s="107" t="s">
        <v>54</v>
      </c>
      <c r="D717" s="102">
        <v>6</v>
      </c>
      <c r="E717" s="111">
        <v>0</v>
      </c>
      <c r="F717" s="112">
        <v>0</v>
      </c>
      <c r="G717" s="112">
        <v>0</v>
      </c>
      <c r="H717" s="112">
        <v>1261271.22</v>
      </c>
      <c r="I717" s="113">
        <v>1261271.22</v>
      </c>
      <c r="J717"/>
      <c r="K717"/>
      <c r="L717"/>
      <c r="M717"/>
      <c r="N717"/>
    </row>
    <row r="718" spans="1:14" x14ac:dyDescent="0.3">
      <c r="A718" s="102" t="s">
        <v>1237</v>
      </c>
      <c r="B718" s="102" t="s">
        <v>2271</v>
      </c>
      <c r="C718" s="107" t="s">
        <v>54</v>
      </c>
      <c r="D718" s="102">
        <v>6</v>
      </c>
      <c r="E718" s="111">
        <v>0</v>
      </c>
      <c r="F718" s="112">
        <v>0</v>
      </c>
      <c r="G718" s="112">
        <v>0</v>
      </c>
      <c r="H718" s="112">
        <v>5465950</v>
      </c>
      <c r="I718" s="113">
        <v>5465950</v>
      </c>
      <c r="J718"/>
      <c r="K718"/>
      <c r="L718"/>
      <c r="M718"/>
      <c r="N718"/>
    </row>
    <row r="719" spans="1:14" x14ac:dyDescent="0.3">
      <c r="A719" s="102" t="s">
        <v>1238</v>
      </c>
      <c r="B719" s="102" t="s">
        <v>2014</v>
      </c>
      <c r="C719" s="107" t="s">
        <v>54</v>
      </c>
      <c r="D719" s="102">
        <v>6</v>
      </c>
      <c r="E719" s="111">
        <v>0</v>
      </c>
      <c r="F719" s="112">
        <v>0</v>
      </c>
      <c r="G719" s="112">
        <v>0</v>
      </c>
      <c r="H719" s="112">
        <v>0</v>
      </c>
      <c r="I719" s="113">
        <v>0</v>
      </c>
      <c r="J719"/>
      <c r="K719"/>
      <c r="L719"/>
      <c r="M719"/>
      <c r="N719"/>
    </row>
    <row r="720" spans="1:14" x14ac:dyDescent="0.3">
      <c r="A720" s="102" t="s">
        <v>1239</v>
      </c>
      <c r="B720" s="102" t="s">
        <v>2020</v>
      </c>
      <c r="C720" s="107" t="s">
        <v>54</v>
      </c>
      <c r="D720" s="102">
        <v>6</v>
      </c>
      <c r="E720" s="111">
        <v>0</v>
      </c>
      <c r="F720" s="112">
        <v>0</v>
      </c>
      <c r="G720" s="112">
        <v>0</v>
      </c>
      <c r="H720" s="112">
        <v>12542</v>
      </c>
      <c r="I720" s="113">
        <v>12542</v>
      </c>
      <c r="J720"/>
      <c r="K720"/>
      <c r="L720"/>
      <c r="M720"/>
      <c r="N720"/>
    </row>
    <row r="721" spans="1:14" x14ac:dyDescent="0.3">
      <c r="A721" s="102" t="s">
        <v>1240</v>
      </c>
      <c r="B721" s="102" t="s">
        <v>2290</v>
      </c>
      <c r="C721" s="107" t="s">
        <v>54</v>
      </c>
      <c r="D721" s="102">
        <v>6</v>
      </c>
      <c r="E721" s="111">
        <v>0</v>
      </c>
      <c r="F721" s="112">
        <v>0</v>
      </c>
      <c r="G721" s="112">
        <v>0</v>
      </c>
      <c r="H721" s="112">
        <v>0</v>
      </c>
      <c r="I721" s="113">
        <v>0</v>
      </c>
      <c r="J721"/>
      <c r="K721"/>
      <c r="L721"/>
      <c r="M721"/>
      <c r="N721"/>
    </row>
    <row r="722" spans="1:14" x14ac:dyDescent="0.3">
      <c r="A722" s="102" t="s">
        <v>1241</v>
      </c>
      <c r="B722" s="102" t="s">
        <v>2017</v>
      </c>
      <c r="C722" s="107" t="s">
        <v>54</v>
      </c>
      <c r="D722" s="102">
        <v>6</v>
      </c>
      <c r="E722" s="111">
        <v>0</v>
      </c>
      <c r="F722" s="112">
        <v>0</v>
      </c>
      <c r="G722" s="112">
        <v>0</v>
      </c>
      <c r="H722" s="112">
        <v>0</v>
      </c>
      <c r="I722" s="113">
        <v>0</v>
      </c>
      <c r="J722"/>
      <c r="K722"/>
      <c r="L722"/>
      <c r="M722"/>
      <c r="N722"/>
    </row>
    <row r="723" spans="1:14" x14ac:dyDescent="0.3">
      <c r="A723" s="102" t="s">
        <v>1242</v>
      </c>
      <c r="B723" s="102" t="s">
        <v>2304</v>
      </c>
      <c r="C723" s="107" t="s">
        <v>54</v>
      </c>
      <c r="D723" s="102">
        <v>6</v>
      </c>
      <c r="E723" s="111">
        <v>423228.1</v>
      </c>
      <c r="F723" s="112">
        <v>9272312.3699999992</v>
      </c>
      <c r="G723" s="112">
        <v>762791.74</v>
      </c>
      <c r="H723" s="112">
        <v>35345577.890000001</v>
      </c>
      <c r="I723" s="113">
        <v>45803910.100000001</v>
      </c>
      <c r="J723"/>
      <c r="K723"/>
      <c r="L723"/>
      <c r="M723"/>
      <c r="N723"/>
    </row>
    <row r="724" spans="1:14" x14ac:dyDescent="0.3">
      <c r="A724" s="102" t="s">
        <v>1984</v>
      </c>
      <c r="B724" s="102" t="s">
        <v>2305</v>
      </c>
      <c r="C724" s="107" t="s">
        <v>54</v>
      </c>
      <c r="D724" s="102">
        <v>4</v>
      </c>
      <c r="E724" s="111">
        <v>0</v>
      </c>
      <c r="F724" s="112">
        <v>0</v>
      </c>
      <c r="G724" s="112">
        <v>0</v>
      </c>
      <c r="H724" s="112">
        <v>0</v>
      </c>
      <c r="I724" s="113">
        <v>0</v>
      </c>
      <c r="J724"/>
      <c r="K724"/>
      <c r="L724"/>
      <c r="M724"/>
      <c r="N724"/>
    </row>
    <row r="725" spans="1:14" x14ac:dyDescent="0.3">
      <c r="A725" s="102" t="s">
        <v>1986</v>
      </c>
      <c r="B725" s="102" t="s">
        <v>2306</v>
      </c>
      <c r="C725" s="107" t="s">
        <v>54</v>
      </c>
      <c r="D725" s="102">
        <v>6</v>
      </c>
      <c r="E725" s="111">
        <v>0</v>
      </c>
      <c r="F725" s="112">
        <v>0</v>
      </c>
      <c r="G725" s="112">
        <v>0</v>
      </c>
      <c r="H725" s="112">
        <v>0</v>
      </c>
      <c r="I725" s="113">
        <v>0</v>
      </c>
      <c r="J725"/>
      <c r="K725"/>
      <c r="L725"/>
      <c r="M725"/>
      <c r="N725"/>
    </row>
    <row r="726" spans="1:14" x14ac:dyDescent="0.3">
      <c r="A726" s="102" t="s">
        <v>1987</v>
      </c>
      <c r="B726" s="102" t="s">
        <v>2307</v>
      </c>
      <c r="C726" s="107" t="s">
        <v>54</v>
      </c>
      <c r="D726" s="102">
        <v>6</v>
      </c>
      <c r="E726" s="111">
        <v>0</v>
      </c>
      <c r="F726" s="112">
        <v>0</v>
      </c>
      <c r="G726" s="112">
        <v>0</v>
      </c>
      <c r="H726" s="112">
        <v>0</v>
      </c>
      <c r="I726" s="113">
        <v>0</v>
      </c>
      <c r="J726"/>
      <c r="K726"/>
      <c r="L726"/>
      <c r="M726"/>
      <c r="N726"/>
    </row>
    <row r="727" spans="1:14" x14ac:dyDescent="0.3">
      <c r="A727" s="102" t="s">
        <v>1243</v>
      </c>
      <c r="B727" s="102" t="s">
        <v>2308</v>
      </c>
      <c r="C727" s="107" t="s">
        <v>54</v>
      </c>
      <c r="D727" s="102">
        <v>4</v>
      </c>
      <c r="E727" s="111">
        <v>296389.88</v>
      </c>
      <c r="F727" s="112">
        <v>846676.36</v>
      </c>
      <c r="G727" s="112">
        <v>131477.96</v>
      </c>
      <c r="H727" s="112">
        <v>18357518.199999999</v>
      </c>
      <c r="I727" s="113">
        <v>19632062.399999999</v>
      </c>
      <c r="J727"/>
      <c r="K727"/>
      <c r="L727"/>
      <c r="M727"/>
      <c r="N727"/>
    </row>
    <row r="728" spans="1:14" x14ac:dyDescent="0.3">
      <c r="A728" s="102" t="s">
        <v>1244</v>
      </c>
      <c r="B728" s="102" t="s">
        <v>2222</v>
      </c>
      <c r="C728" s="107" t="s">
        <v>54</v>
      </c>
      <c r="D728" s="102">
        <v>6</v>
      </c>
      <c r="E728" s="111">
        <v>0</v>
      </c>
      <c r="F728" s="112">
        <v>0</v>
      </c>
      <c r="G728" s="112">
        <v>0</v>
      </c>
      <c r="H728" s="112">
        <v>0</v>
      </c>
      <c r="I728" s="113">
        <v>0</v>
      </c>
      <c r="J728"/>
      <c r="K728"/>
      <c r="L728"/>
      <c r="M728"/>
      <c r="N728"/>
    </row>
    <row r="729" spans="1:14" x14ac:dyDescent="0.3">
      <c r="A729" s="102" t="s">
        <v>1245</v>
      </c>
      <c r="B729" s="102" t="s">
        <v>2309</v>
      </c>
      <c r="C729" s="107" t="s">
        <v>54</v>
      </c>
      <c r="D729" s="102">
        <v>6</v>
      </c>
      <c r="E729" s="111">
        <v>296389.88</v>
      </c>
      <c r="F729" s="112">
        <v>137947.26999999999</v>
      </c>
      <c r="G729" s="112">
        <v>124796.51</v>
      </c>
      <c r="H729" s="112">
        <v>16235488.529999999</v>
      </c>
      <c r="I729" s="113">
        <v>16794622.190000001</v>
      </c>
      <c r="J729"/>
      <c r="K729"/>
      <c r="L729"/>
      <c r="M729"/>
      <c r="N729"/>
    </row>
    <row r="730" spans="1:14" x14ac:dyDescent="0.3">
      <c r="A730" s="102" t="s">
        <v>1246</v>
      </c>
      <c r="B730" s="102" t="s">
        <v>2096</v>
      </c>
      <c r="C730" s="107" t="s">
        <v>54</v>
      </c>
      <c r="D730" s="102">
        <v>6</v>
      </c>
      <c r="E730" s="111">
        <v>0</v>
      </c>
      <c r="F730" s="112">
        <v>915317.3</v>
      </c>
      <c r="G730" s="112">
        <v>6681.45</v>
      </c>
      <c r="H730" s="112">
        <v>3093889.61</v>
      </c>
      <c r="I730" s="113">
        <v>4015888.3600000003</v>
      </c>
      <c r="J730"/>
      <c r="K730"/>
      <c r="L730"/>
      <c r="M730"/>
      <c r="N730"/>
    </row>
    <row r="731" spans="1:14" x14ac:dyDescent="0.3">
      <c r="A731" s="102" t="s">
        <v>1247</v>
      </c>
      <c r="B731" s="102" t="s">
        <v>2310</v>
      </c>
      <c r="C731" s="107" t="s">
        <v>54</v>
      </c>
      <c r="D731" s="102">
        <v>6</v>
      </c>
      <c r="E731" s="111">
        <v>0</v>
      </c>
      <c r="F731" s="112">
        <v>-206588.21</v>
      </c>
      <c r="G731" s="112">
        <v>0</v>
      </c>
      <c r="H731" s="112">
        <v>-971859.94</v>
      </c>
      <c r="I731" s="113">
        <v>-1178448.1499999999</v>
      </c>
      <c r="J731"/>
      <c r="K731"/>
      <c r="L731"/>
      <c r="M731"/>
      <c r="N731"/>
    </row>
    <row r="732" spans="1:14" x14ac:dyDescent="0.3">
      <c r="A732" s="102" t="s">
        <v>1248</v>
      </c>
      <c r="B732" s="102" t="s">
        <v>2311</v>
      </c>
      <c r="C732" s="107" t="s">
        <v>54</v>
      </c>
      <c r="D732" s="102">
        <v>4</v>
      </c>
      <c r="E732" s="111">
        <v>246157.73</v>
      </c>
      <c r="F732" s="112">
        <v>368171.36</v>
      </c>
      <c r="G732" s="112">
        <v>89026.19</v>
      </c>
      <c r="H732" s="112">
        <v>2647396.34</v>
      </c>
      <c r="I732" s="113">
        <v>3350751.62</v>
      </c>
      <c r="J732"/>
      <c r="K732"/>
      <c r="L732"/>
      <c r="M732"/>
      <c r="N732"/>
    </row>
    <row r="733" spans="1:14" x14ac:dyDescent="0.3">
      <c r="A733" s="102" t="s">
        <v>1249</v>
      </c>
      <c r="B733" s="102" t="s">
        <v>2312</v>
      </c>
      <c r="C733" s="107" t="s">
        <v>54</v>
      </c>
      <c r="D733" s="102">
        <v>6</v>
      </c>
      <c r="E733" s="111">
        <v>0</v>
      </c>
      <c r="F733" s="112">
        <v>0</v>
      </c>
      <c r="G733" s="112">
        <v>0</v>
      </c>
      <c r="H733" s="112">
        <v>0</v>
      </c>
      <c r="I733" s="113">
        <v>0</v>
      </c>
      <c r="J733"/>
      <c r="K733"/>
      <c r="L733"/>
      <c r="M733"/>
      <c r="N733"/>
    </row>
    <row r="734" spans="1:14" x14ac:dyDescent="0.3">
      <c r="A734" s="102" t="s">
        <v>1250</v>
      </c>
      <c r="B734" s="102" t="s">
        <v>2313</v>
      </c>
      <c r="C734" s="107" t="s">
        <v>54</v>
      </c>
      <c r="D734" s="102">
        <v>6</v>
      </c>
      <c r="E734" s="111">
        <v>0</v>
      </c>
      <c r="F734" s="112">
        <v>0</v>
      </c>
      <c r="G734" s="112">
        <v>0</v>
      </c>
      <c r="H734" s="112">
        <v>0</v>
      </c>
      <c r="I734" s="113">
        <v>0</v>
      </c>
      <c r="J734"/>
      <c r="K734"/>
      <c r="L734"/>
      <c r="M734"/>
      <c r="N734"/>
    </row>
    <row r="735" spans="1:14" x14ac:dyDescent="0.3">
      <c r="A735" s="102" t="s">
        <v>1251</v>
      </c>
      <c r="B735" s="102" t="s">
        <v>2314</v>
      </c>
      <c r="C735" s="107" t="s">
        <v>54</v>
      </c>
      <c r="D735" s="102">
        <v>6</v>
      </c>
      <c r="E735" s="111">
        <v>0</v>
      </c>
      <c r="F735" s="112">
        <v>0</v>
      </c>
      <c r="G735" s="112">
        <v>0</v>
      </c>
      <c r="H735" s="112">
        <v>0</v>
      </c>
      <c r="I735" s="113">
        <v>0</v>
      </c>
      <c r="J735"/>
      <c r="K735"/>
      <c r="L735"/>
      <c r="M735"/>
      <c r="N735"/>
    </row>
    <row r="736" spans="1:14" x14ac:dyDescent="0.3">
      <c r="A736" s="102" t="s">
        <v>1252</v>
      </c>
      <c r="B736" s="102" t="s">
        <v>2315</v>
      </c>
      <c r="C736" s="107" t="s">
        <v>54</v>
      </c>
      <c r="D736" s="102">
        <v>6</v>
      </c>
      <c r="E736" s="111">
        <v>309109.39</v>
      </c>
      <c r="F736" s="112">
        <v>281582.2</v>
      </c>
      <c r="G736" s="112">
        <v>342137.13</v>
      </c>
      <c r="H736" s="112">
        <v>3211775.66</v>
      </c>
      <c r="I736" s="113">
        <v>4144604.38</v>
      </c>
      <c r="J736"/>
      <c r="K736"/>
      <c r="L736"/>
      <c r="M736"/>
      <c r="N736"/>
    </row>
    <row r="737" spans="1:14" x14ac:dyDescent="0.3">
      <c r="A737" s="102" t="s">
        <v>1253</v>
      </c>
      <c r="B737" s="102" t="s">
        <v>2316</v>
      </c>
      <c r="C737" s="107" t="s">
        <v>54</v>
      </c>
      <c r="D737" s="102">
        <v>6</v>
      </c>
      <c r="E737" s="111">
        <v>109807.5</v>
      </c>
      <c r="F737" s="112">
        <v>513163.08</v>
      </c>
      <c r="G737" s="112">
        <v>139951.57</v>
      </c>
      <c r="H737" s="112">
        <v>1880872.4</v>
      </c>
      <c r="I737" s="113">
        <v>2643794.5499999998</v>
      </c>
      <c r="J737"/>
      <c r="K737"/>
      <c r="L737"/>
      <c r="M737"/>
      <c r="N737"/>
    </row>
    <row r="738" spans="1:14" x14ac:dyDescent="0.3">
      <c r="A738" s="102" t="s">
        <v>1254</v>
      </c>
      <c r="B738" s="102" t="s">
        <v>2317</v>
      </c>
      <c r="C738" s="107" t="s">
        <v>54</v>
      </c>
      <c r="D738" s="102">
        <v>6</v>
      </c>
      <c r="E738" s="111">
        <v>0</v>
      </c>
      <c r="F738" s="112">
        <v>0</v>
      </c>
      <c r="G738" s="112">
        <v>0</v>
      </c>
      <c r="H738" s="112">
        <v>0</v>
      </c>
      <c r="I738" s="113">
        <v>0</v>
      </c>
      <c r="J738"/>
      <c r="K738"/>
      <c r="L738"/>
      <c r="M738"/>
      <c r="N738"/>
    </row>
    <row r="739" spans="1:14" x14ac:dyDescent="0.3">
      <c r="A739" s="102" t="s">
        <v>1255</v>
      </c>
      <c r="B739" s="102" t="s">
        <v>2096</v>
      </c>
      <c r="C739" s="107" t="s">
        <v>54</v>
      </c>
      <c r="D739" s="102">
        <v>6</v>
      </c>
      <c r="E739" s="111">
        <v>70993.850000000006</v>
      </c>
      <c r="F739" s="112">
        <v>0</v>
      </c>
      <c r="G739" s="112">
        <v>0</v>
      </c>
      <c r="H739" s="112">
        <v>1328948.42</v>
      </c>
      <c r="I739" s="113">
        <v>1399942.27</v>
      </c>
      <c r="J739"/>
      <c r="K739"/>
      <c r="L739"/>
      <c r="M739"/>
      <c r="N739"/>
    </row>
    <row r="740" spans="1:14" x14ac:dyDescent="0.3">
      <c r="A740" s="102" t="s">
        <v>1256</v>
      </c>
      <c r="B740" s="102" t="s">
        <v>2318</v>
      </c>
      <c r="C740" s="107" t="s">
        <v>54</v>
      </c>
      <c r="D740" s="102">
        <v>6</v>
      </c>
      <c r="E740" s="111">
        <v>-243753.01</v>
      </c>
      <c r="F740" s="112">
        <v>-426573.92</v>
      </c>
      <c r="G740" s="112">
        <v>-393062.51</v>
      </c>
      <c r="H740" s="112">
        <v>-3774200.14</v>
      </c>
      <c r="I740" s="113">
        <v>-4837589.58</v>
      </c>
      <c r="J740"/>
      <c r="K740"/>
      <c r="L740"/>
      <c r="M740"/>
      <c r="N740"/>
    </row>
    <row r="741" spans="1:14" x14ac:dyDescent="0.3">
      <c r="A741" s="102" t="s">
        <v>1257</v>
      </c>
      <c r="B741" s="102" t="s">
        <v>2319</v>
      </c>
      <c r="C741" s="107" t="s">
        <v>54</v>
      </c>
      <c r="D741" s="102">
        <v>4</v>
      </c>
      <c r="E741" s="111">
        <v>8905.1299999999992</v>
      </c>
      <c r="F741" s="112">
        <v>123266.8</v>
      </c>
      <c r="G741" s="112">
        <v>29709.360000000001</v>
      </c>
      <c r="H741" s="112">
        <v>895433.19</v>
      </c>
      <c r="I741" s="113">
        <v>1057314.48</v>
      </c>
      <c r="J741"/>
      <c r="K741"/>
      <c r="L741"/>
      <c r="M741"/>
      <c r="N741"/>
    </row>
    <row r="742" spans="1:14" x14ac:dyDescent="0.3">
      <c r="A742" s="102" t="s">
        <v>1989</v>
      </c>
      <c r="B742" s="102" t="s">
        <v>2320</v>
      </c>
      <c r="C742" s="107" t="s">
        <v>54</v>
      </c>
      <c r="D742" s="102">
        <v>6</v>
      </c>
      <c r="E742" s="111">
        <v>0</v>
      </c>
      <c r="F742" s="112">
        <v>6547.83</v>
      </c>
      <c r="G742" s="112">
        <v>0</v>
      </c>
      <c r="H742" s="112">
        <v>643490.96</v>
      </c>
      <c r="I742" s="113">
        <v>650038.79</v>
      </c>
      <c r="J742"/>
      <c r="K742"/>
      <c r="L742"/>
      <c r="M742"/>
      <c r="N742"/>
    </row>
    <row r="743" spans="1:14" x14ac:dyDescent="0.3">
      <c r="A743" s="102" t="s">
        <v>1258</v>
      </c>
      <c r="B743" s="102" t="s">
        <v>2321</v>
      </c>
      <c r="C743" s="107" t="s">
        <v>54</v>
      </c>
      <c r="D743" s="102">
        <v>6</v>
      </c>
      <c r="E743" s="111">
        <v>8905.1299999999992</v>
      </c>
      <c r="F743" s="112">
        <v>116718.97</v>
      </c>
      <c r="G743" s="112">
        <v>29709.360000000001</v>
      </c>
      <c r="H743" s="112">
        <v>251942.23</v>
      </c>
      <c r="I743" s="113">
        <v>407275.69</v>
      </c>
      <c r="J743"/>
      <c r="K743"/>
      <c r="L743"/>
      <c r="M743"/>
      <c r="N743"/>
    </row>
    <row r="744" spans="1:14" x14ac:dyDescent="0.3">
      <c r="A744" s="102" t="s">
        <v>1259</v>
      </c>
      <c r="B744" s="102" t="s">
        <v>2322</v>
      </c>
      <c r="C744" s="107" t="s">
        <v>54</v>
      </c>
      <c r="D744" s="102">
        <v>4</v>
      </c>
      <c r="E744" s="111">
        <v>0</v>
      </c>
      <c r="F744" s="112">
        <v>0</v>
      </c>
      <c r="G744" s="112">
        <v>0</v>
      </c>
      <c r="H744" s="112">
        <v>0</v>
      </c>
      <c r="I744" s="113">
        <v>0</v>
      </c>
      <c r="J744"/>
      <c r="K744"/>
      <c r="L744"/>
      <c r="M744"/>
      <c r="N744"/>
    </row>
    <row r="745" spans="1:14" x14ac:dyDescent="0.3">
      <c r="A745" s="102" t="s">
        <v>1260</v>
      </c>
      <c r="B745" s="102" t="s">
        <v>2323</v>
      </c>
      <c r="C745" s="107" t="s">
        <v>54</v>
      </c>
      <c r="D745" s="102">
        <v>4</v>
      </c>
      <c r="E745" s="111">
        <v>0</v>
      </c>
      <c r="F745" s="112">
        <v>0</v>
      </c>
      <c r="G745" s="112">
        <v>0</v>
      </c>
      <c r="H745" s="112">
        <v>0</v>
      </c>
      <c r="I745" s="113">
        <v>0</v>
      </c>
      <c r="J745"/>
      <c r="K745"/>
      <c r="L745"/>
      <c r="M745"/>
      <c r="N745"/>
    </row>
    <row r="746" spans="1:14" x14ac:dyDescent="0.3">
      <c r="A746" s="102" t="s">
        <v>1261</v>
      </c>
      <c r="B746" s="102" t="s">
        <v>2324</v>
      </c>
      <c r="C746" s="107" t="s">
        <v>54</v>
      </c>
      <c r="D746" s="102">
        <v>6</v>
      </c>
      <c r="E746" s="111">
        <v>0</v>
      </c>
      <c r="F746" s="112">
        <v>0</v>
      </c>
      <c r="G746" s="112">
        <v>0</v>
      </c>
      <c r="H746" s="112">
        <v>0</v>
      </c>
      <c r="I746" s="113">
        <v>0</v>
      </c>
      <c r="J746"/>
      <c r="K746"/>
      <c r="L746"/>
      <c r="M746"/>
      <c r="N746"/>
    </row>
    <row r="747" spans="1:14" x14ac:dyDescent="0.3">
      <c r="A747" s="102" t="s">
        <v>1262</v>
      </c>
      <c r="B747" s="102" t="s">
        <v>2325</v>
      </c>
      <c r="C747" s="107" t="s">
        <v>54</v>
      </c>
      <c r="D747" s="102">
        <v>6</v>
      </c>
      <c r="E747" s="111">
        <v>0</v>
      </c>
      <c r="F747" s="112">
        <v>0</v>
      </c>
      <c r="G747" s="112">
        <v>0</v>
      </c>
      <c r="H747" s="112">
        <v>0</v>
      </c>
      <c r="I747" s="113">
        <v>0</v>
      </c>
      <c r="J747"/>
      <c r="K747"/>
      <c r="L747"/>
      <c r="M747"/>
      <c r="N747"/>
    </row>
    <row r="748" spans="1:14" x14ac:dyDescent="0.3">
      <c r="A748" s="102" t="s">
        <v>1263</v>
      </c>
      <c r="B748" s="102" t="s">
        <v>2096</v>
      </c>
      <c r="C748" s="107" t="s">
        <v>54</v>
      </c>
      <c r="D748" s="102">
        <v>4</v>
      </c>
      <c r="E748" s="111">
        <v>2899.54</v>
      </c>
      <c r="F748" s="112">
        <v>139888.66</v>
      </c>
      <c r="G748" s="112">
        <v>770552.51</v>
      </c>
      <c r="H748" s="112">
        <v>6242012.1200000001</v>
      </c>
      <c r="I748" s="113">
        <v>7155352.8300000001</v>
      </c>
      <c r="J748"/>
      <c r="K748"/>
      <c r="L748"/>
      <c r="M748"/>
      <c r="N748"/>
    </row>
    <row r="749" spans="1:14" x14ac:dyDescent="0.3">
      <c r="A749" s="102" t="s">
        <v>1264</v>
      </c>
      <c r="B749" s="102" t="s">
        <v>2326</v>
      </c>
      <c r="C749" s="107" t="s">
        <v>54</v>
      </c>
      <c r="D749" s="102">
        <v>6</v>
      </c>
      <c r="E749" s="111">
        <v>0</v>
      </c>
      <c r="F749" s="112">
        <v>23.76</v>
      </c>
      <c r="G749" s="112">
        <v>0</v>
      </c>
      <c r="H749" s="112">
        <v>79258.490000000005</v>
      </c>
      <c r="I749" s="113">
        <v>79282.25</v>
      </c>
      <c r="J749"/>
      <c r="K749"/>
      <c r="L749"/>
      <c r="M749"/>
      <c r="N749"/>
    </row>
    <row r="750" spans="1:14" x14ac:dyDescent="0.3">
      <c r="A750" s="102" t="s">
        <v>1265</v>
      </c>
      <c r="B750" s="102" t="s">
        <v>2327</v>
      </c>
      <c r="C750" s="107" t="s">
        <v>54</v>
      </c>
      <c r="D750" s="102">
        <v>6</v>
      </c>
      <c r="E750" s="111">
        <v>2115.54</v>
      </c>
      <c r="F750" s="112">
        <v>744.31</v>
      </c>
      <c r="G750" s="112">
        <v>95628.09</v>
      </c>
      <c r="H750" s="112">
        <v>1353765.29</v>
      </c>
      <c r="I750" s="113">
        <v>1452253.23</v>
      </c>
      <c r="J750"/>
      <c r="K750"/>
      <c r="L750"/>
      <c r="M750"/>
      <c r="N750"/>
    </row>
    <row r="751" spans="1:14" x14ac:dyDescent="0.3">
      <c r="A751" s="102" t="s">
        <v>1266</v>
      </c>
      <c r="B751" s="102" t="s">
        <v>2328</v>
      </c>
      <c r="C751" s="107" t="s">
        <v>54</v>
      </c>
      <c r="D751" s="102">
        <v>6</v>
      </c>
      <c r="E751" s="111">
        <v>784</v>
      </c>
      <c r="F751" s="112">
        <v>5425.05</v>
      </c>
      <c r="G751" s="112">
        <v>70470</v>
      </c>
      <c r="H751" s="112">
        <v>56424.160000000003</v>
      </c>
      <c r="I751" s="113">
        <v>133103.21</v>
      </c>
      <c r="J751"/>
      <c r="K751"/>
      <c r="L751"/>
      <c r="M751"/>
      <c r="N751"/>
    </row>
    <row r="752" spans="1:14" x14ac:dyDescent="0.3">
      <c r="A752" s="102" t="s">
        <v>1267</v>
      </c>
      <c r="B752" s="102" t="s">
        <v>2329</v>
      </c>
      <c r="C752" s="107" t="s">
        <v>54</v>
      </c>
      <c r="D752" s="102">
        <v>6</v>
      </c>
      <c r="E752" s="111">
        <v>0</v>
      </c>
      <c r="F752" s="112">
        <v>0</v>
      </c>
      <c r="G752" s="112">
        <v>7</v>
      </c>
      <c r="H752" s="112">
        <v>405.83</v>
      </c>
      <c r="I752" s="113">
        <v>412.83</v>
      </c>
      <c r="J752"/>
      <c r="K752"/>
      <c r="L752"/>
      <c r="M752"/>
      <c r="N752"/>
    </row>
    <row r="753" spans="1:14" x14ac:dyDescent="0.3">
      <c r="A753" s="102" t="s">
        <v>1268</v>
      </c>
      <c r="B753" s="102" t="s">
        <v>2330</v>
      </c>
      <c r="C753" s="107" t="s">
        <v>54</v>
      </c>
      <c r="D753" s="102">
        <v>6</v>
      </c>
      <c r="E753" s="111">
        <v>0</v>
      </c>
      <c r="F753" s="112">
        <v>133695.54</v>
      </c>
      <c r="G753" s="112">
        <v>604447.42000000004</v>
      </c>
      <c r="H753" s="112">
        <v>4752158.3499999996</v>
      </c>
      <c r="I753" s="113">
        <v>5490301.3100000005</v>
      </c>
      <c r="J753"/>
      <c r="K753"/>
      <c r="L753"/>
      <c r="M753"/>
      <c r="N753"/>
    </row>
    <row r="754" spans="1:14" x14ac:dyDescent="0.3">
      <c r="A754" s="102" t="s">
        <v>1269</v>
      </c>
      <c r="B754" s="102" t="s">
        <v>2331</v>
      </c>
      <c r="C754" s="107" t="s">
        <v>54</v>
      </c>
      <c r="D754" s="102">
        <v>4</v>
      </c>
      <c r="E754" s="111">
        <v>-1450.49</v>
      </c>
      <c r="F754" s="112">
        <v>-10926.7</v>
      </c>
      <c r="G754" s="112">
        <v>-12510.08</v>
      </c>
      <c r="H754" s="112">
        <v>-1239612.8700000001</v>
      </c>
      <c r="I754" s="113">
        <v>-1264500.1400000001</v>
      </c>
      <c r="J754"/>
      <c r="K754"/>
      <c r="L754"/>
      <c r="M754"/>
      <c r="N754"/>
    </row>
    <row r="755" spans="1:14" x14ac:dyDescent="0.3">
      <c r="A755" s="102" t="s">
        <v>1270</v>
      </c>
      <c r="B755" s="102" t="s">
        <v>2332</v>
      </c>
      <c r="C755" s="107" t="s">
        <v>54</v>
      </c>
      <c r="D755" s="102">
        <v>6</v>
      </c>
      <c r="E755" s="111">
        <v>0</v>
      </c>
      <c r="F755" s="112">
        <v>-1496.83</v>
      </c>
      <c r="G755" s="112">
        <v>0</v>
      </c>
      <c r="H755" s="112">
        <v>-24836.32</v>
      </c>
      <c r="I755" s="113">
        <v>-26333.15</v>
      </c>
      <c r="J755"/>
      <c r="K755"/>
      <c r="L755"/>
      <c r="M755"/>
      <c r="N755"/>
    </row>
    <row r="756" spans="1:14" x14ac:dyDescent="0.3">
      <c r="A756" s="102" t="s">
        <v>1271</v>
      </c>
      <c r="B756" s="102" t="s">
        <v>2333</v>
      </c>
      <c r="C756" s="107" t="s">
        <v>54</v>
      </c>
      <c r="D756" s="102">
        <v>6</v>
      </c>
      <c r="E756" s="111">
        <v>0</v>
      </c>
      <c r="F756" s="112">
        <v>-190.7</v>
      </c>
      <c r="G756" s="112">
        <v>0</v>
      </c>
      <c r="H756" s="112">
        <v>-210638.38</v>
      </c>
      <c r="I756" s="113">
        <v>-210829.08</v>
      </c>
      <c r="J756"/>
      <c r="K756"/>
      <c r="L756"/>
      <c r="M756"/>
      <c r="N756"/>
    </row>
    <row r="757" spans="1:14" x14ac:dyDescent="0.3">
      <c r="A757" s="102" t="s">
        <v>1272</v>
      </c>
      <c r="B757" s="102" t="s">
        <v>2334</v>
      </c>
      <c r="C757" s="107" t="s">
        <v>54</v>
      </c>
      <c r="D757" s="102">
        <v>6</v>
      </c>
      <c r="E757" s="111">
        <v>-1450.49</v>
      </c>
      <c r="F757" s="112">
        <v>-9239.17</v>
      </c>
      <c r="G757" s="112">
        <v>-12510.08</v>
      </c>
      <c r="H757" s="112">
        <v>-1004138.17</v>
      </c>
      <c r="I757" s="113">
        <v>-1027337.9099999999</v>
      </c>
      <c r="J757"/>
      <c r="K757"/>
      <c r="L757"/>
      <c r="M757"/>
      <c r="N757"/>
    </row>
    <row r="758" spans="1:14" x14ac:dyDescent="0.3">
      <c r="A758" s="102" t="s">
        <v>53</v>
      </c>
      <c r="B758" s="102" t="s">
        <v>289</v>
      </c>
      <c r="C758" s="107" t="s">
        <v>53</v>
      </c>
      <c r="D758" s="102">
        <v>1</v>
      </c>
      <c r="E758" s="111">
        <v>25667096.23</v>
      </c>
      <c r="F758" s="112">
        <v>164324105.62</v>
      </c>
      <c r="G758" s="112">
        <v>47571309.710000001</v>
      </c>
      <c r="H758" s="112">
        <v>652707573.96000004</v>
      </c>
      <c r="I758" s="113">
        <v>890270085.5200001</v>
      </c>
      <c r="J758"/>
      <c r="K758"/>
      <c r="L758"/>
      <c r="M758"/>
      <c r="N758"/>
    </row>
    <row r="759" spans="1:14" x14ac:dyDescent="0.3">
      <c r="A759" s="102" t="s">
        <v>1273</v>
      </c>
      <c r="B759" s="102" t="s">
        <v>2335</v>
      </c>
      <c r="C759" s="107" t="s">
        <v>53</v>
      </c>
      <c r="D759" s="102">
        <v>2</v>
      </c>
      <c r="E759" s="111">
        <v>24069196.780000001</v>
      </c>
      <c r="F759" s="112">
        <v>159252799.25999999</v>
      </c>
      <c r="G759" s="112">
        <v>44158686.950000003</v>
      </c>
      <c r="H759" s="112">
        <v>595876774.51999998</v>
      </c>
      <c r="I759" s="113">
        <v>823357457.50999999</v>
      </c>
      <c r="J759"/>
      <c r="K759"/>
      <c r="L759"/>
      <c r="M759"/>
      <c r="N759"/>
    </row>
    <row r="760" spans="1:14" x14ac:dyDescent="0.3">
      <c r="A760" s="102" t="s">
        <v>1274</v>
      </c>
      <c r="B760" s="102" t="s">
        <v>2336</v>
      </c>
      <c r="C760" s="107" t="s">
        <v>53</v>
      </c>
      <c r="D760" s="102">
        <v>4</v>
      </c>
      <c r="E760" s="111">
        <v>5226921.38</v>
      </c>
      <c r="F760" s="112">
        <v>52397546.590000004</v>
      </c>
      <c r="G760" s="112">
        <v>10912615.619999999</v>
      </c>
      <c r="H760" s="112">
        <v>189616831.97999999</v>
      </c>
      <c r="I760" s="113">
        <v>258153915.56999999</v>
      </c>
      <c r="J760"/>
      <c r="K760"/>
      <c r="L760"/>
      <c r="M760"/>
      <c r="N760"/>
    </row>
    <row r="761" spans="1:14" x14ac:dyDescent="0.3">
      <c r="A761" s="102" t="s">
        <v>1275</v>
      </c>
      <c r="B761" s="102" t="s">
        <v>2337</v>
      </c>
      <c r="C761" s="107" t="s">
        <v>53</v>
      </c>
      <c r="D761" s="102">
        <v>6</v>
      </c>
      <c r="E761" s="111">
        <v>5218269.5</v>
      </c>
      <c r="F761" s="112">
        <v>51957267.579999998</v>
      </c>
      <c r="G761" s="112">
        <v>10906495.689999999</v>
      </c>
      <c r="H761" s="112">
        <v>188982506.15000001</v>
      </c>
      <c r="I761" s="113">
        <v>257064538.92000005</v>
      </c>
      <c r="J761"/>
      <c r="K761"/>
      <c r="L761"/>
      <c r="M761"/>
      <c r="N761"/>
    </row>
    <row r="762" spans="1:14" x14ac:dyDescent="0.3">
      <c r="A762" s="102" t="s">
        <v>1276</v>
      </c>
      <c r="B762" s="102" t="s">
        <v>2338</v>
      </c>
      <c r="C762" s="107" t="s">
        <v>53</v>
      </c>
      <c r="D762" s="102">
        <v>6</v>
      </c>
      <c r="E762" s="111">
        <v>0</v>
      </c>
      <c r="F762" s="112">
        <v>392508.54</v>
      </c>
      <c r="G762" s="112">
        <v>0</v>
      </c>
      <c r="H762" s="112">
        <v>165328.60999999999</v>
      </c>
      <c r="I762" s="113">
        <v>557837.15</v>
      </c>
      <c r="J762"/>
      <c r="K762"/>
      <c r="L762"/>
      <c r="M762"/>
      <c r="N762"/>
    </row>
    <row r="763" spans="1:14" x14ac:dyDescent="0.3">
      <c r="A763" s="102" t="s">
        <v>1277</v>
      </c>
      <c r="B763" s="102" t="s">
        <v>2339</v>
      </c>
      <c r="C763" s="107" t="s">
        <v>53</v>
      </c>
      <c r="D763" s="102">
        <v>6</v>
      </c>
      <c r="E763" s="111">
        <v>0</v>
      </c>
      <c r="F763" s="112">
        <v>0</v>
      </c>
      <c r="G763" s="112">
        <v>0</v>
      </c>
      <c r="H763" s="112">
        <v>86019.96</v>
      </c>
      <c r="I763" s="113">
        <v>86019.96</v>
      </c>
      <c r="J763"/>
      <c r="K763"/>
      <c r="L763"/>
      <c r="M763"/>
      <c r="N763"/>
    </row>
    <row r="764" spans="1:14" x14ac:dyDescent="0.3">
      <c r="A764" s="102" t="s">
        <v>1278</v>
      </c>
      <c r="B764" s="102" t="s">
        <v>2340</v>
      </c>
      <c r="C764" s="107" t="s">
        <v>53</v>
      </c>
      <c r="D764" s="102">
        <v>6</v>
      </c>
      <c r="E764" s="111">
        <v>8651.8799999999992</v>
      </c>
      <c r="F764" s="112">
        <v>47770.47</v>
      </c>
      <c r="G764" s="112">
        <v>6119.93</v>
      </c>
      <c r="H764" s="112">
        <v>382977.26</v>
      </c>
      <c r="I764" s="113">
        <v>445519.54</v>
      </c>
      <c r="J764"/>
      <c r="K764"/>
      <c r="L764"/>
      <c r="M764"/>
      <c r="N764"/>
    </row>
    <row r="765" spans="1:14" x14ac:dyDescent="0.3">
      <c r="A765" s="102" t="s">
        <v>1279</v>
      </c>
      <c r="B765" s="102" t="s">
        <v>2341</v>
      </c>
      <c r="C765" s="107" t="s">
        <v>53</v>
      </c>
      <c r="D765" s="102">
        <v>6</v>
      </c>
      <c r="E765" s="111">
        <v>0</v>
      </c>
      <c r="F765" s="112">
        <v>0</v>
      </c>
      <c r="G765" s="112">
        <v>0</v>
      </c>
      <c r="H765" s="112">
        <v>0</v>
      </c>
      <c r="I765" s="113">
        <v>0</v>
      </c>
      <c r="J765"/>
      <c r="K765"/>
      <c r="L765"/>
      <c r="M765"/>
      <c r="N765"/>
    </row>
    <row r="766" spans="1:14" x14ac:dyDescent="0.3">
      <c r="A766" s="102" t="s">
        <v>1280</v>
      </c>
      <c r="B766" s="102" t="s">
        <v>2342</v>
      </c>
      <c r="C766" s="107" t="s">
        <v>53</v>
      </c>
      <c r="D766" s="102">
        <v>4</v>
      </c>
      <c r="E766" s="111">
        <v>0</v>
      </c>
      <c r="F766" s="112">
        <v>0</v>
      </c>
      <c r="G766" s="112">
        <v>0</v>
      </c>
      <c r="H766" s="112">
        <v>0</v>
      </c>
      <c r="I766" s="113">
        <v>0</v>
      </c>
      <c r="J766"/>
      <c r="K766"/>
      <c r="L766"/>
      <c r="M766"/>
      <c r="N766"/>
    </row>
    <row r="767" spans="1:14" x14ac:dyDescent="0.3">
      <c r="A767" s="102" t="s">
        <v>1281</v>
      </c>
      <c r="B767" s="102" t="s">
        <v>2343</v>
      </c>
      <c r="C767" s="107" t="s">
        <v>53</v>
      </c>
      <c r="D767" s="102">
        <v>6</v>
      </c>
      <c r="E767" s="111">
        <v>0</v>
      </c>
      <c r="F767" s="112">
        <v>0</v>
      </c>
      <c r="G767" s="112">
        <v>0</v>
      </c>
      <c r="H767" s="112">
        <v>0</v>
      </c>
      <c r="I767" s="113">
        <v>0</v>
      </c>
      <c r="J767"/>
      <c r="K767"/>
      <c r="L767"/>
      <c r="M767"/>
      <c r="N767"/>
    </row>
    <row r="768" spans="1:14" x14ac:dyDescent="0.3">
      <c r="A768" s="102" t="s">
        <v>1282</v>
      </c>
      <c r="B768" s="102" t="s">
        <v>2344</v>
      </c>
      <c r="C768" s="107" t="s">
        <v>53</v>
      </c>
      <c r="D768" s="102">
        <v>6</v>
      </c>
      <c r="E768" s="111">
        <v>0</v>
      </c>
      <c r="F768" s="112">
        <v>0</v>
      </c>
      <c r="G768" s="112">
        <v>0</v>
      </c>
      <c r="H768" s="112">
        <v>0</v>
      </c>
      <c r="I768" s="113">
        <v>0</v>
      </c>
      <c r="J768"/>
      <c r="K768"/>
      <c r="L768"/>
      <c r="M768"/>
      <c r="N768"/>
    </row>
    <row r="769" spans="1:14" x14ac:dyDescent="0.3">
      <c r="A769" s="102" t="s">
        <v>1283</v>
      </c>
      <c r="B769" s="102" t="s">
        <v>2345</v>
      </c>
      <c r="C769" s="107" t="s">
        <v>53</v>
      </c>
      <c r="D769" s="102">
        <v>6</v>
      </c>
      <c r="E769" s="111">
        <v>0</v>
      </c>
      <c r="F769" s="112">
        <v>0</v>
      </c>
      <c r="G769" s="112">
        <v>0</v>
      </c>
      <c r="H769" s="112">
        <v>0</v>
      </c>
      <c r="I769" s="113">
        <v>0</v>
      </c>
      <c r="J769"/>
      <c r="K769"/>
      <c r="L769"/>
      <c r="M769"/>
      <c r="N769"/>
    </row>
    <row r="770" spans="1:14" x14ac:dyDescent="0.3">
      <c r="A770" s="102" t="s">
        <v>1284</v>
      </c>
      <c r="B770" s="102" t="s">
        <v>2346</v>
      </c>
      <c r="C770" s="107" t="s">
        <v>53</v>
      </c>
      <c r="D770" s="102">
        <v>4</v>
      </c>
      <c r="E770" s="111">
        <v>17495172.780000001</v>
      </c>
      <c r="F770" s="112">
        <v>106004550.97</v>
      </c>
      <c r="G770" s="112">
        <v>32299888.859999999</v>
      </c>
      <c r="H770" s="112">
        <v>397379674.02999997</v>
      </c>
      <c r="I770" s="113">
        <v>553179286.63999999</v>
      </c>
      <c r="J770"/>
      <c r="K770"/>
      <c r="L770"/>
      <c r="M770"/>
      <c r="N770"/>
    </row>
    <row r="771" spans="1:14" x14ac:dyDescent="0.3">
      <c r="A771" s="102" t="s">
        <v>1285</v>
      </c>
      <c r="B771" s="102" t="s">
        <v>2067</v>
      </c>
      <c r="C771" s="107" t="s">
        <v>53</v>
      </c>
      <c r="D771" s="102">
        <v>6</v>
      </c>
      <c r="E771" s="111">
        <v>2141045.4900000002</v>
      </c>
      <c r="F771" s="112">
        <v>19502256.550000001</v>
      </c>
      <c r="G771" s="112">
        <v>3482451.68</v>
      </c>
      <c r="H771" s="112">
        <v>81686219.019999996</v>
      </c>
      <c r="I771" s="113">
        <v>106811972.73999999</v>
      </c>
      <c r="J771"/>
      <c r="K771"/>
      <c r="L771"/>
      <c r="M771"/>
      <c r="N771"/>
    </row>
    <row r="772" spans="1:14" x14ac:dyDescent="0.3">
      <c r="A772" s="102" t="s">
        <v>1286</v>
      </c>
      <c r="B772" s="102" t="s">
        <v>2068</v>
      </c>
      <c r="C772" s="107" t="s">
        <v>53</v>
      </c>
      <c r="D772" s="102">
        <v>6</v>
      </c>
      <c r="E772" s="111">
        <v>3506628.09</v>
      </c>
      <c r="F772" s="112">
        <v>31871743.82</v>
      </c>
      <c r="G772" s="112">
        <v>6996486.4400000004</v>
      </c>
      <c r="H772" s="112">
        <v>110579272.87</v>
      </c>
      <c r="I772" s="113">
        <v>152954131.22</v>
      </c>
      <c r="J772"/>
      <c r="K772"/>
      <c r="L772"/>
      <c r="M772"/>
      <c r="N772"/>
    </row>
    <row r="773" spans="1:14" x14ac:dyDescent="0.3">
      <c r="A773" s="102" t="s">
        <v>1287</v>
      </c>
      <c r="B773" s="102" t="s">
        <v>2069</v>
      </c>
      <c r="C773" s="107" t="s">
        <v>53</v>
      </c>
      <c r="D773" s="102">
        <v>6</v>
      </c>
      <c r="E773" s="111">
        <v>5231694.46</v>
      </c>
      <c r="F773" s="112">
        <v>32591683.66</v>
      </c>
      <c r="G773" s="112">
        <v>9655267.4399999995</v>
      </c>
      <c r="H773" s="112">
        <v>118692684.97</v>
      </c>
      <c r="I773" s="113">
        <v>166171330.53</v>
      </c>
      <c r="J773"/>
      <c r="K773"/>
      <c r="L773"/>
      <c r="M773"/>
      <c r="N773"/>
    </row>
    <row r="774" spans="1:14" x14ac:dyDescent="0.3">
      <c r="A774" s="102" t="s">
        <v>1288</v>
      </c>
      <c r="B774" s="102" t="s">
        <v>2070</v>
      </c>
      <c r="C774" s="107" t="s">
        <v>53</v>
      </c>
      <c r="D774" s="102">
        <v>6</v>
      </c>
      <c r="E774" s="111">
        <v>5494633.6399999997</v>
      </c>
      <c r="F774" s="112">
        <v>19880204.350000001</v>
      </c>
      <c r="G774" s="112">
        <v>9797730.2699999996</v>
      </c>
      <c r="H774" s="112">
        <v>77405329.359999999</v>
      </c>
      <c r="I774" s="113">
        <v>112577897.62000002</v>
      </c>
      <c r="J774"/>
      <c r="K774"/>
      <c r="L774"/>
      <c r="M774"/>
      <c r="N774"/>
    </row>
    <row r="775" spans="1:14" x14ac:dyDescent="0.3">
      <c r="A775" s="102" t="s">
        <v>1289</v>
      </c>
      <c r="B775" s="102" t="s">
        <v>2347</v>
      </c>
      <c r="C775" s="107" t="s">
        <v>53</v>
      </c>
      <c r="D775" s="102">
        <v>6</v>
      </c>
      <c r="E775" s="111">
        <v>1121171.1000000001</v>
      </c>
      <c r="F775" s="112">
        <v>2158662.59</v>
      </c>
      <c r="G775" s="112">
        <v>2367953.0299999998</v>
      </c>
      <c r="H775" s="112">
        <v>9016167.8100000005</v>
      </c>
      <c r="I775" s="113">
        <v>14663954.529999999</v>
      </c>
      <c r="J775"/>
      <c r="K775"/>
      <c r="L775"/>
      <c r="M775"/>
      <c r="N775"/>
    </row>
    <row r="776" spans="1:14" x14ac:dyDescent="0.3">
      <c r="A776" s="102" t="s">
        <v>1290</v>
      </c>
      <c r="B776" s="102" t="s">
        <v>2340</v>
      </c>
      <c r="C776" s="107" t="s">
        <v>53</v>
      </c>
      <c r="D776" s="102">
        <v>6</v>
      </c>
      <c r="E776" s="111">
        <v>0</v>
      </c>
      <c r="F776" s="112">
        <v>0</v>
      </c>
      <c r="G776" s="112">
        <v>0</v>
      </c>
      <c r="H776" s="112">
        <v>0</v>
      </c>
      <c r="I776" s="113">
        <v>0</v>
      </c>
      <c r="J776"/>
      <c r="K776"/>
      <c r="L776"/>
      <c r="M776"/>
      <c r="N776"/>
    </row>
    <row r="777" spans="1:14" x14ac:dyDescent="0.3">
      <c r="A777" s="102" t="s">
        <v>1291</v>
      </c>
      <c r="B777" s="102" t="s">
        <v>2348</v>
      </c>
      <c r="C777" s="107" t="s">
        <v>53</v>
      </c>
      <c r="D777" s="102">
        <v>4</v>
      </c>
      <c r="E777" s="111">
        <v>1128378.29</v>
      </c>
      <c r="F777" s="112">
        <v>0</v>
      </c>
      <c r="G777" s="112">
        <v>0</v>
      </c>
      <c r="H777" s="112">
        <v>3920</v>
      </c>
      <c r="I777" s="113">
        <v>1132298.29</v>
      </c>
      <c r="J777"/>
      <c r="K777"/>
      <c r="L777"/>
      <c r="M777"/>
      <c r="N777"/>
    </row>
    <row r="778" spans="1:14" x14ac:dyDescent="0.3">
      <c r="A778" s="102" t="s">
        <v>1292</v>
      </c>
      <c r="B778" s="102" t="s">
        <v>2349</v>
      </c>
      <c r="C778" s="107" t="s">
        <v>53</v>
      </c>
      <c r="D778" s="102">
        <v>4</v>
      </c>
      <c r="E778" s="111">
        <v>218724.33</v>
      </c>
      <c r="F778" s="112">
        <v>850701.7</v>
      </c>
      <c r="G778" s="112">
        <v>946182.47</v>
      </c>
      <c r="H778" s="112">
        <v>8876348.5099999998</v>
      </c>
      <c r="I778" s="113">
        <v>10891957.01</v>
      </c>
      <c r="J778"/>
      <c r="K778"/>
      <c r="L778"/>
      <c r="M778"/>
      <c r="N778"/>
    </row>
    <row r="779" spans="1:14" x14ac:dyDescent="0.3">
      <c r="A779" s="102" t="s">
        <v>1293</v>
      </c>
      <c r="B779" s="102" t="s">
        <v>2015</v>
      </c>
      <c r="C779" s="107" t="s">
        <v>53</v>
      </c>
      <c r="D779" s="102">
        <v>2</v>
      </c>
      <c r="E779" s="111">
        <v>0</v>
      </c>
      <c r="F779" s="112">
        <v>0</v>
      </c>
      <c r="G779" s="112">
        <v>0</v>
      </c>
      <c r="H779" s="112">
        <v>0</v>
      </c>
      <c r="I779" s="113">
        <v>0</v>
      </c>
      <c r="J779"/>
      <c r="K779"/>
      <c r="L779"/>
      <c r="M779"/>
      <c r="N779"/>
    </row>
    <row r="780" spans="1:14" x14ac:dyDescent="0.3">
      <c r="A780" s="102" t="s">
        <v>1294</v>
      </c>
      <c r="B780" s="102" t="s">
        <v>2350</v>
      </c>
      <c r="C780" s="107" t="s">
        <v>53</v>
      </c>
      <c r="D780" s="102">
        <v>4</v>
      </c>
      <c r="E780" s="111">
        <v>0</v>
      </c>
      <c r="F780" s="112">
        <v>0</v>
      </c>
      <c r="G780" s="112">
        <v>0</v>
      </c>
      <c r="H780" s="112">
        <v>0</v>
      </c>
      <c r="I780" s="113">
        <v>0</v>
      </c>
      <c r="J780"/>
      <c r="K780"/>
      <c r="L780"/>
      <c r="M780"/>
      <c r="N780"/>
    </row>
    <row r="781" spans="1:14" x14ac:dyDescent="0.3">
      <c r="A781" s="102" t="s">
        <v>1295</v>
      </c>
      <c r="B781" s="102" t="s">
        <v>2048</v>
      </c>
      <c r="C781" s="107" t="s">
        <v>53</v>
      </c>
      <c r="D781" s="102">
        <v>6</v>
      </c>
      <c r="E781" s="111">
        <v>0</v>
      </c>
      <c r="F781" s="112">
        <v>0</v>
      </c>
      <c r="G781" s="112">
        <v>0</v>
      </c>
      <c r="H781" s="112">
        <v>0</v>
      </c>
      <c r="I781" s="113">
        <v>0</v>
      </c>
      <c r="J781"/>
      <c r="K781"/>
      <c r="L781"/>
      <c r="M781"/>
      <c r="N781"/>
    </row>
    <row r="782" spans="1:14" x14ac:dyDescent="0.3">
      <c r="A782" s="102" t="s">
        <v>1296</v>
      </c>
      <c r="B782" s="102" t="s">
        <v>2049</v>
      </c>
      <c r="C782" s="107" t="s">
        <v>53</v>
      </c>
      <c r="D782" s="102">
        <v>6</v>
      </c>
      <c r="E782" s="111">
        <v>0</v>
      </c>
      <c r="F782" s="112">
        <v>0</v>
      </c>
      <c r="G782" s="112">
        <v>0</v>
      </c>
      <c r="H782" s="112">
        <v>0</v>
      </c>
      <c r="I782" s="113">
        <v>0</v>
      </c>
      <c r="J782"/>
      <c r="K782"/>
      <c r="L782"/>
      <c r="M782"/>
      <c r="N782"/>
    </row>
    <row r="783" spans="1:14" x14ac:dyDescent="0.3">
      <c r="A783" s="102" t="s">
        <v>1297</v>
      </c>
      <c r="B783" s="102" t="s">
        <v>2042</v>
      </c>
      <c r="C783" s="107" t="s">
        <v>53</v>
      </c>
      <c r="D783" s="102">
        <v>6</v>
      </c>
      <c r="E783" s="111">
        <v>0</v>
      </c>
      <c r="F783" s="112">
        <v>0</v>
      </c>
      <c r="G783" s="112">
        <v>0</v>
      </c>
      <c r="H783" s="112">
        <v>0</v>
      </c>
      <c r="I783" s="113">
        <v>0</v>
      </c>
      <c r="J783"/>
      <c r="K783"/>
      <c r="L783"/>
      <c r="M783"/>
      <c r="N783"/>
    </row>
    <row r="784" spans="1:14" x14ac:dyDescent="0.3">
      <c r="A784" s="102" t="s">
        <v>1298</v>
      </c>
      <c r="B784" s="102" t="s">
        <v>2050</v>
      </c>
      <c r="C784" s="107" t="s">
        <v>53</v>
      </c>
      <c r="D784" s="102">
        <v>4</v>
      </c>
      <c r="E784" s="111">
        <v>0</v>
      </c>
      <c r="F784" s="112">
        <v>0</v>
      </c>
      <c r="G784" s="112">
        <v>0</v>
      </c>
      <c r="H784" s="112">
        <v>0</v>
      </c>
      <c r="I784" s="113">
        <v>0</v>
      </c>
      <c r="J784"/>
      <c r="K784"/>
      <c r="L784"/>
      <c r="M784"/>
      <c r="N784"/>
    </row>
    <row r="785" spans="1:14" x14ac:dyDescent="0.3">
      <c r="A785" s="102" t="s">
        <v>1299</v>
      </c>
      <c r="B785" s="102" t="s">
        <v>2051</v>
      </c>
      <c r="C785" s="107" t="s">
        <v>53</v>
      </c>
      <c r="D785" s="102">
        <v>6</v>
      </c>
      <c r="E785" s="111">
        <v>0</v>
      </c>
      <c r="F785" s="112">
        <v>0</v>
      </c>
      <c r="G785" s="112">
        <v>0</v>
      </c>
      <c r="H785" s="112">
        <v>0</v>
      </c>
      <c r="I785" s="113">
        <v>0</v>
      </c>
      <c r="J785"/>
      <c r="K785"/>
      <c r="L785"/>
      <c r="M785"/>
      <c r="N785"/>
    </row>
    <row r="786" spans="1:14" x14ac:dyDescent="0.3">
      <c r="A786" s="102" t="s">
        <v>1300</v>
      </c>
      <c r="B786" s="102" t="s">
        <v>2048</v>
      </c>
      <c r="C786" s="107" t="s">
        <v>53</v>
      </c>
      <c r="D786" s="102">
        <v>6</v>
      </c>
      <c r="E786" s="111">
        <v>0</v>
      </c>
      <c r="F786" s="112">
        <v>0</v>
      </c>
      <c r="G786" s="112">
        <v>0</v>
      </c>
      <c r="H786" s="112">
        <v>0</v>
      </c>
      <c r="I786" s="113">
        <v>0</v>
      </c>
      <c r="J786"/>
      <c r="K786"/>
      <c r="L786"/>
      <c r="M786"/>
      <c r="N786"/>
    </row>
    <row r="787" spans="1:14" x14ac:dyDescent="0.3">
      <c r="A787" s="102" t="s">
        <v>1301</v>
      </c>
      <c r="B787" s="102" t="s">
        <v>2049</v>
      </c>
      <c r="C787" s="107" t="s">
        <v>53</v>
      </c>
      <c r="D787" s="102">
        <v>6</v>
      </c>
      <c r="E787" s="111">
        <v>0</v>
      </c>
      <c r="F787" s="112">
        <v>0</v>
      </c>
      <c r="G787" s="112">
        <v>0</v>
      </c>
      <c r="H787" s="112">
        <v>0</v>
      </c>
      <c r="I787" s="113">
        <v>0</v>
      </c>
      <c r="J787"/>
      <c r="K787"/>
      <c r="L787"/>
      <c r="M787"/>
      <c r="N787"/>
    </row>
    <row r="788" spans="1:14" x14ac:dyDescent="0.3">
      <c r="A788" s="102" t="s">
        <v>1302</v>
      </c>
      <c r="B788" s="102" t="s">
        <v>2042</v>
      </c>
      <c r="C788" s="107" t="s">
        <v>53</v>
      </c>
      <c r="D788" s="102">
        <v>6</v>
      </c>
      <c r="E788" s="111">
        <v>0</v>
      </c>
      <c r="F788" s="112">
        <v>0</v>
      </c>
      <c r="G788" s="112">
        <v>0</v>
      </c>
      <c r="H788" s="112">
        <v>0</v>
      </c>
      <c r="I788" s="113">
        <v>0</v>
      </c>
      <c r="J788"/>
      <c r="K788"/>
      <c r="L788"/>
      <c r="M788"/>
      <c r="N788"/>
    </row>
    <row r="789" spans="1:14" x14ac:dyDescent="0.3">
      <c r="A789" s="102" t="s">
        <v>1303</v>
      </c>
      <c r="B789" s="102" t="s">
        <v>2351</v>
      </c>
      <c r="C789" s="107" t="s">
        <v>53</v>
      </c>
      <c r="D789" s="102">
        <v>4</v>
      </c>
      <c r="E789" s="111">
        <v>0</v>
      </c>
      <c r="F789" s="112">
        <v>0</v>
      </c>
      <c r="G789" s="112">
        <v>0</v>
      </c>
      <c r="H789" s="112">
        <v>0</v>
      </c>
      <c r="I789" s="113">
        <v>0</v>
      </c>
      <c r="J789"/>
      <c r="K789"/>
      <c r="L789"/>
      <c r="M789"/>
      <c r="N789"/>
    </row>
    <row r="790" spans="1:14" x14ac:dyDescent="0.3">
      <c r="A790" s="102" t="s">
        <v>1304</v>
      </c>
      <c r="B790" s="102" t="s">
        <v>2021</v>
      </c>
      <c r="C790" s="107" t="s">
        <v>53</v>
      </c>
      <c r="D790" s="102">
        <v>2</v>
      </c>
      <c r="E790" s="111">
        <v>0</v>
      </c>
      <c r="F790" s="112">
        <v>0</v>
      </c>
      <c r="G790" s="112">
        <v>0</v>
      </c>
      <c r="H790" s="112">
        <v>1442144.51</v>
      </c>
      <c r="I790" s="113">
        <v>1442144.51</v>
      </c>
      <c r="J790"/>
      <c r="K790"/>
      <c r="L790"/>
      <c r="M790"/>
      <c r="N790"/>
    </row>
    <row r="791" spans="1:14" x14ac:dyDescent="0.3">
      <c r="A791" s="102" t="s">
        <v>1305</v>
      </c>
      <c r="B791" s="102" t="s">
        <v>2352</v>
      </c>
      <c r="C791" s="107" t="s">
        <v>53</v>
      </c>
      <c r="D791" s="102">
        <v>4</v>
      </c>
      <c r="E791" s="111">
        <v>0</v>
      </c>
      <c r="F791" s="112">
        <v>0</v>
      </c>
      <c r="G791" s="112">
        <v>0</v>
      </c>
      <c r="H791" s="112">
        <v>1442144.51</v>
      </c>
      <c r="I791" s="113">
        <v>1442144.51</v>
      </c>
      <c r="J791"/>
      <c r="K791"/>
      <c r="L791"/>
      <c r="M791"/>
      <c r="N791"/>
    </row>
    <row r="792" spans="1:14" x14ac:dyDescent="0.3">
      <c r="A792" s="102" t="s">
        <v>1306</v>
      </c>
      <c r="B792" s="102" t="s">
        <v>2353</v>
      </c>
      <c r="C792" s="107" t="s">
        <v>53</v>
      </c>
      <c r="D792" s="102">
        <v>6</v>
      </c>
      <c r="E792" s="111">
        <v>0</v>
      </c>
      <c r="F792" s="112">
        <v>0</v>
      </c>
      <c r="G792" s="112">
        <v>0</v>
      </c>
      <c r="H792" s="112">
        <v>1442144.51</v>
      </c>
      <c r="I792" s="113">
        <v>1442144.51</v>
      </c>
      <c r="J792"/>
      <c r="K792"/>
      <c r="L792"/>
      <c r="M792"/>
      <c r="N792"/>
    </row>
    <row r="793" spans="1:14" x14ac:dyDescent="0.3">
      <c r="A793" s="102" t="s">
        <v>1307</v>
      </c>
      <c r="B793" s="102" t="s">
        <v>2354</v>
      </c>
      <c r="C793" s="107" t="s">
        <v>53</v>
      </c>
      <c r="D793" s="102">
        <v>6</v>
      </c>
      <c r="E793" s="111">
        <v>0</v>
      </c>
      <c r="F793" s="112">
        <v>0</v>
      </c>
      <c r="G793" s="112">
        <v>0</v>
      </c>
      <c r="H793" s="112">
        <v>0</v>
      </c>
      <c r="I793" s="113">
        <v>0</v>
      </c>
      <c r="J793"/>
      <c r="K793"/>
      <c r="L793"/>
      <c r="M793"/>
      <c r="N793"/>
    </row>
    <row r="794" spans="1:14" x14ac:dyDescent="0.3">
      <c r="A794" s="102" t="s">
        <v>1308</v>
      </c>
      <c r="B794" s="102" t="s">
        <v>2355</v>
      </c>
      <c r="C794" s="107" t="s">
        <v>53</v>
      </c>
      <c r="D794" s="102">
        <v>4</v>
      </c>
      <c r="E794" s="111">
        <v>0</v>
      </c>
      <c r="F794" s="112">
        <v>0</v>
      </c>
      <c r="G794" s="112">
        <v>0</v>
      </c>
      <c r="H794" s="112">
        <v>0</v>
      </c>
      <c r="I794" s="113">
        <v>0</v>
      </c>
      <c r="J794"/>
      <c r="K794"/>
      <c r="L794"/>
      <c r="M794"/>
      <c r="N794"/>
    </row>
    <row r="795" spans="1:14" x14ac:dyDescent="0.3">
      <c r="A795" s="102" t="s">
        <v>1309</v>
      </c>
      <c r="B795" s="102" t="s">
        <v>2356</v>
      </c>
      <c r="C795" s="107" t="s">
        <v>53</v>
      </c>
      <c r="D795" s="102">
        <v>6</v>
      </c>
      <c r="E795" s="111">
        <v>0</v>
      </c>
      <c r="F795" s="112">
        <v>0</v>
      </c>
      <c r="G795" s="112">
        <v>0</v>
      </c>
      <c r="H795" s="112">
        <v>0</v>
      </c>
      <c r="I795" s="113">
        <v>0</v>
      </c>
      <c r="J795"/>
      <c r="K795"/>
      <c r="L795"/>
      <c r="M795"/>
      <c r="N795"/>
    </row>
    <row r="796" spans="1:14" x14ac:dyDescent="0.3">
      <c r="A796" s="102" t="s">
        <v>1310</v>
      </c>
      <c r="B796" s="102" t="s">
        <v>2357</v>
      </c>
      <c r="C796" s="107" t="s">
        <v>53</v>
      </c>
      <c r="D796" s="102">
        <v>6</v>
      </c>
      <c r="E796" s="111">
        <v>0</v>
      </c>
      <c r="F796" s="112">
        <v>0</v>
      </c>
      <c r="G796" s="112">
        <v>0</v>
      </c>
      <c r="H796" s="112">
        <v>0</v>
      </c>
      <c r="I796" s="113">
        <v>0</v>
      </c>
      <c r="J796"/>
      <c r="K796"/>
      <c r="L796"/>
      <c r="M796"/>
      <c r="N796"/>
    </row>
    <row r="797" spans="1:14" x14ac:dyDescent="0.3">
      <c r="A797" s="102" t="s">
        <v>1311</v>
      </c>
      <c r="B797" s="102" t="s">
        <v>2358</v>
      </c>
      <c r="C797" s="107" t="s">
        <v>53</v>
      </c>
      <c r="D797" s="102">
        <v>6</v>
      </c>
      <c r="E797" s="111">
        <v>0</v>
      </c>
      <c r="F797" s="112">
        <v>0</v>
      </c>
      <c r="G797" s="112">
        <v>0</v>
      </c>
      <c r="H797" s="112">
        <v>0</v>
      </c>
      <c r="I797" s="113">
        <v>0</v>
      </c>
      <c r="J797"/>
      <c r="K797"/>
      <c r="L797"/>
      <c r="M797"/>
      <c r="N797"/>
    </row>
    <row r="798" spans="1:14" x14ac:dyDescent="0.3">
      <c r="A798" s="102" t="s">
        <v>1312</v>
      </c>
      <c r="B798" s="102" t="s">
        <v>2359</v>
      </c>
      <c r="C798" s="107" t="s">
        <v>53</v>
      </c>
      <c r="D798" s="102">
        <v>2</v>
      </c>
      <c r="E798" s="111">
        <v>0</v>
      </c>
      <c r="F798" s="112">
        <v>0</v>
      </c>
      <c r="G798" s="112">
        <v>0</v>
      </c>
      <c r="H798" s="112">
        <v>0</v>
      </c>
      <c r="I798" s="113">
        <v>0</v>
      </c>
      <c r="J798"/>
      <c r="K798"/>
      <c r="L798"/>
      <c r="M798"/>
      <c r="N798"/>
    </row>
    <row r="799" spans="1:14" x14ac:dyDescent="0.3">
      <c r="A799" s="102" t="s">
        <v>1313</v>
      </c>
      <c r="B799" s="102" t="s">
        <v>2195</v>
      </c>
      <c r="C799" s="107" t="s">
        <v>53</v>
      </c>
      <c r="D799" s="102">
        <v>4</v>
      </c>
      <c r="E799" s="111">
        <v>0</v>
      </c>
      <c r="F799" s="112">
        <v>0</v>
      </c>
      <c r="G799" s="112">
        <v>0</v>
      </c>
      <c r="H799" s="112">
        <v>0</v>
      </c>
      <c r="I799" s="113">
        <v>0</v>
      </c>
      <c r="J799"/>
      <c r="K799"/>
      <c r="L799"/>
      <c r="M799"/>
      <c r="N799"/>
    </row>
    <row r="800" spans="1:14" x14ac:dyDescent="0.3">
      <c r="A800" s="102" t="s">
        <v>1314</v>
      </c>
      <c r="B800" s="102" t="s">
        <v>2196</v>
      </c>
      <c r="C800" s="107" t="s">
        <v>53</v>
      </c>
      <c r="D800" s="102">
        <v>4</v>
      </c>
      <c r="E800" s="111">
        <v>0</v>
      </c>
      <c r="F800" s="112">
        <v>0</v>
      </c>
      <c r="G800" s="112">
        <v>0</v>
      </c>
      <c r="H800" s="112">
        <v>0</v>
      </c>
      <c r="I800" s="113">
        <v>0</v>
      </c>
      <c r="J800"/>
      <c r="K800"/>
      <c r="L800"/>
      <c r="M800"/>
      <c r="N800"/>
    </row>
    <row r="801" spans="1:14" x14ac:dyDescent="0.3">
      <c r="A801" s="102" t="s">
        <v>1315</v>
      </c>
      <c r="B801" s="102" t="s">
        <v>2022</v>
      </c>
      <c r="C801" s="107" t="s">
        <v>53</v>
      </c>
      <c r="D801" s="102">
        <v>2</v>
      </c>
      <c r="E801" s="111">
        <v>491483.59</v>
      </c>
      <c r="F801" s="112">
        <v>4993547.46</v>
      </c>
      <c r="G801" s="112">
        <v>1236663.3899999999</v>
      </c>
      <c r="H801" s="112">
        <v>13898647.470000001</v>
      </c>
      <c r="I801" s="113">
        <v>20620341.91</v>
      </c>
      <c r="J801"/>
      <c r="K801"/>
      <c r="L801"/>
      <c r="M801"/>
      <c r="N801"/>
    </row>
    <row r="802" spans="1:14" x14ac:dyDescent="0.3">
      <c r="A802" s="102" t="s">
        <v>1316</v>
      </c>
      <c r="B802" s="102" t="s">
        <v>2360</v>
      </c>
      <c r="C802" s="107" t="s">
        <v>53</v>
      </c>
      <c r="D802" s="102">
        <v>4</v>
      </c>
      <c r="E802" s="111">
        <v>410165.31</v>
      </c>
      <c r="F802" s="112">
        <v>1631312.96</v>
      </c>
      <c r="G802" s="112">
        <v>823715.24</v>
      </c>
      <c r="H802" s="112">
        <v>7836662.6900000004</v>
      </c>
      <c r="I802" s="113">
        <v>10701856.199999999</v>
      </c>
      <c r="J802"/>
      <c r="K802"/>
      <c r="L802"/>
      <c r="M802"/>
      <c r="N802"/>
    </row>
    <row r="803" spans="1:14" x14ac:dyDescent="0.3">
      <c r="A803" s="102" t="s">
        <v>1317</v>
      </c>
      <c r="B803" s="102" t="s">
        <v>2336</v>
      </c>
      <c r="C803" s="107" t="s">
        <v>53</v>
      </c>
      <c r="D803" s="102">
        <v>6</v>
      </c>
      <c r="E803" s="111">
        <v>22.34</v>
      </c>
      <c r="F803" s="112">
        <v>301.52999999999997</v>
      </c>
      <c r="G803" s="112">
        <v>1924.95</v>
      </c>
      <c r="H803" s="112">
        <v>5585.8</v>
      </c>
      <c r="I803" s="113">
        <v>7834.62</v>
      </c>
      <c r="J803"/>
      <c r="K803"/>
      <c r="L803"/>
      <c r="M803"/>
      <c r="N803"/>
    </row>
    <row r="804" spans="1:14" x14ac:dyDescent="0.3">
      <c r="A804" s="102" t="s">
        <v>1318</v>
      </c>
      <c r="B804" s="102" t="s">
        <v>2342</v>
      </c>
      <c r="C804" s="107" t="s">
        <v>53</v>
      </c>
      <c r="D804" s="102">
        <v>6</v>
      </c>
      <c r="E804" s="111">
        <v>0</v>
      </c>
      <c r="F804" s="112">
        <v>0</v>
      </c>
      <c r="G804" s="112">
        <v>0</v>
      </c>
      <c r="H804" s="112">
        <v>0</v>
      </c>
      <c r="I804" s="113">
        <v>0</v>
      </c>
      <c r="J804"/>
      <c r="K804"/>
      <c r="L804"/>
      <c r="M804"/>
      <c r="N804"/>
    </row>
    <row r="805" spans="1:14" x14ac:dyDescent="0.3">
      <c r="A805" s="102" t="s">
        <v>1319</v>
      </c>
      <c r="B805" s="102" t="s">
        <v>2346</v>
      </c>
      <c r="C805" s="107" t="s">
        <v>53</v>
      </c>
      <c r="D805" s="102">
        <v>6</v>
      </c>
      <c r="E805" s="111">
        <v>380077.62</v>
      </c>
      <c r="F805" s="112">
        <v>1631011.43</v>
      </c>
      <c r="G805" s="112">
        <v>821036.71</v>
      </c>
      <c r="H805" s="112">
        <v>7581035.6900000004</v>
      </c>
      <c r="I805" s="113">
        <v>10413161.449999999</v>
      </c>
      <c r="J805"/>
      <c r="K805"/>
      <c r="L805"/>
      <c r="M805"/>
      <c r="N805"/>
    </row>
    <row r="806" spans="1:14" x14ac:dyDescent="0.3">
      <c r="A806" s="102" t="s">
        <v>1320</v>
      </c>
      <c r="B806" s="102" t="s">
        <v>2361</v>
      </c>
      <c r="C806" s="107" t="s">
        <v>53</v>
      </c>
      <c r="D806" s="102">
        <v>6</v>
      </c>
      <c r="E806" s="111">
        <v>22394.22</v>
      </c>
      <c r="F806" s="112">
        <v>0</v>
      </c>
      <c r="G806" s="112">
        <v>0</v>
      </c>
      <c r="H806" s="112">
        <v>0</v>
      </c>
      <c r="I806" s="113">
        <v>22394.22</v>
      </c>
      <c r="J806"/>
      <c r="K806"/>
      <c r="L806"/>
      <c r="M806"/>
      <c r="N806"/>
    </row>
    <row r="807" spans="1:14" x14ac:dyDescent="0.3">
      <c r="A807" s="102" t="s">
        <v>1321</v>
      </c>
      <c r="B807" s="102" t="s">
        <v>2350</v>
      </c>
      <c r="C807" s="107" t="s">
        <v>53</v>
      </c>
      <c r="D807" s="102">
        <v>6</v>
      </c>
      <c r="E807" s="111">
        <v>0</v>
      </c>
      <c r="F807" s="112">
        <v>0</v>
      </c>
      <c r="G807" s="112">
        <v>0</v>
      </c>
      <c r="H807" s="112">
        <v>0</v>
      </c>
      <c r="I807" s="113">
        <v>0</v>
      </c>
      <c r="J807"/>
      <c r="K807"/>
      <c r="L807"/>
      <c r="M807"/>
      <c r="N807"/>
    </row>
    <row r="808" spans="1:14" x14ac:dyDescent="0.3">
      <c r="A808" s="102" t="s">
        <v>1322</v>
      </c>
      <c r="B808" s="102" t="s">
        <v>2050</v>
      </c>
      <c r="C808" s="107" t="s">
        <v>53</v>
      </c>
      <c r="D808" s="102">
        <v>6</v>
      </c>
      <c r="E808" s="111">
        <v>0</v>
      </c>
      <c r="F808" s="112">
        <v>0</v>
      </c>
      <c r="G808" s="112">
        <v>0</v>
      </c>
      <c r="H808" s="112">
        <v>0</v>
      </c>
      <c r="I808" s="113">
        <v>0</v>
      </c>
      <c r="J808"/>
      <c r="K808"/>
      <c r="L808"/>
      <c r="M808"/>
      <c r="N808"/>
    </row>
    <row r="809" spans="1:14" x14ac:dyDescent="0.3">
      <c r="A809" s="102" t="s">
        <v>1323</v>
      </c>
      <c r="B809" s="102" t="s">
        <v>2362</v>
      </c>
      <c r="C809" s="107" t="s">
        <v>53</v>
      </c>
      <c r="D809" s="102">
        <v>6</v>
      </c>
      <c r="E809" s="111">
        <v>5207.92</v>
      </c>
      <c r="F809" s="112">
        <v>0</v>
      </c>
      <c r="G809" s="112">
        <v>753.58</v>
      </c>
      <c r="H809" s="112">
        <v>250041.2</v>
      </c>
      <c r="I809" s="113">
        <v>256002.7</v>
      </c>
      <c r="J809"/>
      <c r="K809"/>
      <c r="L809"/>
      <c r="M809"/>
      <c r="N809"/>
    </row>
    <row r="810" spans="1:14" x14ac:dyDescent="0.3">
      <c r="A810" s="102" t="s">
        <v>1324</v>
      </c>
      <c r="B810" s="102" t="s">
        <v>2356</v>
      </c>
      <c r="C810" s="107" t="s">
        <v>53</v>
      </c>
      <c r="D810" s="102">
        <v>6</v>
      </c>
      <c r="E810" s="111">
        <v>0</v>
      </c>
      <c r="F810" s="112">
        <v>0</v>
      </c>
      <c r="G810" s="112">
        <v>0</v>
      </c>
      <c r="H810" s="112">
        <v>0</v>
      </c>
      <c r="I810" s="113">
        <v>0</v>
      </c>
      <c r="J810"/>
      <c r="K810"/>
      <c r="L810"/>
      <c r="M810"/>
      <c r="N810"/>
    </row>
    <row r="811" spans="1:14" x14ac:dyDescent="0.3">
      <c r="A811" s="102" t="s">
        <v>1325</v>
      </c>
      <c r="B811" s="102" t="s">
        <v>2357</v>
      </c>
      <c r="C811" s="107" t="s">
        <v>53</v>
      </c>
      <c r="D811" s="102">
        <v>6</v>
      </c>
      <c r="E811" s="111">
        <v>0</v>
      </c>
      <c r="F811" s="112">
        <v>0</v>
      </c>
      <c r="G811" s="112">
        <v>0</v>
      </c>
      <c r="H811" s="112">
        <v>0</v>
      </c>
      <c r="I811" s="113">
        <v>0</v>
      </c>
      <c r="J811"/>
      <c r="K811"/>
      <c r="L811"/>
      <c r="M811"/>
      <c r="N811"/>
    </row>
    <row r="812" spans="1:14" x14ac:dyDescent="0.3">
      <c r="A812" s="102" t="s">
        <v>1326</v>
      </c>
      <c r="B812" s="102" t="s">
        <v>2358</v>
      </c>
      <c r="C812" s="107" t="s">
        <v>53</v>
      </c>
      <c r="D812" s="102">
        <v>6</v>
      </c>
      <c r="E812" s="111">
        <v>0</v>
      </c>
      <c r="F812" s="112">
        <v>0</v>
      </c>
      <c r="G812" s="112">
        <v>0</v>
      </c>
      <c r="H812" s="112">
        <v>0</v>
      </c>
      <c r="I812" s="113">
        <v>0</v>
      </c>
      <c r="J812"/>
      <c r="K812"/>
      <c r="L812"/>
      <c r="M812"/>
      <c r="N812"/>
    </row>
    <row r="813" spans="1:14" x14ac:dyDescent="0.3">
      <c r="A813" s="102" t="s">
        <v>1327</v>
      </c>
      <c r="B813" s="102" t="s">
        <v>2096</v>
      </c>
      <c r="C813" s="107" t="s">
        <v>53</v>
      </c>
      <c r="D813" s="102">
        <v>6</v>
      </c>
      <c r="E813" s="111">
        <v>2463.21</v>
      </c>
      <c r="F813" s="112">
        <v>0</v>
      </c>
      <c r="G813" s="112">
        <v>0</v>
      </c>
      <c r="H813" s="112">
        <v>0</v>
      </c>
      <c r="I813" s="113">
        <v>2463.21</v>
      </c>
      <c r="J813"/>
      <c r="K813"/>
      <c r="L813"/>
      <c r="M813"/>
      <c r="N813"/>
    </row>
    <row r="814" spans="1:14" x14ac:dyDescent="0.3">
      <c r="A814" s="102" t="s">
        <v>1328</v>
      </c>
      <c r="B814" s="102" t="s">
        <v>2363</v>
      </c>
      <c r="C814" s="107" t="s">
        <v>53</v>
      </c>
      <c r="D814" s="102">
        <v>4</v>
      </c>
      <c r="E814" s="111">
        <v>0</v>
      </c>
      <c r="F814" s="112">
        <v>0</v>
      </c>
      <c r="G814" s="112">
        <v>0</v>
      </c>
      <c r="H814" s="112">
        <v>0</v>
      </c>
      <c r="I814" s="113">
        <v>0</v>
      </c>
      <c r="J814"/>
      <c r="K814"/>
      <c r="L814"/>
      <c r="M814"/>
      <c r="N814"/>
    </row>
    <row r="815" spans="1:14" x14ac:dyDescent="0.3">
      <c r="A815" s="102" t="s">
        <v>1329</v>
      </c>
      <c r="B815" s="102" t="s">
        <v>2364</v>
      </c>
      <c r="C815" s="107" t="s">
        <v>53</v>
      </c>
      <c r="D815" s="102">
        <v>4</v>
      </c>
      <c r="E815" s="111">
        <v>36355.42</v>
      </c>
      <c r="F815" s="112">
        <v>1884669.76</v>
      </c>
      <c r="G815" s="112">
        <v>211952.82</v>
      </c>
      <c r="H815" s="112">
        <v>2029762.29</v>
      </c>
      <c r="I815" s="113">
        <v>4162740.29</v>
      </c>
      <c r="J815"/>
      <c r="K815"/>
      <c r="L815"/>
      <c r="M815"/>
      <c r="N815"/>
    </row>
    <row r="816" spans="1:14" x14ac:dyDescent="0.3">
      <c r="A816" s="102" t="s">
        <v>1330</v>
      </c>
      <c r="B816" s="102" t="s">
        <v>2365</v>
      </c>
      <c r="C816" s="107" t="s">
        <v>53</v>
      </c>
      <c r="D816" s="102">
        <v>6</v>
      </c>
      <c r="E816" s="111">
        <v>0</v>
      </c>
      <c r="F816" s="112">
        <v>0</v>
      </c>
      <c r="G816" s="112">
        <v>0</v>
      </c>
      <c r="H816" s="112">
        <v>0</v>
      </c>
      <c r="I816" s="113">
        <v>0</v>
      </c>
      <c r="J816"/>
      <c r="K816"/>
      <c r="L816"/>
      <c r="M816"/>
      <c r="N816"/>
    </row>
    <row r="817" spans="1:14" x14ac:dyDescent="0.3">
      <c r="A817" s="102" t="s">
        <v>1331</v>
      </c>
      <c r="B817" s="102" t="s">
        <v>2366</v>
      </c>
      <c r="C817" s="107" t="s">
        <v>53</v>
      </c>
      <c r="D817" s="102">
        <v>6</v>
      </c>
      <c r="E817" s="111">
        <v>25900.83</v>
      </c>
      <c r="F817" s="112">
        <v>56876.14</v>
      </c>
      <c r="G817" s="112">
        <v>19613.099999999999</v>
      </c>
      <c r="H817" s="112">
        <v>1156465.8</v>
      </c>
      <c r="I817" s="113">
        <v>1258855.8699999999</v>
      </c>
      <c r="J817"/>
      <c r="K817"/>
      <c r="L817"/>
      <c r="M817"/>
      <c r="N817"/>
    </row>
    <row r="818" spans="1:14" x14ac:dyDescent="0.3">
      <c r="A818" s="102" t="s">
        <v>1332</v>
      </c>
      <c r="B818" s="102" t="s">
        <v>2367</v>
      </c>
      <c r="C818" s="107" t="s">
        <v>53</v>
      </c>
      <c r="D818" s="102">
        <v>6</v>
      </c>
      <c r="E818" s="111">
        <v>7833.67</v>
      </c>
      <c r="F818" s="112">
        <v>35157.279999999999</v>
      </c>
      <c r="G818" s="112">
        <v>13730.83</v>
      </c>
      <c r="H818" s="112">
        <v>225902.52</v>
      </c>
      <c r="I818" s="113">
        <v>282624.3</v>
      </c>
      <c r="J818"/>
      <c r="K818"/>
      <c r="L818"/>
      <c r="M818"/>
      <c r="N818"/>
    </row>
    <row r="819" spans="1:14" x14ac:dyDescent="0.3">
      <c r="A819" s="102" t="s">
        <v>1333</v>
      </c>
      <c r="B819" s="102" t="s">
        <v>2368</v>
      </c>
      <c r="C819" s="107" t="s">
        <v>53</v>
      </c>
      <c r="D819" s="102">
        <v>6</v>
      </c>
      <c r="E819" s="111">
        <v>708.36</v>
      </c>
      <c r="F819" s="112">
        <v>1278.93</v>
      </c>
      <c r="G819" s="112">
        <v>587.29</v>
      </c>
      <c r="H819" s="112">
        <v>12349.97</v>
      </c>
      <c r="I819" s="113">
        <v>14924.55</v>
      </c>
      <c r="J819"/>
      <c r="K819"/>
      <c r="L819"/>
      <c r="M819"/>
      <c r="N819"/>
    </row>
    <row r="820" spans="1:14" x14ac:dyDescent="0.3">
      <c r="A820" s="102" t="s">
        <v>1334</v>
      </c>
      <c r="B820" s="102" t="s">
        <v>2369</v>
      </c>
      <c r="C820" s="107" t="s">
        <v>53</v>
      </c>
      <c r="D820" s="102">
        <v>6</v>
      </c>
      <c r="E820" s="111">
        <v>1912.56</v>
      </c>
      <c r="F820" s="112">
        <v>544614.98</v>
      </c>
      <c r="G820" s="112">
        <v>63430.74</v>
      </c>
      <c r="H820" s="112">
        <v>635044</v>
      </c>
      <c r="I820" s="113">
        <v>1245002.28</v>
      </c>
      <c r="J820"/>
      <c r="K820"/>
      <c r="L820"/>
      <c r="M820"/>
      <c r="N820"/>
    </row>
    <row r="821" spans="1:14" x14ac:dyDescent="0.3">
      <c r="A821" s="102" t="s">
        <v>1335</v>
      </c>
      <c r="B821" s="102" t="s">
        <v>2370</v>
      </c>
      <c r="C821" s="107" t="s">
        <v>53</v>
      </c>
      <c r="D821" s="102">
        <v>6</v>
      </c>
      <c r="E821" s="111">
        <v>0</v>
      </c>
      <c r="F821" s="112">
        <v>0</v>
      </c>
      <c r="G821" s="112">
        <v>0</v>
      </c>
      <c r="H821" s="112">
        <v>0</v>
      </c>
      <c r="I821" s="113">
        <v>0</v>
      </c>
      <c r="J821"/>
      <c r="K821"/>
      <c r="L821"/>
      <c r="M821"/>
      <c r="N821"/>
    </row>
    <row r="822" spans="1:14" x14ac:dyDescent="0.3">
      <c r="A822" s="102" t="s">
        <v>1336</v>
      </c>
      <c r="B822" s="102" t="s">
        <v>2217</v>
      </c>
      <c r="C822" s="107" t="s">
        <v>53</v>
      </c>
      <c r="D822" s="102">
        <v>6</v>
      </c>
      <c r="E822" s="111">
        <v>0</v>
      </c>
      <c r="F822" s="112">
        <v>1246742.43</v>
      </c>
      <c r="G822" s="112">
        <v>114590.86</v>
      </c>
      <c r="H822" s="112">
        <v>0</v>
      </c>
      <c r="I822" s="113">
        <v>1361333.29</v>
      </c>
      <c r="J822"/>
      <c r="K822"/>
      <c r="L822"/>
      <c r="M822"/>
      <c r="N822"/>
    </row>
    <row r="823" spans="1:14" x14ac:dyDescent="0.3">
      <c r="A823" s="102" t="s">
        <v>1337</v>
      </c>
      <c r="B823" s="102" t="s">
        <v>2371</v>
      </c>
      <c r="C823" s="107" t="s">
        <v>53</v>
      </c>
      <c r="D823" s="102">
        <v>4</v>
      </c>
      <c r="E823" s="111">
        <v>14951.53</v>
      </c>
      <c r="F823" s="112">
        <v>140700.25</v>
      </c>
      <c r="G823" s="112">
        <v>0</v>
      </c>
      <c r="H823" s="112">
        <v>947766.4</v>
      </c>
      <c r="I823" s="113">
        <v>1103418.1800000002</v>
      </c>
      <c r="J823"/>
      <c r="K823"/>
      <c r="L823"/>
      <c r="M823"/>
      <c r="N823"/>
    </row>
    <row r="824" spans="1:14" x14ac:dyDescent="0.3">
      <c r="A824" s="102" t="s">
        <v>1338</v>
      </c>
      <c r="B824" s="102" t="s">
        <v>2372</v>
      </c>
      <c r="C824" s="107" t="s">
        <v>53</v>
      </c>
      <c r="D824" s="102">
        <v>6</v>
      </c>
      <c r="E824" s="111">
        <v>5084.24</v>
      </c>
      <c r="F824" s="112">
        <v>32950.42</v>
      </c>
      <c r="G824" s="112">
        <v>0</v>
      </c>
      <c r="H824" s="112">
        <v>304899.12</v>
      </c>
      <c r="I824" s="113">
        <v>342933.78</v>
      </c>
      <c r="J824"/>
      <c r="K824"/>
      <c r="L824"/>
      <c r="M824"/>
      <c r="N824"/>
    </row>
    <row r="825" spans="1:14" x14ac:dyDescent="0.3">
      <c r="A825" s="102" t="s">
        <v>1339</v>
      </c>
      <c r="B825" s="102" t="s">
        <v>2373</v>
      </c>
      <c r="C825" s="107" t="s">
        <v>53</v>
      </c>
      <c r="D825" s="102">
        <v>6</v>
      </c>
      <c r="E825" s="111">
        <v>9867.2900000000009</v>
      </c>
      <c r="F825" s="112">
        <v>107749.83</v>
      </c>
      <c r="G825" s="112">
        <v>0</v>
      </c>
      <c r="H825" s="112">
        <v>642867.28</v>
      </c>
      <c r="I825" s="113">
        <v>760484.4</v>
      </c>
      <c r="J825"/>
      <c r="K825"/>
      <c r="L825"/>
      <c r="M825"/>
      <c r="N825"/>
    </row>
    <row r="826" spans="1:14" x14ac:dyDescent="0.3">
      <c r="A826" s="102" t="s">
        <v>1340</v>
      </c>
      <c r="B826" s="102" t="s">
        <v>2374</v>
      </c>
      <c r="C826" s="107" t="s">
        <v>53</v>
      </c>
      <c r="D826" s="102">
        <v>4</v>
      </c>
      <c r="E826" s="111">
        <v>62.62</v>
      </c>
      <c r="F826" s="112">
        <v>939721.72</v>
      </c>
      <c r="G826" s="112">
        <v>123772.31</v>
      </c>
      <c r="H826" s="112">
        <v>1647576.63</v>
      </c>
      <c r="I826" s="113">
        <v>2711133.2800000003</v>
      </c>
      <c r="J826"/>
      <c r="K826"/>
      <c r="L826"/>
      <c r="M826"/>
      <c r="N826"/>
    </row>
    <row r="827" spans="1:14" x14ac:dyDescent="0.3">
      <c r="A827" s="102" t="s">
        <v>1341</v>
      </c>
      <c r="B827" s="102" t="s">
        <v>2375</v>
      </c>
      <c r="C827" s="107" t="s">
        <v>53</v>
      </c>
      <c r="D827" s="102">
        <v>6</v>
      </c>
      <c r="E827" s="111">
        <v>62.62</v>
      </c>
      <c r="F827" s="112">
        <v>641813.14</v>
      </c>
      <c r="G827" s="112">
        <v>87629.3</v>
      </c>
      <c r="H827" s="112">
        <v>1259025.82</v>
      </c>
      <c r="I827" s="113">
        <v>1988530.8800000001</v>
      </c>
      <c r="J827"/>
      <c r="K827"/>
      <c r="L827"/>
      <c r="M827"/>
      <c r="N827"/>
    </row>
    <row r="828" spans="1:14" x14ac:dyDescent="0.3">
      <c r="A828" s="102" t="s">
        <v>1342</v>
      </c>
      <c r="B828" s="102" t="s">
        <v>2376</v>
      </c>
      <c r="C828" s="107" t="s">
        <v>53</v>
      </c>
      <c r="D828" s="102">
        <v>6</v>
      </c>
      <c r="E828" s="111">
        <v>0</v>
      </c>
      <c r="F828" s="112">
        <v>0</v>
      </c>
      <c r="G828" s="112">
        <v>0</v>
      </c>
      <c r="H828" s="112">
        <v>0</v>
      </c>
      <c r="I828" s="113">
        <v>0</v>
      </c>
      <c r="J828"/>
      <c r="K828"/>
      <c r="L828"/>
      <c r="M828"/>
      <c r="N828"/>
    </row>
    <row r="829" spans="1:14" x14ac:dyDescent="0.3">
      <c r="A829" s="102" t="s">
        <v>1343</v>
      </c>
      <c r="B829" s="102" t="s">
        <v>2377</v>
      </c>
      <c r="C829" s="107" t="s">
        <v>53</v>
      </c>
      <c r="D829" s="102">
        <v>6</v>
      </c>
      <c r="E829" s="111">
        <v>0</v>
      </c>
      <c r="F829" s="112">
        <v>297908.58</v>
      </c>
      <c r="G829" s="112">
        <v>36143.01</v>
      </c>
      <c r="H829" s="112">
        <v>388550.81</v>
      </c>
      <c r="I829" s="113">
        <v>722602.4</v>
      </c>
      <c r="J829"/>
      <c r="K829"/>
      <c r="L829"/>
      <c r="M829"/>
      <c r="N829"/>
    </row>
    <row r="830" spans="1:14" x14ac:dyDescent="0.3">
      <c r="A830" s="102" t="s">
        <v>1344</v>
      </c>
      <c r="B830" s="102" t="s">
        <v>2378</v>
      </c>
      <c r="C830" s="107" t="s">
        <v>53</v>
      </c>
      <c r="D830" s="102">
        <v>4</v>
      </c>
      <c r="E830" s="111">
        <v>25758.84</v>
      </c>
      <c r="F830" s="112">
        <v>30807.35</v>
      </c>
      <c r="G830" s="112">
        <v>76013.919999999998</v>
      </c>
      <c r="H830" s="112">
        <v>1058274.3899999999</v>
      </c>
      <c r="I830" s="113">
        <v>1190854.5</v>
      </c>
      <c r="J830"/>
      <c r="K830"/>
      <c r="L830"/>
      <c r="M830"/>
      <c r="N830"/>
    </row>
    <row r="831" spans="1:14" x14ac:dyDescent="0.3">
      <c r="A831" s="102" t="s">
        <v>1345</v>
      </c>
      <c r="B831" s="102" t="s">
        <v>2379</v>
      </c>
      <c r="C831" s="107" t="s">
        <v>53</v>
      </c>
      <c r="D831" s="102">
        <v>4</v>
      </c>
      <c r="E831" s="111">
        <v>0</v>
      </c>
      <c r="F831" s="112">
        <v>0</v>
      </c>
      <c r="G831" s="112">
        <v>0</v>
      </c>
      <c r="H831" s="112">
        <v>0</v>
      </c>
      <c r="I831" s="113">
        <v>0</v>
      </c>
      <c r="J831"/>
      <c r="K831"/>
      <c r="L831"/>
      <c r="M831"/>
      <c r="N831"/>
    </row>
    <row r="832" spans="1:14" x14ac:dyDescent="0.3">
      <c r="A832" s="102" t="s">
        <v>1346</v>
      </c>
      <c r="B832" s="102" t="s">
        <v>2380</v>
      </c>
      <c r="C832" s="107" t="s">
        <v>53</v>
      </c>
      <c r="D832" s="102">
        <v>4</v>
      </c>
      <c r="E832" s="111">
        <v>0</v>
      </c>
      <c r="F832" s="112">
        <v>0</v>
      </c>
      <c r="G832" s="112">
        <v>0</v>
      </c>
      <c r="H832" s="112">
        <v>0</v>
      </c>
      <c r="I832" s="113">
        <v>0</v>
      </c>
      <c r="J832"/>
      <c r="K832"/>
      <c r="L832"/>
      <c r="M832"/>
      <c r="N832"/>
    </row>
    <row r="833" spans="1:14" x14ac:dyDescent="0.3">
      <c r="A833" s="102" t="s">
        <v>1347</v>
      </c>
      <c r="B833" s="102" t="s">
        <v>2381</v>
      </c>
      <c r="C833" s="107" t="s">
        <v>53</v>
      </c>
      <c r="D833" s="102">
        <v>6</v>
      </c>
      <c r="E833" s="111">
        <v>0</v>
      </c>
      <c r="F833" s="112">
        <v>0</v>
      </c>
      <c r="G833" s="112">
        <v>0</v>
      </c>
      <c r="H833" s="112">
        <v>0</v>
      </c>
      <c r="I833" s="113">
        <v>0</v>
      </c>
      <c r="J833"/>
      <c r="K833"/>
      <c r="L833"/>
      <c r="M833"/>
      <c r="N833"/>
    </row>
    <row r="834" spans="1:14" x14ac:dyDescent="0.3">
      <c r="A834" s="102" t="s">
        <v>1348</v>
      </c>
      <c r="B834" s="102" t="s">
        <v>2382</v>
      </c>
      <c r="C834" s="107" t="s">
        <v>53</v>
      </c>
      <c r="D834" s="102">
        <v>6</v>
      </c>
      <c r="E834" s="111">
        <v>0</v>
      </c>
      <c r="F834" s="112">
        <v>0</v>
      </c>
      <c r="G834" s="112">
        <v>0</v>
      </c>
      <c r="H834" s="112">
        <v>0</v>
      </c>
      <c r="I834" s="113">
        <v>0</v>
      </c>
      <c r="J834"/>
      <c r="K834"/>
      <c r="L834"/>
      <c r="M834"/>
      <c r="N834"/>
    </row>
    <row r="835" spans="1:14" x14ac:dyDescent="0.3">
      <c r="A835" s="102" t="s">
        <v>1349</v>
      </c>
      <c r="B835" s="102" t="s">
        <v>2383</v>
      </c>
      <c r="C835" s="107" t="s">
        <v>53</v>
      </c>
      <c r="D835" s="102">
        <v>4</v>
      </c>
      <c r="E835" s="111">
        <v>0</v>
      </c>
      <c r="F835" s="112">
        <v>294.16000000000003</v>
      </c>
      <c r="G835" s="112">
        <v>0</v>
      </c>
      <c r="H835" s="112">
        <v>0</v>
      </c>
      <c r="I835" s="113">
        <v>294.16000000000003</v>
      </c>
      <c r="J835"/>
      <c r="K835"/>
      <c r="L835"/>
      <c r="M835"/>
      <c r="N835"/>
    </row>
    <row r="836" spans="1:14" x14ac:dyDescent="0.3">
      <c r="A836" s="102" t="s">
        <v>1350</v>
      </c>
      <c r="B836" s="102" t="s">
        <v>2384</v>
      </c>
      <c r="C836" s="107" t="s">
        <v>53</v>
      </c>
      <c r="D836" s="102">
        <v>4</v>
      </c>
      <c r="E836" s="111">
        <v>0</v>
      </c>
      <c r="F836" s="112">
        <v>0</v>
      </c>
      <c r="G836" s="112">
        <v>0</v>
      </c>
      <c r="H836" s="112">
        <v>66278.91</v>
      </c>
      <c r="I836" s="113">
        <v>66278.91</v>
      </c>
      <c r="J836"/>
      <c r="K836"/>
      <c r="L836"/>
      <c r="M836"/>
      <c r="N836"/>
    </row>
    <row r="837" spans="1:14" x14ac:dyDescent="0.3">
      <c r="A837" s="102" t="s">
        <v>1351</v>
      </c>
      <c r="B837" s="102" t="s">
        <v>2385</v>
      </c>
      <c r="C837" s="107" t="s">
        <v>53</v>
      </c>
      <c r="D837" s="102">
        <v>4</v>
      </c>
      <c r="E837" s="111">
        <v>4189.87</v>
      </c>
      <c r="F837" s="112">
        <v>366041.26</v>
      </c>
      <c r="G837" s="112">
        <v>1209.0999999999999</v>
      </c>
      <c r="H837" s="112">
        <v>312326.15999999997</v>
      </c>
      <c r="I837" s="113">
        <v>683766.39</v>
      </c>
      <c r="J837"/>
      <c r="K837"/>
      <c r="L837"/>
      <c r="M837"/>
      <c r="N837"/>
    </row>
    <row r="838" spans="1:14" x14ac:dyDescent="0.3">
      <c r="A838" s="102" t="s">
        <v>1352</v>
      </c>
      <c r="B838" s="102" t="s">
        <v>2386</v>
      </c>
      <c r="C838" s="107" t="s">
        <v>53</v>
      </c>
      <c r="D838" s="102">
        <v>6</v>
      </c>
      <c r="E838" s="111">
        <v>0</v>
      </c>
      <c r="F838" s="112">
        <v>0</v>
      </c>
      <c r="G838" s="112">
        <v>0</v>
      </c>
      <c r="H838" s="112">
        <v>0</v>
      </c>
      <c r="I838" s="113">
        <v>0</v>
      </c>
      <c r="J838"/>
      <c r="K838"/>
      <c r="L838"/>
      <c r="M838"/>
      <c r="N838"/>
    </row>
    <row r="839" spans="1:14" x14ac:dyDescent="0.3">
      <c r="A839" s="102" t="s">
        <v>1353</v>
      </c>
      <c r="B839" s="102" t="s">
        <v>2387</v>
      </c>
      <c r="C839" s="107" t="s">
        <v>53</v>
      </c>
      <c r="D839" s="102">
        <v>6</v>
      </c>
      <c r="E839" s="111">
        <v>0</v>
      </c>
      <c r="F839" s="112">
        <v>789.94</v>
      </c>
      <c r="G839" s="112">
        <v>0</v>
      </c>
      <c r="H839" s="112">
        <v>237696.63</v>
      </c>
      <c r="I839" s="113">
        <v>238486.57</v>
      </c>
      <c r="J839"/>
      <c r="K839"/>
      <c r="L839"/>
      <c r="M839"/>
      <c r="N839"/>
    </row>
    <row r="840" spans="1:14" x14ac:dyDescent="0.3">
      <c r="A840" s="102" t="s">
        <v>1354</v>
      </c>
      <c r="B840" s="102" t="s">
        <v>2388</v>
      </c>
      <c r="C840" s="107" t="s">
        <v>53</v>
      </c>
      <c r="D840" s="102">
        <v>6</v>
      </c>
      <c r="E840" s="111">
        <v>4189.87</v>
      </c>
      <c r="F840" s="112">
        <v>365251.32</v>
      </c>
      <c r="G840" s="112">
        <v>1209.0999999999999</v>
      </c>
      <c r="H840" s="112">
        <v>74629.53</v>
      </c>
      <c r="I840" s="113">
        <v>445279.82</v>
      </c>
      <c r="J840"/>
      <c r="K840"/>
      <c r="L840"/>
      <c r="M840"/>
      <c r="N840"/>
    </row>
    <row r="841" spans="1:14" x14ac:dyDescent="0.3">
      <c r="A841" s="102" t="s">
        <v>1355</v>
      </c>
      <c r="B841" s="102" t="s">
        <v>2362</v>
      </c>
      <c r="C841" s="107" t="s">
        <v>53</v>
      </c>
      <c r="D841" s="102">
        <v>2</v>
      </c>
      <c r="E841" s="111">
        <v>536417.03</v>
      </c>
      <c r="F841" s="112">
        <v>0</v>
      </c>
      <c r="G841" s="112">
        <v>2166632.69</v>
      </c>
      <c r="H841" s="112">
        <v>38138765.579999998</v>
      </c>
      <c r="I841" s="113">
        <v>40841815.299999997</v>
      </c>
      <c r="J841"/>
      <c r="K841"/>
      <c r="L841"/>
      <c r="M841"/>
      <c r="N841"/>
    </row>
    <row r="842" spans="1:14" x14ac:dyDescent="0.3">
      <c r="A842" s="102" t="s">
        <v>1356</v>
      </c>
      <c r="B842" s="102" t="s">
        <v>2389</v>
      </c>
      <c r="C842" s="107" t="s">
        <v>53</v>
      </c>
      <c r="D842" s="102">
        <v>4</v>
      </c>
      <c r="E842" s="111">
        <v>0</v>
      </c>
      <c r="F842" s="112">
        <v>0</v>
      </c>
      <c r="G842" s="112">
        <v>0</v>
      </c>
      <c r="H842" s="112">
        <v>0</v>
      </c>
      <c r="I842" s="113">
        <v>0</v>
      </c>
      <c r="J842"/>
      <c r="K842"/>
      <c r="L842"/>
      <c r="M842"/>
      <c r="N842"/>
    </row>
    <row r="843" spans="1:14" x14ac:dyDescent="0.3">
      <c r="A843" s="102" t="s">
        <v>1357</v>
      </c>
      <c r="B843" s="102" t="s">
        <v>2390</v>
      </c>
      <c r="C843" s="107" t="s">
        <v>53</v>
      </c>
      <c r="D843" s="102">
        <v>4</v>
      </c>
      <c r="E843" s="111">
        <v>0</v>
      </c>
      <c r="F843" s="112">
        <v>0</v>
      </c>
      <c r="G843" s="112">
        <v>0</v>
      </c>
      <c r="H843" s="112">
        <v>0</v>
      </c>
      <c r="I843" s="113">
        <v>0</v>
      </c>
      <c r="J843"/>
      <c r="K843"/>
      <c r="L843"/>
      <c r="M843"/>
      <c r="N843"/>
    </row>
    <row r="844" spans="1:14" x14ac:dyDescent="0.3">
      <c r="A844" s="102" t="s">
        <v>1358</v>
      </c>
      <c r="B844" s="102" t="s">
        <v>2067</v>
      </c>
      <c r="C844" s="107" t="s">
        <v>53</v>
      </c>
      <c r="D844" s="102">
        <v>6</v>
      </c>
      <c r="E844" s="111">
        <v>0</v>
      </c>
      <c r="F844" s="112">
        <v>0</v>
      </c>
      <c r="G844" s="112">
        <v>0</v>
      </c>
      <c r="H844" s="112">
        <v>0</v>
      </c>
      <c r="I844" s="113">
        <v>0</v>
      </c>
      <c r="J844"/>
      <c r="K844"/>
      <c r="L844"/>
      <c r="M844"/>
      <c r="N844"/>
    </row>
    <row r="845" spans="1:14" x14ac:dyDescent="0.3">
      <c r="A845" s="102" t="s">
        <v>1359</v>
      </c>
      <c r="B845" s="102" t="s">
        <v>2068</v>
      </c>
      <c r="C845" s="107" t="s">
        <v>53</v>
      </c>
      <c r="D845" s="102">
        <v>6</v>
      </c>
      <c r="E845" s="111">
        <v>0</v>
      </c>
      <c r="F845" s="112">
        <v>0</v>
      </c>
      <c r="G845" s="112">
        <v>0</v>
      </c>
      <c r="H845" s="112">
        <v>0</v>
      </c>
      <c r="I845" s="113">
        <v>0</v>
      </c>
      <c r="J845"/>
      <c r="K845"/>
      <c r="L845"/>
      <c r="M845"/>
      <c r="N845"/>
    </row>
    <row r="846" spans="1:14" x14ac:dyDescent="0.3">
      <c r="A846" s="102" t="s">
        <v>1360</v>
      </c>
      <c r="B846" s="102" t="s">
        <v>2069</v>
      </c>
      <c r="C846" s="107" t="s">
        <v>53</v>
      </c>
      <c r="D846" s="102">
        <v>6</v>
      </c>
      <c r="E846" s="111">
        <v>0</v>
      </c>
      <c r="F846" s="112">
        <v>0</v>
      </c>
      <c r="G846" s="112">
        <v>0</v>
      </c>
      <c r="H846" s="112">
        <v>0</v>
      </c>
      <c r="I846" s="113">
        <v>0</v>
      </c>
      <c r="J846"/>
      <c r="K846"/>
      <c r="L846"/>
      <c r="M846"/>
      <c r="N846"/>
    </row>
    <row r="847" spans="1:14" x14ac:dyDescent="0.3">
      <c r="A847" s="102" t="s">
        <v>1361</v>
      </c>
      <c r="B847" s="102" t="s">
        <v>2070</v>
      </c>
      <c r="C847" s="107" t="s">
        <v>53</v>
      </c>
      <c r="D847" s="102">
        <v>6</v>
      </c>
      <c r="E847" s="111">
        <v>0</v>
      </c>
      <c r="F847" s="112">
        <v>0</v>
      </c>
      <c r="G847" s="112">
        <v>0</v>
      </c>
      <c r="H847" s="112">
        <v>0</v>
      </c>
      <c r="I847" s="113">
        <v>0</v>
      </c>
      <c r="J847"/>
      <c r="K847"/>
      <c r="L847"/>
      <c r="M847"/>
      <c r="N847"/>
    </row>
    <row r="848" spans="1:14" x14ac:dyDescent="0.3">
      <c r="A848" s="102" t="s">
        <v>1362</v>
      </c>
      <c r="B848" s="102" t="s">
        <v>2071</v>
      </c>
      <c r="C848" s="107" t="s">
        <v>53</v>
      </c>
      <c r="D848" s="102">
        <v>6</v>
      </c>
      <c r="E848" s="111">
        <v>0</v>
      </c>
      <c r="F848" s="112">
        <v>0</v>
      </c>
      <c r="G848" s="112">
        <v>0</v>
      </c>
      <c r="H848" s="112">
        <v>0</v>
      </c>
      <c r="I848" s="113">
        <v>0</v>
      </c>
      <c r="J848"/>
      <c r="K848"/>
      <c r="L848"/>
      <c r="M848"/>
      <c r="N848"/>
    </row>
    <row r="849" spans="1:14" x14ac:dyDescent="0.3">
      <c r="A849" s="102" t="s">
        <v>1363</v>
      </c>
      <c r="B849" s="102" t="s">
        <v>2391</v>
      </c>
      <c r="C849" s="107" t="s">
        <v>53</v>
      </c>
      <c r="D849" s="102">
        <v>4</v>
      </c>
      <c r="E849" s="111">
        <v>0</v>
      </c>
      <c r="F849" s="112">
        <v>0</v>
      </c>
      <c r="G849" s="112">
        <v>0</v>
      </c>
      <c r="H849" s="112">
        <v>14000000</v>
      </c>
      <c r="I849" s="113">
        <v>14000000</v>
      </c>
      <c r="J849"/>
      <c r="K849"/>
      <c r="L849"/>
      <c r="M849"/>
      <c r="N849"/>
    </row>
    <row r="850" spans="1:14" x14ac:dyDescent="0.3">
      <c r="A850" s="102" t="s">
        <v>1364</v>
      </c>
      <c r="B850" s="102" t="s">
        <v>2067</v>
      </c>
      <c r="C850" s="107" t="s">
        <v>53</v>
      </c>
      <c r="D850" s="102">
        <v>6</v>
      </c>
      <c r="E850" s="111">
        <v>0</v>
      </c>
      <c r="F850" s="112">
        <v>0</v>
      </c>
      <c r="G850" s="112">
        <v>0</v>
      </c>
      <c r="H850" s="112">
        <v>0</v>
      </c>
      <c r="I850" s="113">
        <v>0</v>
      </c>
      <c r="J850"/>
      <c r="K850"/>
      <c r="L850"/>
      <c r="M850"/>
      <c r="N850"/>
    </row>
    <row r="851" spans="1:14" x14ac:dyDescent="0.3">
      <c r="A851" s="102" t="s">
        <v>1365</v>
      </c>
      <c r="B851" s="102" t="s">
        <v>2068</v>
      </c>
      <c r="C851" s="107" t="s">
        <v>53</v>
      </c>
      <c r="D851" s="102">
        <v>6</v>
      </c>
      <c r="E851" s="111">
        <v>0</v>
      </c>
      <c r="F851" s="112">
        <v>0</v>
      </c>
      <c r="G851" s="112">
        <v>0</v>
      </c>
      <c r="H851" s="112">
        <v>0</v>
      </c>
      <c r="I851" s="113">
        <v>0</v>
      </c>
      <c r="J851"/>
      <c r="K851"/>
      <c r="L851"/>
      <c r="M851"/>
      <c r="N851"/>
    </row>
    <row r="852" spans="1:14" x14ac:dyDescent="0.3">
      <c r="A852" s="102" t="s">
        <v>1366</v>
      </c>
      <c r="B852" s="102" t="s">
        <v>2069</v>
      </c>
      <c r="C852" s="107" t="s">
        <v>53</v>
      </c>
      <c r="D852" s="102">
        <v>6</v>
      </c>
      <c r="E852" s="111">
        <v>0</v>
      </c>
      <c r="F852" s="112">
        <v>0</v>
      </c>
      <c r="G852" s="112">
        <v>0</v>
      </c>
      <c r="H852" s="112">
        <v>0</v>
      </c>
      <c r="I852" s="113">
        <v>0</v>
      </c>
      <c r="J852"/>
      <c r="K852"/>
      <c r="L852"/>
      <c r="M852"/>
      <c r="N852"/>
    </row>
    <row r="853" spans="1:14" x14ac:dyDescent="0.3">
      <c r="A853" s="102" t="s">
        <v>1367</v>
      </c>
      <c r="B853" s="102" t="s">
        <v>2070</v>
      </c>
      <c r="C853" s="107" t="s">
        <v>53</v>
      </c>
      <c r="D853" s="102">
        <v>6</v>
      </c>
      <c r="E853" s="111">
        <v>0</v>
      </c>
      <c r="F853" s="112">
        <v>0</v>
      </c>
      <c r="G853" s="112">
        <v>0</v>
      </c>
      <c r="H853" s="112">
        <v>0</v>
      </c>
      <c r="I853" s="113">
        <v>0</v>
      </c>
      <c r="J853"/>
      <c r="K853"/>
      <c r="L853"/>
      <c r="M853"/>
      <c r="N853"/>
    </row>
    <row r="854" spans="1:14" x14ac:dyDescent="0.3">
      <c r="A854" s="102" t="s">
        <v>1368</v>
      </c>
      <c r="B854" s="102" t="s">
        <v>2071</v>
      </c>
      <c r="C854" s="107" t="s">
        <v>53</v>
      </c>
      <c r="D854" s="102">
        <v>6</v>
      </c>
      <c r="E854" s="111">
        <v>0</v>
      </c>
      <c r="F854" s="112">
        <v>0</v>
      </c>
      <c r="G854" s="112">
        <v>0</v>
      </c>
      <c r="H854" s="112">
        <v>14000000</v>
      </c>
      <c r="I854" s="113">
        <v>14000000</v>
      </c>
      <c r="J854"/>
      <c r="K854"/>
      <c r="L854"/>
      <c r="M854"/>
      <c r="N854"/>
    </row>
    <row r="855" spans="1:14" x14ac:dyDescent="0.3">
      <c r="A855" s="102" t="s">
        <v>1369</v>
      </c>
      <c r="B855" s="102" t="s">
        <v>2392</v>
      </c>
      <c r="C855" s="107" t="s">
        <v>53</v>
      </c>
      <c r="D855" s="102">
        <v>4</v>
      </c>
      <c r="E855" s="111">
        <v>536417.03</v>
      </c>
      <c r="F855" s="112">
        <v>0</v>
      </c>
      <c r="G855" s="112">
        <v>2166632.69</v>
      </c>
      <c r="H855" s="112">
        <v>18863765.579999998</v>
      </c>
      <c r="I855" s="113">
        <v>21566815.300000001</v>
      </c>
      <c r="J855"/>
      <c r="K855"/>
      <c r="L855"/>
      <c r="M855"/>
      <c r="N855"/>
    </row>
    <row r="856" spans="1:14" x14ac:dyDescent="0.3">
      <c r="A856" s="102" t="s">
        <v>1370</v>
      </c>
      <c r="B856" s="102" t="s">
        <v>2067</v>
      </c>
      <c r="C856" s="107" t="s">
        <v>53</v>
      </c>
      <c r="D856" s="102">
        <v>6</v>
      </c>
      <c r="E856" s="111">
        <v>15552.87</v>
      </c>
      <c r="F856" s="112">
        <v>0</v>
      </c>
      <c r="G856" s="112">
        <v>56776.25</v>
      </c>
      <c r="H856" s="112">
        <v>0</v>
      </c>
      <c r="I856" s="113">
        <v>72329.119999999995</v>
      </c>
      <c r="J856"/>
      <c r="K856"/>
      <c r="L856"/>
      <c r="M856"/>
      <c r="N856"/>
    </row>
    <row r="857" spans="1:14" x14ac:dyDescent="0.3">
      <c r="A857" s="102" t="s">
        <v>1371</v>
      </c>
      <c r="B857" s="102" t="s">
        <v>2068</v>
      </c>
      <c r="C857" s="107" t="s">
        <v>53</v>
      </c>
      <c r="D857" s="102">
        <v>6</v>
      </c>
      <c r="E857" s="111">
        <v>31101.22</v>
      </c>
      <c r="F857" s="112">
        <v>0</v>
      </c>
      <c r="G857" s="112">
        <v>114362.36</v>
      </c>
      <c r="H857" s="112">
        <v>0</v>
      </c>
      <c r="I857" s="113">
        <v>145463.57999999999</v>
      </c>
      <c r="J857"/>
      <c r="K857"/>
      <c r="L857"/>
      <c r="M857"/>
      <c r="N857"/>
    </row>
    <row r="858" spans="1:14" x14ac:dyDescent="0.3">
      <c r="A858" s="102" t="s">
        <v>1372</v>
      </c>
      <c r="B858" s="102" t="s">
        <v>2069</v>
      </c>
      <c r="C858" s="107" t="s">
        <v>53</v>
      </c>
      <c r="D858" s="102">
        <v>6</v>
      </c>
      <c r="E858" s="111">
        <v>46103.58</v>
      </c>
      <c r="F858" s="112">
        <v>0</v>
      </c>
      <c r="G858" s="112">
        <v>172950.66</v>
      </c>
      <c r="H858" s="112">
        <v>0</v>
      </c>
      <c r="I858" s="113">
        <v>219054.24</v>
      </c>
      <c r="J858"/>
      <c r="K858"/>
      <c r="L858"/>
      <c r="M858"/>
      <c r="N858"/>
    </row>
    <row r="859" spans="1:14" x14ac:dyDescent="0.3">
      <c r="A859" s="102" t="s">
        <v>1373</v>
      </c>
      <c r="B859" s="102" t="s">
        <v>2070</v>
      </c>
      <c r="C859" s="107" t="s">
        <v>53</v>
      </c>
      <c r="D859" s="102">
        <v>6</v>
      </c>
      <c r="E859" s="111">
        <v>33173.29</v>
      </c>
      <c r="F859" s="112">
        <v>0</v>
      </c>
      <c r="G859" s="112">
        <v>351554.49</v>
      </c>
      <c r="H859" s="112">
        <v>0</v>
      </c>
      <c r="I859" s="113">
        <v>384727.78</v>
      </c>
      <c r="J859"/>
      <c r="K859"/>
      <c r="L859"/>
      <c r="M859"/>
      <c r="N859"/>
    </row>
    <row r="860" spans="1:14" x14ac:dyDescent="0.3">
      <c r="A860" s="102" t="s">
        <v>1374</v>
      </c>
      <c r="B860" s="102" t="s">
        <v>2071</v>
      </c>
      <c r="C860" s="107" t="s">
        <v>53</v>
      </c>
      <c r="D860" s="102">
        <v>6</v>
      </c>
      <c r="E860" s="111">
        <v>410486.07</v>
      </c>
      <c r="F860" s="112">
        <v>0</v>
      </c>
      <c r="G860" s="112">
        <v>1470988.93</v>
      </c>
      <c r="H860" s="112">
        <v>18863765.579999998</v>
      </c>
      <c r="I860" s="113">
        <v>20745240.579999998</v>
      </c>
      <c r="J860"/>
      <c r="K860"/>
      <c r="L860"/>
      <c r="M860"/>
      <c r="N860"/>
    </row>
    <row r="861" spans="1:14" x14ac:dyDescent="0.3">
      <c r="A861" s="102" t="s">
        <v>1375</v>
      </c>
      <c r="B861" s="102" t="s">
        <v>2393</v>
      </c>
      <c r="C861" s="107" t="s">
        <v>53</v>
      </c>
      <c r="D861" s="102">
        <v>4</v>
      </c>
      <c r="E861" s="111">
        <v>0</v>
      </c>
      <c r="F861" s="112">
        <v>0</v>
      </c>
      <c r="G861" s="112">
        <v>0</v>
      </c>
      <c r="H861" s="112">
        <v>0</v>
      </c>
      <c r="I861" s="113">
        <v>0</v>
      </c>
      <c r="J861"/>
      <c r="K861"/>
      <c r="L861"/>
      <c r="M861"/>
      <c r="N861"/>
    </row>
    <row r="862" spans="1:14" x14ac:dyDescent="0.3">
      <c r="A862" s="102" t="s">
        <v>1376</v>
      </c>
      <c r="B862" s="102" t="s">
        <v>2067</v>
      </c>
      <c r="C862" s="107" t="s">
        <v>53</v>
      </c>
      <c r="D862" s="102">
        <v>6</v>
      </c>
      <c r="E862" s="111">
        <v>0</v>
      </c>
      <c r="F862" s="112">
        <v>0</v>
      </c>
      <c r="G862" s="112">
        <v>0</v>
      </c>
      <c r="H862" s="112">
        <v>0</v>
      </c>
      <c r="I862" s="113">
        <v>0</v>
      </c>
      <c r="J862"/>
      <c r="K862"/>
      <c r="L862"/>
      <c r="M862"/>
      <c r="N862"/>
    </row>
    <row r="863" spans="1:14" x14ac:dyDescent="0.3">
      <c r="A863" s="102" t="s">
        <v>1377</v>
      </c>
      <c r="B863" s="102" t="s">
        <v>2068</v>
      </c>
      <c r="C863" s="107" t="s">
        <v>53</v>
      </c>
      <c r="D863" s="102">
        <v>6</v>
      </c>
      <c r="E863" s="111">
        <v>0</v>
      </c>
      <c r="F863" s="112">
        <v>0</v>
      </c>
      <c r="G863" s="112">
        <v>0</v>
      </c>
      <c r="H863" s="112">
        <v>0</v>
      </c>
      <c r="I863" s="113">
        <v>0</v>
      </c>
      <c r="J863"/>
      <c r="K863"/>
      <c r="L863"/>
      <c r="M863"/>
      <c r="N863"/>
    </row>
    <row r="864" spans="1:14" x14ac:dyDescent="0.3">
      <c r="A864" s="102" t="s">
        <v>1378</v>
      </c>
      <c r="B864" s="102" t="s">
        <v>2069</v>
      </c>
      <c r="C864" s="107" t="s">
        <v>53</v>
      </c>
      <c r="D864" s="102">
        <v>6</v>
      </c>
      <c r="E864" s="111">
        <v>0</v>
      </c>
      <c r="F864" s="112">
        <v>0</v>
      </c>
      <c r="G864" s="112">
        <v>0</v>
      </c>
      <c r="H864" s="112">
        <v>0</v>
      </c>
      <c r="I864" s="113">
        <v>0</v>
      </c>
      <c r="J864"/>
      <c r="K864"/>
      <c r="L864"/>
      <c r="M864"/>
      <c r="N864"/>
    </row>
    <row r="865" spans="1:14" x14ac:dyDescent="0.3">
      <c r="A865" s="102" t="s">
        <v>1379</v>
      </c>
      <c r="B865" s="102" t="s">
        <v>2070</v>
      </c>
      <c r="C865" s="107" t="s">
        <v>53</v>
      </c>
      <c r="D865" s="102">
        <v>6</v>
      </c>
      <c r="E865" s="111">
        <v>0</v>
      </c>
      <c r="F865" s="112">
        <v>0</v>
      </c>
      <c r="G865" s="112">
        <v>0</v>
      </c>
      <c r="H865" s="112">
        <v>0</v>
      </c>
      <c r="I865" s="113">
        <v>0</v>
      </c>
      <c r="J865"/>
      <c r="K865"/>
      <c r="L865"/>
      <c r="M865"/>
      <c r="N865"/>
    </row>
    <row r="866" spans="1:14" x14ac:dyDescent="0.3">
      <c r="A866" s="102" t="s">
        <v>1380</v>
      </c>
      <c r="B866" s="102" t="s">
        <v>2071</v>
      </c>
      <c r="C866" s="107" t="s">
        <v>53</v>
      </c>
      <c r="D866" s="102">
        <v>6</v>
      </c>
      <c r="E866" s="111">
        <v>0</v>
      </c>
      <c r="F866" s="112">
        <v>0</v>
      </c>
      <c r="G866" s="112">
        <v>0</v>
      </c>
      <c r="H866" s="112">
        <v>0</v>
      </c>
      <c r="I866" s="113">
        <v>0</v>
      </c>
      <c r="J866"/>
      <c r="K866"/>
      <c r="L866"/>
      <c r="M866"/>
      <c r="N866"/>
    </row>
    <row r="867" spans="1:14" x14ac:dyDescent="0.3">
      <c r="A867" s="102" t="s">
        <v>1737</v>
      </c>
      <c r="B867" s="102" t="s">
        <v>2394</v>
      </c>
      <c r="C867" s="107" t="s">
        <v>53</v>
      </c>
      <c r="D867" s="102">
        <v>4</v>
      </c>
      <c r="E867" s="111">
        <v>0</v>
      </c>
      <c r="F867" s="112">
        <v>0</v>
      </c>
      <c r="G867" s="112">
        <v>0</v>
      </c>
      <c r="H867" s="112">
        <v>5275000</v>
      </c>
      <c r="I867" s="113">
        <v>5275000</v>
      </c>
      <c r="J867"/>
      <c r="K867"/>
      <c r="L867"/>
      <c r="M867"/>
      <c r="N867"/>
    </row>
    <row r="868" spans="1:14" x14ac:dyDescent="0.3">
      <c r="A868" s="102" t="s">
        <v>1738</v>
      </c>
      <c r="B868" s="102" t="s">
        <v>2067</v>
      </c>
      <c r="C868" s="107" t="s">
        <v>53</v>
      </c>
      <c r="D868" s="102">
        <v>6</v>
      </c>
      <c r="E868" s="111">
        <v>0</v>
      </c>
      <c r="F868" s="112">
        <v>0</v>
      </c>
      <c r="G868" s="112">
        <v>0</v>
      </c>
      <c r="H868" s="112">
        <v>0</v>
      </c>
      <c r="I868" s="113">
        <v>0</v>
      </c>
      <c r="J868"/>
      <c r="K868"/>
      <c r="L868"/>
      <c r="M868"/>
      <c r="N868"/>
    </row>
    <row r="869" spans="1:14" x14ac:dyDescent="0.3">
      <c r="A869" s="102" t="s">
        <v>1739</v>
      </c>
      <c r="B869" s="102" t="s">
        <v>2068</v>
      </c>
      <c r="C869" s="107" t="s">
        <v>53</v>
      </c>
      <c r="D869" s="102">
        <v>6</v>
      </c>
      <c r="E869" s="111">
        <v>0</v>
      </c>
      <c r="F869" s="112">
        <v>0</v>
      </c>
      <c r="G869" s="112">
        <v>0</v>
      </c>
      <c r="H869" s="112">
        <v>0</v>
      </c>
      <c r="I869" s="113">
        <v>0</v>
      </c>
      <c r="J869"/>
      <c r="K869"/>
      <c r="L869"/>
      <c r="M869"/>
      <c r="N869"/>
    </row>
    <row r="870" spans="1:14" x14ac:dyDescent="0.3">
      <c r="A870" s="102" t="s">
        <v>1740</v>
      </c>
      <c r="B870" s="102" t="s">
        <v>2069</v>
      </c>
      <c r="C870" s="107" t="s">
        <v>53</v>
      </c>
      <c r="D870" s="102">
        <v>6</v>
      </c>
      <c r="E870" s="111">
        <v>0</v>
      </c>
      <c r="F870" s="112">
        <v>0</v>
      </c>
      <c r="G870" s="112">
        <v>0</v>
      </c>
      <c r="H870" s="112">
        <v>0</v>
      </c>
      <c r="I870" s="113">
        <v>0</v>
      </c>
      <c r="J870"/>
      <c r="K870"/>
      <c r="L870"/>
      <c r="M870"/>
      <c r="N870"/>
    </row>
    <row r="871" spans="1:14" x14ac:dyDescent="0.3">
      <c r="A871" s="102" t="s">
        <v>1741</v>
      </c>
      <c r="B871" s="102" t="s">
        <v>2070</v>
      </c>
      <c r="C871" s="107" t="s">
        <v>53</v>
      </c>
      <c r="D871" s="102">
        <v>6</v>
      </c>
      <c r="E871" s="111">
        <v>0</v>
      </c>
      <c r="F871" s="112">
        <v>0</v>
      </c>
      <c r="G871" s="112">
        <v>0</v>
      </c>
      <c r="H871" s="112">
        <v>0</v>
      </c>
      <c r="I871" s="113">
        <v>0</v>
      </c>
      <c r="J871"/>
      <c r="K871"/>
      <c r="L871"/>
      <c r="M871"/>
      <c r="N871"/>
    </row>
    <row r="872" spans="1:14" x14ac:dyDescent="0.3">
      <c r="A872" s="102" t="s">
        <v>1742</v>
      </c>
      <c r="B872" s="102" t="s">
        <v>2071</v>
      </c>
      <c r="C872" s="107" t="s">
        <v>53</v>
      </c>
      <c r="D872" s="102">
        <v>6</v>
      </c>
      <c r="E872" s="111">
        <v>0</v>
      </c>
      <c r="F872" s="112">
        <v>0</v>
      </c>
      <c r="G872" s="112">
        <v>0</v>
      </c>
      <c r="H872" s="112">
        <v>5275000</v>
      </c>
      <c r="I872" s="113">
        <v>5275000</v>
      </c>
      <c r="J872"/>
      <c r="K872"/>
      <c r="L872"/>
      <c r="M872"/>
      <c r="N872"/>
    </row>
    <row r="873" spans="1:14" x14ac:dyDescent="0.3">
      <c r="A873" s="102" t="s">
        <v>1381</v>
      </c>
      <c r="B873" s="102" t="s">
        <v>2395</v>
      </c>
      <c r="C873" s="107" t="s">
        <v>53</v>
      </c>
      <c r="D873" s="102">
        <v>4</v>
      </c>
      <c r="E873" s="111">
        <v>0</v>
      </c>
      <c r="F873" s="112">
        <v>0</v>
      </c>
      <c r="G873" s="112">
        <v>0</v>
      </c>
      <c r="H873" s="112">
        <v>0</v>
      </c>
      <c r="I873" s="113">
        <v>0</v>
      </c>
      <c r="J873"/>
      <c r="K873"/>
      <c r="L873"/>
      <c r="M873"/>
      <c r="N873"/>
    </row>
    <row r="874" spans="1:14" x14ac:dyDescent="0.3">
      <c r="A874" s="102" t="s">
        <v>1382</v>
      </c>
      <c r="B874" s="102" t="s">
        <v>2396</v>
      </c>
      <c r="C874" s="107" t="s">
        <v>53</v>
      </c>
      <c r="D874" s="102">
        <v>6</v>
      </c>
      <c r="E874" s="111">
        <v>0</v>
      </c>
      <c r="F874" s="112">
        <v>0</v>
      </c>
      <c r="G874" s="112">
        <v>0</v>
      </c>
      <c r="H874" s="112">
        <v>0</v>
      </c>
      <c r="I874" s="113">
        <v>0</v>
      </c>
      <c r="J874"/>
      <c r="K874"/>
      <c r="L874"/>
      <c r="M874"/>
      <c r="N874"/>
    </row>
    <row r="875" spans="1:14" x14ac:dyDescent="0.3">
      <c r="A875" s="102" t="s">
        <v>1383</v>
      </c>
      <c r="B875" s="102" t="s">
        <v>2397</v>
      </c>
      <c r="C875" s="107" t="s">
        <v>53</v>
      </c>
      <c r="D875" s="102">
        <v>6</v>
      </c>
      <c r="E875" s="111">
        <v>0</v>
      </c>
      <c r="F875" s="112">
        <v>0</v>
      </c>
      <c r="G875" s="112">
        <v>0</v>
      </c>
      <c r="H875" s="112">
        <v>0</v>
      </c>
      <c r="I875" s="113">
        <v>0</v>
      </c>
      <c r="J875"/>
      <c r="K875"/>
      <c r="L875"/>
      <c r="M875"/>
      <c r="N875"/>
    </row>
    <row r="876" spans="1:14" x14ac:dyDescent="0.3">
      <c r="A876" s="102" t="s">
        <v>1990</v>
      </c>
      <c r="B876" s="102" t="s">
        <v>2398</v>
      </c>
      <c r="C876" s="107" t="s">
        <v>53</v>
      </c>
      <c r="D876" s="102">
        <v>6</v>
      </c>
      <c r="E876" s="111">
        <v>0</v>
      </c>
      <c r="F876" s="112">
        <v>0</v>
      </c>
      <c r="G876" s="112">
        <v>0</v>
      </c>
      <c r="H876" s="112">
        <v>0</v>
      </c>
      <c r="I876" s="113">
        <v>0</v>
      </c>
      <c r="J876"/>
      <c r="K876"/>
      <c r="L876"/>
      <c r="M876"/>
      <c r="N876"/>
    </row>
    <row r="877" spans="1:14" x14ac:dyDescent="0.3">
      <c r="A877" s="102" t="s">
        <v>1384</v>
      </c>
      <c r="B877" s="102" t="s">
        <v>2399</v>
      </c>
      <c r="C877" s="107" t="s">
        <v>53</v>
      </c>
      <c r="D877" s="102">
        <v>4</v>
      </c>
      <c r="E877" s="111">
        <v>0</v>
      </c>
      <c r="F877" s="112">
        <v>0</v>
      </c>
      <c r="G877" s="112">
        <v>0</v>
      </c>
      <c r="H877" s="112">
        <v>0</v>
      </c>
      <c r="I877" s="113">
        <v>0</v>
      </c>
      <c r="J877"/>
      <c r="K877"/>
      <c r="L877"/>
      <c r="M877"/>
      <c r="N877"/>
    </row>
    <row r="878" spans="1:14" x14ac:dyDescent="0.3">
      <c r="A878" s="102" t="s">
        <v>1385</v>
      </c>
      <c r="B878" s="102" t="s">
        <v>2067</v>
      </c>
      <c r="C878" s="107" t="s">
        <v>53</v>
      </c>
      <c r="D878" s="102">
        <v>6</v>
      </c>
      <c r="E878" s="111">
        <v>0</v>
      </c>
      <c r="F878" s="112">
        <v>0</v>
      </c>
      <c r="G878" s="112">
        <v>0</v>
      </c>
      <c r="H878" s="112">
        <v>0</v>
      </c>
      <c r="I878" s="113">
        <v>0</v>
      </c>
      <c r="J878"/>
      <c r="K878"/>
      <c r="L878"/>
      <c r="M878"/>
      <c r="N878"/>
    </row>
    <row r="879" spans="1:14" x14ac:dyDescent="0.3">
      <c r="A879" s="102" t="s">
        <v>1386</v>
      </c>
      <c r="B879" s="102" t="s">
        <v>2068</v>
      </c>
      <c r="C879" s="107" t="s">
        <v>53</v>
      </c>
      <c r="D879" s="102">
        <v>6</v>
      </c>
      <c r="E879" s="111">
        <v>0</v>
      </c>
      <c r="F879" s="112">
        <v>0</v>
      </c>
      <c r="G879" s="112">
        <v>0</v>
      </c>
      <c r="H879" s="112">
        <v>0</v>
      </c>
      <c r="I879" s="113">
        <v>0</v>
      </c>
      <c r="J879"/>
      <c r="K879"/>
      <c r="L879"/>
      <c r="M879"/>
      <c r="N879"/>
    </row>
    <row r="880" spans="1:14" x14ac:dyDescent="0.3">
      <c r="A880" s="102" t="s">
        <v>1387</v>
      </c>
      <c r="B880" s="102" t="s">
        <v>2069</v>
      </c>
      <c r="C880" s="107" t="s">
        <v>53</v>
      </c>
      <c r="D880" s="102">
        <v>6</v>
      </c>
      <c r="E880" s="111">
        <v>0</v>
      </c>
      <c r="F880" s="112">
        <v>0</v>
      </c>
      <c r="G880" s="112">
        <v>0</v>
      </c>
      <c r="H880" s="112">
        <v>0</v>
      </c>
      <c r="I880" s="113">
        <v>0</v>
      </c>
      <c r="J880"/>
      <c r="K880"/>
      <c r="L880"/>
      <c r="M880"/>
      <c r="N880"/>
    </row>
    <row r="881" spans="1:14" x14ac:dyDescent="0.3">
      <c r="A881" s="102" t="s">
        <v>1388</v>
      </c>
      <c r="B881" s="102" t="s">
        <v>2070</v>
      </c>
      <c r="C881" s="107" t="s">
        <v>53</v>
      </c>
      <c r="D881" s="102">
        <v>6</v>
      </c>
      <c r="E881" s="111">
        <v>0</v>
      </c>
      <c r="F881" s="112">
        <v>0</v>
      </c>
      <c r="G881" s="112">
        <v>0</v>
      </c>
      <c r="H881" s="112">
        <v>0</v>
      </c>
      <c r="I881" s="113">
        <v>0</v>
      </c>
      <c r="J881"/>
      <c r="K881"/>
      <c r="L881"/>
      <c r="M881"/>
      <c r="N881"/>
    </row>
    <row r="882" spans="1:14" x14ac:dyDescent="0.3">
      <c r="A882" s="102" t="s">
        <v>1389</v>
      </c>
      <c r="B882" s="102" t="s">
        <v>2071</v>
      </c>
      <c r="C882" s="107" t="s">
        <v>53</v>
      </c>
      <c r="D882" s="102">
        <v>6</v>
      </c>
      <c r="E882" s="111">
        <v>0</v>
      </c>
      <c r="F882" s="112">
        <v>0</v>
      </c>
      <c r="G882" s="112">
        <v>0</v>
      </c>
      <c r="H882" s="112">
        <v>0</v>
      </c>
      <c r="I882" s="113">
        <v>0</v>
      </c>
      <c r="J882"/>
      <c r="K882"/>
      <c r="L882"/>
      <c r="M882"/>
      <c r="N882"/>
    </row>
    <row r="883" spans="1:14" x14ac:dyDescent="0.3">
      <c r="A883" s="102" t="s">
        <v>1390</v>
      </c>
      <c r="B883" s="102" t="s">
        <v>2400</v>
      </c>
      <c r="C883" s="107" t="s">
        <v>53</v>
      </c>
      <c r="D883" s="102">
        <v>2</v>
      </c>
      <c r="E883" s="111">
        <v>2317.48</v>
      </c>
      <c r="F883" s="112">
        <v>0</v>
      </c>
      <c r="G883" s="112">
        <v>0</v>
      </c>
      <c r="H883" s="112">
        <v>0</v>
      </c>
      <c r="I883" s="113">
        <v>2317.48</v>
      </c>
      <c r="J883"/>
      <c r="K883"/>
      <c r="L883"/>
      <c r="M883"/>
      <c r="N883"/>
    </row>
    <row r="884" spans="1:14" x14ac:dyDescent="0.3">
      <c r="A884" s="102" t="s">
        <v>1391</v>
      </c>
      <c r="B884" s="102" t="s">
        <v>2356</v>
      </c>
      <c r="C884" s="107" t="s">
        <v>53</v>
      </c>
      <c r="D884" s="102">
        <v>4</v>
      </c>
      <c r="E884" s="111">
        <v>0</v>
      </c>
      <c r="F884" s="112">
        <v>0</v>
      </c>
      <c r="G884" s="112">
        <v>0</v>
      </c>
      <c r="H884" s="112">
        <v>0</v>
      </c>
      <c r="I884" s="113">
        <v>0</v>
      </c>
      <c r="J884"/>
      <c r="K884"/>
      <c r="L884"/>
      <c r="M884"/>
      <c r="N884"/>
    </row>
    <row r="885" spans="1:14" x14ac:dyDescent="0.3">
      <c r="A885" s="102" t="s">
        <v>1743</v>
      </c>
      <c r="B885" s="102" t="s">
        <v>2401</v>
      </c>
      <c r="C885" s="107" t="s">
        <v>53</v>
      </c>
      <c r="D885" s="102">
        <v>6</v>
      </c>
      <c r="E885" s="111">
        <v>0</v>
      </c>
      <c r="F885" s="112">
        <v>0</v>
      </c>
      <c r="G885" s="112">
        <v>0</v>
      </c>
      <c r="H885" s="112">
        <v>0</v>
      </c>
      <c r="I885" s="113">
        <v>0</v>
      </c>
      <c r="J885"/>
      <c r="K885"/>
      <c r="L885"/>
      <c r="M885"/>
      <c r="N885"/>
    </row>
    <row r="886" spans="1:14" x14ac:dyDescent="0.3">
      <c r="A886" s="102" t="s">
        <v>1392</v>
      </c>
      <c r="B886" s="102" t="s">
        <v>2357</v>
      </c>
      <c r="C886" s="107" t="s">
        <v>53</v>
      </c>
      <c r="D886" s="102">
        <v>4</v>
      </c>
      <c r="E886" s="111">
        <v>0</v>
      </c>
      <c r="F886" s="112">
        <v>0</v>
      </c>
      <c r="G886" s="112">
        <v>0</v>
      </c>
      <c r="H886" s="112">
        <v>0</v>
      </c>
      <c r="I886" s="113">
        <v>0</v>
      </c>
      <c r="J886"/>
      <c r="K886"/>
      <c r="L886"/>
      <c r="M886"/>
      <c r="N886"/>
    </row>
    <row r="887" spans="1:14" x14ac:dyDescent="0.3">
      <c r="A887" s="102" t="s">
        <v>1393</v>
      </c>
      <c r="B887" s="102" t="s">
        <v>2402</v>
      </c>
      <c r="C887" s="107" t="s">
        <v>53</v>
      </c>
      <c r="D887" s="102">
        <v>6</v>
      </c>
      <c r="E887" s="111">
        <v>0</v>
      </c>
      <c r="F887" s="112">
        <v>0</v>
      </c>
      <c r="G887" s="112">
        <v>0</v>
      </c>
      <c r="H887" s="112">
        <v>0</v>
      </c>
      <c r="I887" s="113">
        <v>0</v>
      </c>
      <c r="J887"/>
      <c r="K887"/>
      <c r="L887"/>
      <c r="M887"/>
      <c r="N887"/>
    </row>
    <row r="888" spans="1:14" x14ac:dyDescent="0.3">
      <c r="A888" s="102" t="s">
        <v>1394</v>
      </c>
      <c r="B888" s="102" t="s">
        <v>2358</v>
      </c>
      <c r="C888" s="107" t="s">
        <v>53</v>
      </c>
      <c r="D888" s="102">
        <v>4</v>
      </c>
      <c r="E888" s="111">
        <v>0</v>
      </c>
      <c r="F888" s="112">
        <v>0</v>
      </c>
      <c r="G888" s="112">
        <v>0</v>
      </c>
      <c r="H888" s="112">
        <v>0</v>
      </c>
      <c r="I888" s="113">
        <v>0</v>
      </c>
      <c r="J888"/>
      <c r="K888"/>
      <c r="L888"/>
      <c r="M888"/>
      <c r="N888"/>
    </row>
    <row r="889" spans="1:14" x14ac:dyDescent="0.3">
      <c r="A889" s="102" t="s">
        <v>1395</v>
      </c>
      <c r="B889" s="102" t="s">
        <v>2358</v>
      </c>
      <c r="C889" s="107" t="s">
        <v>53</v>
      </c>
      <c r="D889" s="102">
        <v>6</v>
      </c>
      <c r="E889" s="111">
        <v>0</v>
      </c>
      <c r="F889" s="112">
        <v>0</v>
      </c>
      <c r="G889" s="112">
        <v>0</v>
      </c>
      <c r="H889" s="112">
        <v>0</v>
      </c>
      <c r="I889" s="113">
        <v>0</v>
      </c>
      <c r="J889"/>
      <c r="K889"/>
      <c r="L889"/>
      <c r="M889"/>
      <c r="N889"/>
    </row>
    <row r="890" spans="1:14" x14ac:dyDescent="0.3">
      <c r="A890" s="102" t="s">
        <v>1396</v>
      </c>
      <c r="B890" s="102" t="s">
        <v>2403</v>
      </c>
      <c r="C890" s="107" t="s">
        <v>53</v>
      </c>
      <c r="D890" s="102">
        <v>4</v>
      </c>
      <c r="E890" s="111">
        <v>2317.48</v>
      </c>
      <c r="F890" s="112">
        <v>0</v>
      </c>
      <c r="G890" s="112">
        <v>0</v>
      </c>
      <c r="H890" s="112">
        <v>0</v>
      </c>
      <c r="I890" s="113">
        <v>2317.48</v>
      </c>
      <c r="J890"/>
      <c r="K890"/>
      <c r="L890"/>
      <c r="M890"/>
      <c r="N890"/>
    </row>
    <row r="891" spans="1:14" x14ac:dyDescent="0.3">
      <c r="A891" s="102" t="s">
        <v>1397</v>
      </c>
      <c r="B891" s="102" t="s">
        <v>2016</v>
      </c>
      <c r="C891" s="107" t="s">
        <v>53</v>
      </c>
      <c r="D891" s="102">
        <v>2</v>
      </c>
      <c r="E891" s="111">
        <v>567681.35</v>
      </c>
      <c r="F891" s="112">
        <v>77758.899999999994</v>
      </c>
      <c r="G891" s="112">
        <v>9326.68</v>
      </c>
      <c r="H891" s="112">
        <v>3351241.88</v>
      </c>
      <c r="I891" s="113">
        <v>4006008.81</v>
      </c>
      <c r="J891"/>
      <c r="K891"/>
      <c r="L891"/>
      <c r="M891"/>
      <c r="N891"/>
    </row>
    <row r="892" spans="1:14" x14ac:dyDescent="0.3">
      <c r="A892" s="102" t="s">
        <v>1398</v>
      </c>
      <c r="B892" s="102" t="s">
        <v>2404</v>
      </c>
      <c r="C892" s="107" t="s">
        <v>53</v>
      </c>
      <c r="D892" s="102">
        <v>4</v>
      </c>
      <c r="E892" s="111">
        <v>0</v>
      </c>
      <c r="F892" s="112">
        <v>0</v>
      </c>
      <c r="G892" s="112">
        <v>0</v>
      </c>
      <c r="H892" s="112">
        <v>346885.77</v>
      </c>
      <c r="I892" s="113">
        <v>346885.77</v>
      </c>
      <c r="J892"/>
      <c r="K892"/>
      <c r="L892"/>
      <c r="M892"/>
      <c r="N892"/>
    </row>
    <row r="893" spans="1:14" x14ac:dyDescent="0.3">
      <c r="A893" s="102" t="s">
        <v>1399</v>
      </c>
      <c r="B893" s="102" t="s">
        <v>2405</v>
      </c>
      <c r="C893" s="107" t="s">
        <v>53</v>
      </c>
      <c r="D893" s="102">
        <v>6</v>
      </c>
      <c r="E893" s="111">
        <v>0</v>
      </c>
      <c r="F893" s="112">
        <v>0</v>
      </c>
      <c r="G893" s="112">
        <v>0</v>
      </c>
      <c r="H893" s="112">
        <v>0</v>
      </c>
      <c r="I893" s="113">
        <v>0</v>
      </c>
      <c r="J893"/>
      <c r="K893"/>
      <c r="L893"/>
      <c r="M893"/>
      <c r="N893"/>
    </row>
    <row r="894" spans="1:14" x14ac:dyDescent="0.3">
      <c r="A894" s="102" t="s">
        <v>1400</v>
      </c>
      <c r="B894" s="102" t="s">
        <v>2406</v>
      </c>
      <c r="C894" s="107" t="s">
        <v>53</v>
      </c>
      <c r="D894" s="102">
        <v>6</v>
      </c>
      <c r="E894" s="111">
        <v>0</v>
      </c>
      <c r="F894" s="112">
        <v>0</v>
      </c>
      <c r="G894" s="112">
        <v>0</v>
      </c>
      <c r="H894" s="112">
        <v>0</v>
      </c>
      <c r="I894" s="113">
        <v>0</v>
      </c>
      <c r="J894"/>
      <c r="K894"/>
      <c r="L894"/>
      <c r="M894"/>
      <c r="N894"/>
    </row>
    <row r="895" spans="1:14" x14ac:dyDescent="0.3">
      <c r="A895" s="102" t="s">
        <v>1401</v>
      </c>
      <c r="B895" s="102" t="s">
        <v>2096</v>
      </c>
      <c r="C895" s="107" t="s">
        <v>53</v>
      </c>
      <c r="D895" s="102">
        <v>6</v>
      </c>
      <c r="E895" s="111">
        <v>0</v>
      </c>
      <c r="F895" s="112">
        <v>0</v>
      </c>
      <c r="G895" s="112">
        <v>0</v>
      </c>
      <c r="H895" s="112">
        <v>346885.77</v>
      </c>
      <c r="I895" s="113">
        <v>346885.77</v>
      </c>
      <c r="J895"/>
      <c r="K895"/>
      <c r="L895"/>
      <c r="M895"/>
      <c r="N895"/>
    </row>
    <row r="896" spans="1:14" x14ac:dyDescent="0.3">
      <c r="A896" s="102" t="s">
        <v>1402</v>
      </c>
      <c r="B896" s="102" t="s">
        <v>2407</v>
      </c>
      <c r="C896" s="107" t="s">
        <v>53</v>
      </c>
      <c r="D896" s="102">
        <v>4</v>
      </c>
      <c r="E896" s="111">
        <v>0</v>
      </c>
      <c r="F896" s="112">
        <v>0</v>
      </c>
      <c r="G896" s="112">
        <v>0</v>
      </c>
      <c r="H896" s="112">
        <v>0</v>
      </c>
      <c r="I896" s="113">
        <v>0</v>
      </c>
      <c r="J896"/>
      <c r="K896"/>
      <c r="L896"/>
      <c r="M896"/>
      <c r="N896"/>
    </row>
    <row r="897" spans="1:14" x14ac:dyDescent="0.3">
      <c r="A897" s="102" t="s">
        <v>1991</v>
      </c>
      <c r="B897" s="102" t="s">
        <v>2408</v>
      </c>
      <c r="C897" s="107" t="s">
        <v>53</v>
      </c>
      <c r="D897" s="102">
        <v>4</v>
      </c>
      <c r="E897" s="111">
        <v>0</v>
      </c>
      <c r="F897" s="112">
        <v>0</v>
      </c>
      <c r="G897" s="112">
        <v>0</v>
      </c>
      <c r="H897" s="112">
        <v>169865.31</v>
      </c>
      <c r="I897" s="113">
        <v>169865.31</v>
      </c>
      <c r="J897"/>
      <c r="K897"/>
      <c r="L897"/>
      <c r="M897"/>
      <c r="N897"/>
    </row>
    <row r="898" spans="1:14" x14ac:dyDescent="0.3">
      <c r="A898" s="102" t="s">
        <v>1403</v>
      </c>
      <c r="B898" s="102" t="s">
        <v>2322</v>
      </c>
      <c r="C898" s="107" t="s">
        <v>53</v>
      </c>
      <c r="D898" s="102">
        <v>4</v>
      </c>
      <c r="E898" s="111">
        <v>0</v>
      </c>
      <c r="F898" s="112">
        <v>0</v>
      </c>
      <c r="G898" s="112">
        <v>0</v>
      </c>
      <c r="H898" s="112">
        <v>0</v>
      </c>
      <c r="I898" s="113">
        <v>0</v>
      </c>
      <c r="J898"/>
      <c r="K898"/>
      <c r="L898"/>
      <c r="M898"/>
      <c r="N898"/>
    </row>
    <row r="899" spans="1:14" x14ac:dyDescent="0.3">
      <c r="A899" s="102" t="s">
        <v>1404</v>
      </c>
      <c r="B899" s="102" t="s">
        <v>2409</v>
      </c>
      <c r="C899" s="107" t="s">
        <v>53</v>
      </c>
      <c r="D899" s="102">
        <v>4</v>
      </c>
      <c r="E899" s="111">
        <v>0</v>
      </c>
      <c r="F899" s="112">
        <v>0</v>
      </c>
      <c r="G899" s="112">
        <v>0</v>
      </c>
      <c r="H899" s="112">
        <v>0</v>
      </c>
      <c r="I899" s="113">
        <v>0</v>
      </c>
      <c r="J899"/>
      <c r="K899"/>
      <c r="L899"/>
      <c r="M899"/>
      <c r="N899"/>
    </row>
    <row r="900" spans="1:14" x14ac:dyDescent="0.3">
      <c r="A900" s="102" t="s">
        <v>1405</v>
      </c>
      <c r="B900" s="102" t="s">
        <v>2096</v>
      </c>
      <c r="C900" s="107" t="s">
        <v>53</v>
      </c>
      <c r="D900" s="102">
        <v>4</v>
      </c>
      <c r="E900" s="111">
        <v>567681.35</v>
      </c>
      <c r="F900" s="112">
        <v>77758.899999999994</v>
      </c>
      <c r="G900" s="112">
        <v>9326.68</v>
      </c>
      <c r="H900" s="112">
        <v>2834490.8</v>
      </c>
      <c r="I900" s="113">
        <v>3489257.7299999995</v>
      </c>
      <c r="J900"/>
      <c r="K900"/>
      <c r="L900"/>
      <c r="M900"/>
      <c r="N900"/>
    </row>
    <row r="901" spans="1:14" x14ac:dyDescent="0.3">
      <c r="A901" s="102" t="s">
        <v>1406</v>
      </c>
      <c r="B901" s="102" t="s">
        <v>2410</v>
      </c>
      <c r="C901" s="107" t="s">
        <v>53</v>
      </c>
      <c r="D901" s="102">
        <v>6</v>
      </c>
      <c r="E901" s="111">
        <v>1008.01</v>
      </c>
      <c r="F901" s="112">
        <v>5590.03</v>
      </c>
      <c r="G901" s="112">
        <v>666.59</v>
      </c>
      <c r="H901" s="112">
        <v>18308.29</v>
      </c>
      <c r="I901" s="113">
        <v>25572.92</v>
      </c>
      <c r="J901"/>
      <c r="K901"/>
      <c r="L901"/>
      <c r="M901"/>
      <c r="N901"/>
    </row>
    <row r="902" spans="1:14" x14ac:dyDescent="0.3">
      <c r="A902" s="102" t="s">
        <v>1407</v>
      </c>
      <c r="B902" s="102" t="s">
        <v>2411</v>
      </c>
      <c r="C902" s="107" t="s">
        <v>53</v>
      </c>
      <c r="D902" s="102">
        <v>6</v>
      </c>
      <c r="E902" s="111">
        <v>566673.34</v>
      </c>
      <c r="F902" s="112">
        <v>72168.87</v>
      </c>
      <c r="G902" s="112">
        <v>8660.09</v>
      </c>
      <c r="H902" s="112">
        <v>2816182.51</v>
      </c>
      <c r="I902" s="113">
        <v>3463684.81</v>
      </c>
      <c r="J902"/>
      <c r="K902"/>
      <c r="L902"/>
      <c r="M902"/>
      <c r="N902"/>
    </row>
    <row r="903" spans="1:14" x14ac:dyDescent="0.3">
      <c r="A903" s="102" t="s">
        <v>1408</v>
      </c>
      <c r="B903" s="102" t="s">
        <v>285</v>
      </c>
      <c r="C903" s="107" t="s">
        <v>1408</v>
      </c>
      <c r="D903" s="102">
        <v>1</v>
      </c>
      <c r="E903" s="111">
        <v>2287927.66</v>
      </c>
      <c r="F903" s="112">
        <v>21000216.640000001</v>
      </c>
      <c r="G903" s="112">
        <v>4762585.41</v>
      </c>
      <c r="H903" s="112">
        <v>55723314.399999999</v>
      </c>
      <c r="I903" s="113">
        <v>83774044.109999999</v>
      </c>
      <c r="J903"/>
      <c r="K903"/>
      <c r="L903"/>
      <c r="M903"/>
      <c r="N903"/>
    </row>
    <row r="904" spans="1:14" x14ac:dyDescent="0.3">
      <c r="A904" s="102" t="s">
        <v>1409</v>
      </c>
      <c r="B904" s="102" t="s">
        <v>1410</v>
      </c>
      <c r="C904" s="107" t="s">
        <v>1408</v>
      </c>
      <c r="D904" s="102">
        <v>2</v>
      </c>
      <c r="E904" s="111">
        <v>821006</v>
      </c>
      <c r="F904" s="112">
        <v>300000</v>
      </c>
      <c r="G904" s="112">
        <v>995700</v>
      </c>
      <c r="H904" s="112">
        <v>7288200</v>
      </c>
      <c r="I904" s="113">
        <v>9404906</v>
      </c>
      <c r="J904"/>
      <c r="K904"/>
      <c r="L904"/>
      <c r="M904"/>
      <c r="N904"/>
    </row>
    <row r="905" spans="1:14" x14ac:dyDescent="0.3">
      <c r="A905" s="102" t="s">
        <v>1411</v>
      </c>
      <c r="B905" s="102" t="s">
        <v>2412</v>
      </c>
      <c r="C905" s="107" t="s">
        <v>1408</v>
      </c>
      <c r="D905" s="102">
        <v>4</v>
      </c>
      <c r="E905" s="111">
        <v>821006</v>
      </c>
      <c r="F905" s="112">
        <v>300000</v>
      </c>
      <c r="G905" s="112">
        <v>995700</v>
      </c>
      <c r="H905" s="112">
        <v>7288200</v>
      </c>
      <c r="I905" s="113">
        <v>9404906</v>
      </c>
      <c r="J905"/>
      <c r="K905"/>
      <c r="L905"/>
      <c r="M905"/>
      <c r="N905"/>
    </row>
    <row r="906" spans="1:14" x14ac:dyDescent="0.3">
      <c r="A906" s="102" t="s">
        <v>1992</v>
      </c>
      <c r="B906" s="102" t="s">
        <v>2413</v>
      </c>
      <c r="C906" s="107" t="s">
        <v>1408</v>
      </c>
      <c r="D906" s="102">
        <v>2</v>
      </c>
      <c r="E906" s="111">
        <v>0</v>
      </c>
      <c r="F906" s="112">
        <v>0</v>
      </c>
      <c r="G906" s="112">
        <v>0</v>
      </c>
      <c r="H906" s="112">
        <v>0</v>
      </c>
      <c r="I906" s="113">
        <v>0</v>
      </c>
      <c r="J906"/>
      <c r="K906"/>
      <c r="L906"/>
      <c r="M906"/>
      <c r="N906"/>
    </row>
    <row r="907" spans="1:14" x14ac:dyDescent="0.3">
      <c r="A907" s="102" t="s">
        <v>1993</v>
      </c>
      <c r="B907" s="102" t="s">
        <v>2413</v>
      </c>
      <c r="C907" s="107" t="s">
        <v>1408</v>
      </c>
      <c r="D907" s="102">
        <v>4</v>
      </c>
      <c r="E907" s="111">
        <v>0</v>
      </c>
      <c r="F907" s="112">
        <v>0</v>
      </c>
      <c r="G907" s="112">
        <v>0</v>
      </c>
      <c r="H907" s="112">
        <v>0</v>
      </c>
      <c r="I907" s="113">
        <v>0</v>
      </c>
      <c r="J907"/>
      <c r="K907"/>
      <c r="L907"/>
      <c r="M907"/>
      <c r="N907"/>
    </row>
    <row r="908" spans="1:14" x14ac:dyDescent="0.3">
      <c r="A908" s="102" t="s">
        <v>1412</v>
      </c>
      <c r="B908" s="102" t="s">
        <v>1413</v>
      </c>
      <c r="C908" s="107" t="s">
        <v>1408</v>
      </c>
      <c r="D908" s="102">
        <v>2</v>
      </c>
      <c r="E908" s="111">
        <v>1551161.23</v>
      </c>
      <c r="F908" s="112">
        <v>18565765.559999999</v>
      </c>
      <c r="G908" s="112">
        <v>3880168</v>
      </c>
      <c r="H908" s="112">
        <v>46349271.329999998</v>
      </c>
      <c r="I908" s="113">
        <v>70346366.120000005</v>
      </c>
      <c r="J908"/>
      <c r="K908"/>
      <c r="L908"/>
      <c r="M908"/>
      <c r="N908"/>
    </row>
    <row r="909" spans="1:14" x14ac:dyDescent="0.3">
      <c r="A909" s="102" t="s">
        <v>1414</v>
      </c>
      <c r="B909" s="102" t="s">
        <v>2414</v>
      </c>
      <c r="C909" s="107" t="s">
        <v>1408</v>
      </c>
      <c r="D909" s="102">
        <v>4</v>
      </c>
      <c r="E909" s="111">
        <v>1548755.25</v>
      </c>
      <c r="F909" s="112">
        <v>18564161.289999999</v>
      </c>
      <c r="G909" s="112">
        <v>3880168</v>
      </c>
      <c r="H909" s="112">
        <v>45887425</v>
      </c>
      <c r="I909" s="113">
        <v>69880509.540000007</v>
      </c>
      <c r="J909"/>
      <c r="K909"/>
      <c r="L909"/>
      <c r="M909"/>
      <c r="N909"/>
    </row>
    <row r="910" spans="1:14" x14ac:dyDescent="0.3">
      <c r="A910" s="102" t="s">
        <v>1415</v>
      </c>
      <c r="B910" s="102" t="s">
        <v>2415</v>
      </c>
      <c r="C910" s="107" t="s">
        <v>1408</v>
      </c>
      <c r="D910" s="102">
        <v>6</v>
      </c>
      <c r="E910" s="111">
        <v>1468066.55</v>
      </c>
      <c r="F910" s="112">
        <v>10333755.220000001</v>
      </c>
      <c r="G910" s="112">
        <v>3807626.53</v>
      </c>
      <c r="H910" s="112">
        <v>45870792.18</v>
      </c>
      <c r="I910" s="113">
        <v>61480240.479999997</v>
      </c>
      <c r="J910"/>
      <c r="K910"/>
      <c r="L910"/>
      <c r="M910"/>
      <c r="N910"/>
    </row>
    <row r="911" spans="1:14" x14ac:dyDescent="0.3">
      <c r="A911" s="102" t="s">
        <v>1416</v>
      </c>
      <c r="B911" s="102" t="s">
        <v>2416</v>
      </c>
      <c r="C911" s="107" t="s">
        <v>1408</v>
      </c>
      <c r="D911" s="102">
        <v>6</v>
      </c>
      <c r="E911" s="111">
        <v>0</v>
      </c>
      <c r="F911" s="112">
        <v>0.37</v>
      </c>
      <c r="G911" s="112">
        <v>0</v>
      </c>
      <c r="H911" s="112">
        <v>16632.82</v>
      </c>
      <c r="I911" s="113">
        <v>16633.189999999999</v>
      </c>
      <c r="J911"/>
      <c r="K911"/>
      <c r="L911"/>
      <c r="M911"/>
      <c r="N911"/>
    </row>
    <row r="912" spans="1:14" x14ac:dyDescent="0.3">
      <c r="A912" s="102" t="s">
        <v>1994</v>
      </c>
      <c r="B912" s="102" t="s">
        <v>2417</v>
      </c>
      <c r="C912" s="107" t="s">
        <v>1408</v>
      </c>
      <c r="D912" s="102">
        <v>6</v>
      </c>
      <c r="E912" s="111">
        <v>80688.7</v>
      </c>
      <c r="F912" s="112">
        <v>8230405.7000000002</v>
      </c>
      <c r="G912" s="112">
        <v>72541.47</v>
      </c>
      <c r="H912" s="112">
        <v>0</v>
      </c>
      <c r="I912" s="113">
        <v>8383635.8700000001</v>
      </c>
      <c r="J912"/>
      <c r="K912"/>
      <c r="L912"/>
      <c r="M912"/>
      <c r="N912"/>
    </row>
    <row r="913" spans="1:14" x14ac:dyDescent="0.3">
      <c r="A913" s="102" t="s">
        <v>1417</v>
      </c>
      <c r="B913" s="102" t="s">
        <v>2418</v>
      </c>
      <c r="C913" s="107" t="s">
        <v>1408</v>
      </c>
      <c r="D913" s="102">
        <v>4</v>
      </c>
      <c r="E913" s="111">
        <v>0</v>
      </c>
      <c r="F913" s="112">
        <v>0</v>
      </c>
      <c r="G913" s="112">
        <v>0</v>
      </c>
      <c r="H913" s="112">
        <v>461846.33</v>
      </c>
      <c r="I913" s="113">
        <v>461846.33</v>
      </c>
      <c r="J913"/>
      <c r="K913"/>
      <c r="L913"/>
      <c r="M913"/>
      <c r="N913"/>
    </row>
    <row r="914" spans="1:14" x14ac:dyDescent="0.3">
      <c r="A914" s="102" t="s">
        <v>1418</v>
      </c>
      <c r="B914" s="102" t="s">
        <v>2419</v>
      </c>
      <c r="C914" s="107" t="s">
        <v>1408</v>
      </c>
      <c r="D914" s="102">
        <v>4</v>
      </c>
      <c r="E914" s="111">
        <v>2405.98</v>
      </c>
      <c r="F914" s="112">
        <v>1604.27</v>
      </c>
      <c r="G914" s="112">
        <v>0</v>
      </c>
      <c r="H914" s="112">
        <v>0</v>
      </c>
      <c r="I914" s="113">
        <v>4010.25</v>
      </c>
      <c r="J914"/>
      <c r="K914"/>
      <c r="L914"/>
      <c r="M914"/>
      <c r="N914"/>
    </row>
    <row r="915" spans="1:14" x14ac:dyDescent="0.3">
      <c r="A915" s="102" t="s">
        <v>1419</v>
      </c>
      <c r="B915" s="102" t="s">
        <v>2420</v>
      </c>
      <c r="C915" s="107" t="s">
        <v>1408</v>
      </c>
      <c r="D915" s="102">
        <v>4</v>
      </c>
      <c r="E915" s="111">
        <v>0</v>
      </c>
      <c r="F915" s="112">
        <v>0</v>
      </c>
      <c r="G915" s="112">
        <v>0</v>
      </c>
      <c r="H915" s="112">
        <v>0</v>
      </c>
      <c r="I915" s="113">
        <v>0</v>
      </c>
      <c r="J915"/>
      <c r="K915"/>
      <c r="L915"/>
      <c r="M915"/>
      <c r="N915"/>
    </row>
    <row r="916" spans="1:14" x14ac:dyDescent="0.3">
      <c r="A916" s="102" t="s">
        <v>1420</v>
      </c>
      <c r="B916" s="102" t="s">
        <v>2421</v>
      </c>
      <c r="C916" s="107" t="s">
        <v>1408</v>
      </c>
      <c r="D916" s="102">
        <v>4</v>
      </c>
      <c r="E916" s="111">
        <v>0</v>
      </c>
      <c r="F916" s="112">
        <v>0</v>
      </c>
      <c r="G916" s="112">
        <v>0</v>
      </c>
      <c r="H916" s="112">
        <v>0</v>
      </c>
      <c r="I916" s="113">
        <v>0</v>
      </c>
      <c r="J916"/>
      <c r="K916"/>
      <c r="L916"/>
      <c r="M916"/>
      <c r="N916"/>
    </row>
    <row r="917" spans="1:14" x14ac:dyDescent="0.3">
      <c r="A917" s="102" t="s">
        <v>1421</v>
      </c>
      <c r="B917" s="102" t="s">
        <v>2023</v>
      </c>
      <c r="C917" s="107" t="s">
        <v>1408</v>
      </c>
      <c r="D917" s="102">
        <v>2</v>
      </c>
      <c r="E917" s="111">
        <v>0</v>
      </c>
      <c r="F917" s="112">
        <v>0</v>
      </c>
      <c r="G917" s="112">
        <v>0</v>
      </c>
      <c r="H917" s="112">
        <v>0</v>
      </c>
      <c r="I917" s="113">
        <v>0</v>
      </c>
      <c r="J917"/>
      <c r="K917"/>
      <c r="L917"/>
      <c r="M917"/>
      <c r="N917"/>
    </row>
    <row r="918" spans="1:14" x14ac:dyDescent="0.3">
      <c r="A918" s="102" t="s">
        <v>1422</v>
      </c>
      <c r="B918" s="102" t="s">
        <v>2023</v>
      </c>
      <c r="C918" s="107" t="s">
        <v>1408</v>
      </c>
      <c r="D918" s="102">
        <v>4</v>
      </c>
      <c r="E918" s="111">
        <v>0</v>
      </c>
      <c r="F918" s="112">
        <v>0</v>
      </c>
      <c r="G918" s="112">
        <v>0</v>
      </c>
      <c r="H918" s="112">
        <v>0</v>
      </c>
      <c r="I918" s="113">
        <v>0</v>
      </c>
      <c r="J918"/>
      <c r="K918"/>
      <c r="L918"/>
      <c r="M918"/>
      <c r="N918"/>
    </row>
    <row r="919" spans="1:14" x14ac:dyDescent="0.3">
      <c r="A919" s="102" t="s">
        <v>1423</v>
      </c>
      <c r="B919" s="102" t="s">
        <v>2422</v>
      </c>
      <c r="C919" s="107" t="s">
        <v>1408</v>
      </c>
      <c r="D919" s="102">
        <v>2</v>
      </c>
      <c r="E919" s="111">
        <v>79302.25</v>
      </c>
      <c r="F919" s="112">
        <v>98931.36</v>
      </c>
      <c r="G919" s="112">
        <v>0</v>
      </c>
      <c r="H919" s="112">
        <v>3454234.84</v>
      </c>
      <c r="I919" s="113">
        <v>3632468.45</v>
      </c>
      <c r="J919"/>
      <c r="K919"/>
      <c r="L919"/>
      <c r="M919"/>
      <c r="N919"/>
    </row>
    <row r="920" spans="1:14" x14ac:dyDescent="0.3">
      <c r="A920" s="102" t="s">
        <v>1424</v>
      </c>
      <c r="B920" s="102" t="s">
        <v>2423</v>
      </c>
      <c r="C920" s="107" t="s">
        <v>1408</v>
      </c>
      <c r="D920" s="102">
        <v>4</v>
      </c>
      <c r="E920" s="111">
        <v>79302.25</v>
      </c>
      <c r="F920" s="112">
        <v>98931.36</v>
      </c>
      <c r="G920" s="112">
        <v>0</v>
      </c>
      <c r="H920" s="112">
        <v>3453862.81</v>
      </c>
      <c r="I920" s="113">
        <v>3632096.4200000004</v>
      </c>
      <c r="J920"/>
      <c r="K920"/>
      <c r="L920"/>
      <c r="M920"/>
      <c r="N920"/>
    </row>
    <row r="921" spans="1:14" x14ac:dyDescent="0.3">
      <c r="A921" s="102" t="s">
        <v>1425</v>
      </c>
      <c r="B921" s="102" t="s">
        <v>2424</v>
      </c>
      <c r="C921" s="107" t="s">
        <v>1408</v>
      </c>
      <c r="D921" s="102">
        <v>4</v>
      </c>
      <c r="E921" s="111">
        <v>0</v>
      </c>
      <c r="F921" s="112">
        <v>0</v>
      </c>
      <c r="G921" s="112">
        <v>0</v>
      </c>
      <c r="H921" s="112">
        <v>0</v>
      </c>
      <c r="I921" s="113">
        <v>0</v>
      </c>
      <c r="J921"/>
      <c r="K921"/>
      <c r="L921"/>
      <c r="M921"/>
      <c r="N921"/>
    </row>
    <row r="922" spans="1:14" x14ac:dyDescent="0.3">
      <c r="A922" s="102" t="s">
        <v>1426</v>
      </c>
      <c r="B922" s="102" t="s">
        <v>2425</v>
      </c>
      <c r="C922" s="107" t="s">
        <v>1408</v>
      </c>
      <c r="D922" s="102">
        <v>4</v>
      </c>
      <c r="E922" s="111">
        <v>0</v>
      </c>
      <c r="F922" s="112">
        <v>0</v>
      </c>
      <c r="G922" s="112">
        <v>0</v>
      </c>
      <c r="H922" s="112">
        <v>372.03</v>
      </c>
      <c r="I922" s="113">
        <v>372.03</v>
      </c>
      <c r="J922"/>
      <c r="K922"/>
      <c r="L922"/>
      <c r="M922"/>
      <c r="N922"/>
    </row>
    <row r="923" spans="1:14" x14ac:dyDescent="0.3">
      <c r="A923" s="102" t="s">
        <v>1427</v>
      </c>
      <c r="B923" s="102" t="s">
        <v>1428</v>
      </c>
      <c r="C923" s="107" t="s">
        <v>1408</v>
      </c>
      <c r="D923" s="102">
        <v>2</v>
      </c>
      <c r="E923" s="111">
        <v>-163541.82</v>
      </c>
      <c r="F923" s="112">
        <v>2035519.72</v>
      </c>
      <c r="G923" s="112">
        <v>-113282.59</v>
      </c>
      <c r="H923" s="112">
        <v>-1368391.77</v>
      </c>
      <c r="I923" s="113">
        <v>390303.54</v>
      </c>
      <c r="J923"/>
      <c r="K923"/>
      <c r="L923"/>
      <c r="M923"/>
      <c r="N923"/>
    </row>
    <row r="924" spans="1:14" x14ac:dyDescent="0.3">
      <c r="A924" s="102" t="s">
        <v>1429</v>
      </c>
      <c r="B924" s="102" t="s">
        <v>2426</v>
      </c>
      <c r="C924" s="107" t="s">
        <v>1408</v>
      </c>
      <c r="D924" s="102">
        <v>4</v>
      </c>
      <c r="E924" s="111">
        <v>0</v>
      </c>
      <c r="F924" s="112">
        <v>2035519.72</v>
      </c>
      <c r="G924" s="112">
        <v>293285.06</v>
      </c>
      <c r="H924" s="112">
        <v>2151112.92</v>
      </c>
      <c r="I924" s="113">
        <v>4479917.7</v>
      </c>
      <c r="J924"/>
      <c r="K924"/>
      <c r="L924"/>
      <c r="M924"/>
      <c r="N924"/>
    </row>
    <row r="925" spans="1:14" x14ac:dyDescent="0.3">
      <c r="A925" s="102" t="s">
        <v>1430</v>
      </c>
      <c r="B925" s="102" t="s">
        <v>2427</v>
      </c>
      <c r="C925" s="107" t="s">
        <v>1408</v>
      </c>
      <c r="D925" s="102">
        <v>4</v>
      </c>
      <c r="E925" s="111">
        <v>-163541.82</v>
      </c>
      <c r="F925" s="112">
        <v>0</v>
      </c>
      <c r="G925" s="112">
        <v>-406567.65</v>
      </c>
      <c r="H925" s="112">
        <v>-3519504.69</v>
      </c>
      <c r="I925" s="113">
        <v>-4089614.16</v>
      </c>
      <c r="J925"/>
      <c r="K925"/>
      <c r="L925"/>
      <c r="M925"/>
      <c r="N925"/>
    </row>
    <row r="926" spans="1:14" x14ac:dyDescent="0.3">
      <c r="A926" s="102" t="s">
        <v>1431</v>
      </c>
      <c r="B926" s="102" t="s">
        <v>2428</v>
      </c>
      <c r="C926" s="107" t="s">
        <v>1408</v>
      </c>
      <c r="D926" s="102">
        <v>4</v>
      </c>
      <c r="E926" s="111">
        <v>0</v>
      </c>
      <c r="F926" s="112">
        <v>0</v>
      </c>
      <c r="G926" s="112">
        <v>0</v>
      </c>
      <c r="H926" s="112">
        <v>0</v>
      </c>
      <c r="I926" s="113">
        <v>0</v>
      </c>
      <c r="J926"/>
      <c r="K926"/>
      <c r="L926"/>
      <c r="M926"/>
      <c r="N926"/>
    </row>
    <row r="927" spans="1:14" x14ac:dyDescent="0.3">
      <c r="A927" s="102" t="s">
        <v>1432</v>
      </c>
      <c r="B927" s="102" t="s">
        <v>2429</v>
      </c>
      <c r="C927" s="107" t="s">
        <v>1408</v>
      </c>
      <c r="D927" s="102">
        <v>4</v>
      </c>
      <c r="E927" s="111">
        <v>0</v>
      </c>
      <c r="F927" s="112">
        <v>0</v>
      </c>
      <c r="G927" s="112">
        <v>0</v>
      </c>
      <c r="H927" s="112">
        <v>0</v>
      </c>
      <c r="I927" s="113">
        <v>0</v>
      </c>
      <c r="J927"/>
      <c r="K927"/>
      <c r="L927"/>
      <c r="M927"/>
      <c r="N927"/>
    </row>
    <row r="928" spans="1:14" x14ac:dyDescent="0.3">
      <c r="A928" s="102" t="s">
        <v>58</v>
      </c>
      <c r="B928" s="102" t="s">
        <v>307</v>
      </c>
      <c r="C928" s="107" t="s">
        <v>58</v>
      </c>
      <c r="D928" s="102">
        <v>1</v>
      </c>
      <c r="E928" s="111">
        <v>341649.67</v>
      </c>
      <c r="F928" s="112">
        <v>1443317.74</v>
      </c>
      <c r="G928" s="112">
        <v>526867.07999999996</v>
      </c>
      <c r="H928" s="112">
        <v>7045207.3300000001</v>
      </c>
      <c r="I928" s="113">
        <v>9357041.8200000003</v>
      </c>
      <c r="J928"/>
      <c r="K928"/>
      <c r="L928"/>
      <c r="M928"/>
      <c r="N928"/>
    </row>
    <row r="929" spans="1:14" x14ac:dyDescent="0.3">
      <c r="A929" s="102" t="s">
        <v>68</v>
      </c>
      <c r="B929" s="102" t="s">
        <v>308</v>
      </c>
      <c r="C929" s="107" t="s">
        <v>58</v>
      </c>
      <c r="D929" s="102">
        <v>2</v>
      </c>
      <c r="E929" s="111">
        <v>139377.79</v>
      </c>
      <c r="F929" s="112">
        <v>605427.80000000005</v>
      </c>
      <c r="G929" s="112">
        <v>237733.72</v>
      </c>
      <c r="H929" s="112">
        <v>2532984.84</v>
      </c>
      <c r="I929" s="113">
        <v>3515524.15</v>
      </c>
      <c r="J929"/>
      <c r="K929"/>
      <c r="L929"/>
      <c r="M929"/>
      <c r="N929"/>
    </row>
    <row r="930" spans="1:14" x14ac:dyDescent="0.3">
      <c r="A930" s="102" t="s">
        <v>309</v>
      </c>
      <c r="B930" s="102" t="s">
        <v>2335</v>
      </c>
      <c r="C930" s="107" t="s">
        <v>58</v>
      </c>
      <c r="D930" s="102">
        <v>4</v>
      </c>
      <c r="E930" s="111">
        <v>136996.48000000001</v>
      </c>
      <c r="F930" s="112">
        <v>605427.80000000005</v>
      </c>
      <c r="G930" s="112">
        <v>237733.72</v>
      </c>
      <c r="H930" s="112">
        <v>2356104.27</v>
      </c>
      <c r="I930" s="113">
        <v>3336262.27</v>
      </c>
      <c r="J930"/>
      <c r="K930"/>
      <c r="L930"/>
      <c r="M930"/>
      <c r="N930"/>
    </row>
    <row r="931" spans="1:14" x14ac:dyDescent="0.3">
      <c r="A931" s="102" t="s">
        <v>310</v>
      </c>
      <c r="B931" s="102" t="s">
        <v>2337</v>
      </c>
      <c r="C931" s="107" t="s">
        <v>58</v>
      </c>
      <c r="D931" s="102">
        <v>6</v>
      </c>
      <c r="E931" s="111">
        <v>3930.2</v>
      </c>
      <c r="F931" s="112">
        <v>40907.71</v>
      </c>
      <c r="G931" s="112">
        <v>17256.38</v>
      </c>
      <c r="H931" s="112">
        <v>161566.95000000001</v>
      </c>
      <c r="I931" s="113">
        <v>223661.24</v>
      </c>
      <c r="J931"/>
      <c r="K931"/>
      <c r="L931"/>
      <c r="M931"/>
      <c r="N931"/>
    </row>
    <row r="932" spans="1:14" x14ac:dyDescent="0.3">
      <c r="A932" s="102" t="s">
        <v>311</v>
      </c>
      <c r="B932" s="102" t="s">
        <v>2339</v>
      </c>
      <c r="C932" s="107" t="s">
        <v>58</v>
      </c>
      <c r="D932" s="102">
        <v>6</v>
      </c>
      <c r="E932" s="111">
        <v>0</v>
      </c>
      <c r="F932" s="112">
        <v>0</v>
      </c>
      <c r="G932" s="112">
        <v>0</v>
      </c>
      <c r="H932" s="112">
        <v>10.58</v>
      </c>
      <c r="I932" s="113">
        <v>10.58</v>
      </c>
      <c r="J932"/>
      <c r="K932"/>
      <c r="L932"/>
      <c r="M932"/>
      <c r="N932"/>
    </row>
    <row r="933" spans="1:14" x14ac:dyDescent="0.3">
      <c r="A933" s="102" t="s">
        <v>312</v>
      </c>
      <c r="B933" s="102" t="s">
        <v>2342</v>
      </c>
      <c r="C933" s="107" t="s">
        <v>58</v>
      </c>
      <c r="D933" s="102">
        <v>6</v>
      </c>
      <c r="E933" s="111">
        <v>0</v>
      </c>
      <c r="F933" s="112">
        <v>0</v>
      </c>
      <c r="G933" s="112">
        <v>0</v>
      </c>
      <c r="H933" s="112">
        <v>0</v>
      </c>
      <c r="I933" s="113">
        <v>0</v>
      </c>
      <c r="J933"/>
      <c r="K933"/>
      <c r="L933"/>
      <c r="M933"/>
      <c r="N933"/>
    </row>
    <row r="934" spans="1:14" x14ac:dyDescent="0.3">
      <c r="A934" s="102" t="s">
        <v>313</v>
      </c>
      <c r="B934" s="102" t="s">
        <v>2346</v>
      </c>
      <c r="C934" s="107" t="s">
        <v>58</v>
      </c>
      <c r="D934" s="102">
        <v>6</v>
      </c>
      <c r="E934" s="111">
        <v>132961.4</v>
      </c>
      <c r="F934" s="112">
        <v>564520.09</v>
      </c>
      <c r="G934" s="112">
        <v>220477.34</v>
      </c>
      <c r="H934" s="112">
        <v>2194526.7400000002</v>
      </c>
      <c r="I934" s="113">
        <v>3112485.57</v>
      </c>
      <c r="J934"/>
      <c r="K934"/>
      <c r="L934"/>
      <c r="M934"/>
      <c r="N934"/>
    </row>
    <row r="935" spans="1:14" x14ac:dyDescent="0.3">
      <c r="A935" s="102" t="s">
        <v>314</v>
      </c>
      <c r="B935" s="102" t="s">
        <v>2348</v>
      </c>
      <c r="C935" s="107" t="s">
        <v>58</v>
      </c>
      <c r="D935" s="102">
        <v>6</v>
      </c>
      <c r="E935" s="111">
        <v>0</v>
      </c>
      <c r="F935" s="112">
        <v>0</v>
      </c>
      <c r="G935" s="112">
        <v>0</v>
      </c>
      <c r="H935" s="112">
        <v>0</v>
      </c>
      <c r="I935" s="113">
        <v>0</v>
      </c>
      <c r="J935"/>
      <c r="K935"/>
      <c r="L935"/>
      <c r="M935"/>
      <c r="N935"/>
    </row>
    <row r="936" spans="1:14" x14ac:dyDescent="0.3">
      <c r="A936" s="102" t="s">
        <v>315</v>
      </c>
      <c r="B936" s="102" t="s">
        <v>2341</v>
      </c>
      <c r="C936" s="107" t="s">
        <v>58</v>
      </c>
      <c r="D936" s="102">
        <v>6</v>
      </c>
      <c r="E936" s="111">
        <v>0</v>
      </c>
      <c r="F936" s="112">
        <v>0</v>
      </c>
      <c r="G936" s="112">
        <v>0</v>
      </c>
      <c r="H936" s="112">
        <v>0</v>
      </c>
      <c r="I936" s="113">
        <v>0</v>
      </c>
      <c r="J936"/>
      <c r="K936"/>
      <c r="L936"/>
      <c r="M936"/>
      <c r="N936"/>
    </row>
    <row r="937" spans="1:14" x14ac:dyDescent="0.3">
      <c r="A937" s="102" t="s">
        <v>316</v>
      </c>
      <c r="B937" s="102" t="s">
        <v>2096</v>
      </c>
      <c r="C937" s="107" t="s">
        <v>58</v>
      </c>
      <c r="D937" s="102">
        <v>6</v>
      </c>
      <c r="E937" s="111">
        <v>104.88</v>
      </c>
      <c r="F937" s="112">
        <v>0</v>
      </c>
      <c r="G937" s="112">
        <v>0</v>
      </c>
      <c r="H937" s="112">
        <v>0</v>
      </c>
      <c r="I937" s="113">
        <v>104.88</v>
      </c>
      <c r="J937"/>
      <c r="K937"/>
      <c r="L937"/>
      <c r="M937"/>
      <c r="N937"/>
    </row>
    <row r="938" spans="1:14" x14ac:dyDescent="0.3">
      <c r="A938" s="102" t="s">
        <v>317</v>
      </c>
      <c r="B938" s="102" t="s">
        <v>2015</v>
      </c>
      <c r="C938" s="107" t="s">
        <v>58</v>
      </c>
      <c r="D938" s="102">
        <v>4</v>
      </c>
      <c r="E938" s="111">
        <v>0</v>
      </c>
      <c r="F938" s="112">
        <v>0</v>
      </c>
      <c r="G938" s="112">
        <v>0</v>
      </c>
      <c r="H938" s="112">
        <v>0</v>
      </c>
      <c r="I938" s="113">
        <v>0</v>
      </c>
      <c r="J938"/>
      <c r="K938"/>
      <c r="L938"/>
      <c r="M938"/>
      <c r="N938"/>
    </row>
    <row r="939" spans="1:14" x14ac:dyDescent="0.3">
      <c r="A939" s="102" t="s">
        <v>318</v>
      </c>
      <c r="B939" s="102" t="s">
        <v>2430</v>
      </c>
      <c r="C939" s="107" t="s">
        <v>58</v>
      </c>
      <c r="D939" s="102">
        <v>6</v>
      </c>
      <c r="E939" s="111">
        <v>0</v>
      </c>
      <c r="F939" s="112">
        <v>0</v>
      </c>
      <c r="G939" s="112">
        <v>0</v>
      </c>
      <c r="H939" s="112">
        <v>0</v>
      </c>
      <c r="I939" s="113">
        <v>0</v>
      </c>
      <c r="J939"/>
      <c r="K939"/>
      <c r="L939"/>
      <c r="M939"/>
      <c r="N939"/>
    </row>
    <row r="940" spans="1:14" x14ac:dyDescent="0.3">
      <c r="A940" s="102" t="s">
        <v>319</v>
      </c>
      <c r="B940" s="102" t="s">
        <v>2050</v>
      </c>
      <c r="C940" s="107" t="s">
        <v>58</v>
      </c>
      <c r="D940" s="102">
        <v>6</v>
      </c>
      <c r="E940" s="111">
        <v>0</v>
      </c>
      <c r="F940" s="112">
        <v>0</v>
      </c>
      <c r="G940" s="112">
        <v>0</v>
      </c>
      <c r="H940" s="112">
        <v>0</v>
      </c>
      <c r="I940" s="113">
        <v>0</v>
      </c>
      <c r="J940"/>
      <c r="K940"/>
      <c r="L940"/>
      <c r="M940"/>
      <c r="N940"/>
    </row>
    <row r="941" spans="1:14" x14ac:dyDescent="0.3">
      <c r="A941" s="102" t="s">
        <v>320</v>
      </c>
      <c r="B941" s="102" t="s">
        <v>2362</v>
      </c>
      <c r="C941" s="107" t="s">
        <v>58</v>
      </c>
      <c r="D941" s="102">
        <v>4</v>
      </c>
      <c r="E941" s="111">
        <v>2381.31</v>
      </c>
      <c r="F941" s="112">
        <v>0</v>
      </c>
      <c r="G941" s="112">
        <v>0</v>
      </c>
      <c r="H941" s="112">
        <v>176742.2</v>
      </c>
      <c r="I941" s="113">
        <v>179123.51</v>
      </c>
      <c r="J941"/>
      <c r="K941"/>
      <c r="L941"/>
      <c r="M941"/>
      <c r="N941"/>
    </row>
    <row r="942" spans="1:14" x14ac:dyDescent="0.3">
      <c r="A942" s="102" t="s">
        <v>321</v>
      </c>
      <c r="B942" s="102" t="s">
        <v>2389</v>
      </c>
      <c r="C942" s="107" t="s">
        <v>58</v>
      </c>
      <c r="D942" s="102">
        <v>6</v>
      </c>
      <c r="E942" s="111">
        <v>0</v>
      </c>
      <c r="F942" s="112">
        <v>0</v>
      </c>
      <c r="G942" s="112">
        <v>0</v>
      </c>
      <c r="H942" s="112">
        <v>0</v>
      </c>
      <c r="I942" s="113">
        <v>0</v>
      </c>
      <c r="J942"/>
      <c r="K942"/>
      <c r="L942"/>
      <c r="M942"/>
      <c r="N942"/>
    </row>
    <row r="943" spans="1:14" x14ac:dyDescent="0.3">
      <c r="A943" s="102" t="s">
        <v>322</v>
      </c>
      <c r="B943" s="102" t="s">
        <v>2431</v>
      </c>
      <c r="C943" s="107" t="s">
        <v>58</v>
      </c>
      <c r="D943" s="102">
        <v>6</v>
      </c>
      <c r="E943" s="111">
        <v>290.14</v>
      </c>
      <c r="F943" s="112">
        <v>0</v>
      </c>
      <c r="G943" s="112">
        <v>0</v>
      </c>
      <c r="H943" s="112">
        <v>0</v>
      </c>
      <c r="I943" s="113">
        <v>290.14</v>
      </c>
      <c r="J943"/>
      <c r="K943"/>
      <c r="L943"/>
      <c r="M943"/>
      <c r="N943"/>
    </row>
    <row r="944" spans="1:14" x14ac:dyDescent="0.3">
      <c r="A944" s="102" t="s">
        <v>323</v>
      </c>
      <c r="B944" s="102" t="s">
        <v>2391</v>
      </c>
      <c r="C944" s="107" t="s">
        <v>58</v>
      </c>
      <c r="D944" s="102">
        <v>6</v>
      </c>
      <c r="E944" s="111">
        <v>0</v>
      </c>
      <c r="F944" s="112">
        <v>0</v>
      </c>
      <c r="G944" s="112">
        <v>0</v>
      </c>
      <c r="H944" s="112">
        <v>134230</v>
      </c>
      <c r="I944" s="113">
        <v>134230</v>
      </c>
      <c r="J944"/>
      <c r="K944"/>
      <c r="L944"/>
      <c r="M944"/>
      <c r="N944"/>
    </row>
    <row r="945" spans="1:14" x14ac:dyDescent="0.3">
      <c r="A945" s="102" t="s">
        <v>324</v>
      </c>
      <c r="B945" s="102" t="s">
        <v>2392</v>
      </c>
      <c r="C945" s="107" t="s">
        <v>58</v>
      </c>
      <c r="D945" s="102">
        <v>6</v>
      </c>
      <c r="E945" s="111">
        <v>2091.17</v>
      </c>
      <c r="F945" s="112">
        <v>0</v>
      </c>
      <c r="G945" s="112">
        <v>0</v>
      </c>
      <c r="H945" s="112">
        <v>42512.2</v>
      </c>
      <c r="I945" s="113">
        <v>44603.37</v>
      </c>
      <c r="J945"/>
      <c r="K945"/>
      <c r="L945"/>
      <c r="M945"/>
      <c r="N945"/>
    </row>
    <row r="946" spans="1:14" x14ac:dyDescent="0.3">
      <c r="A946" s="102" t="s">
        <v>325</v>
      </c>
      <c r="B946" s="102" t="s">
        <v>2393</v>
      </c>
      <c r="C946" s="107" t="s">
        <v>58</v>
      </c>
      <c r="D946" s="102">
        <v>6</v>
      </c>
      <c r="E946" s="111">
        <v>0</v>
      </c>
      <c r="F946" s="112">
        <v>0</v>
      </c>
      <c r="G946" s="112">
        <v>0</v>
      </c>
      <c r="H946" s="112">
        <v>0</v>
      </c>
      <c r="I946" s="113">
        <v>0</v>
      </c>
      <c r="J946"/>
      <c r="K946"/>
      <c r="L946"/>
      <c r="M946"/>
      <c r="N946"/>
    </row>
    <row r="947" spans="1:14" x14ac:dyDescent="0.3">
      <c r="A947" s="102" t="s">
        <v>1744</v>
      </c>
      <c r="B947" s="102" t="s">
        <v>2394</v>
      </c>
      <c r="C947" s="107" t="s">
        <v>58</v>
      </c>
      <c r="D947" s="102">
        <v>6</v>
      </c>
      <c r="E947" s="111">
        <v>0</v>
      </c>
      <c r="F947" s="112">
        <v>0</v>
      </c>
      <c r="G947" s="112">
        <v>0</v>
      </c>
      <c r="H947" s="112">
        <v>0</v>
      </c>
      <c r="I947" s="113">
        <v>0</v>
      </c>
      <c r="J947"/>
      <c r="K947"/>
      <c r="L947"/>
      <c r="M947"/>
      <c r="N947"/>
    </row>
    <row r="948" spans="1:14" x14ac:dyDescent="0.3">
      <c r="A948" s="102" t="s">
        <v>326</v>
      </c>
      <c r="B948" s="102" t="s">
        <v>2399</v>
      </c>
      <c r="C948" s="107" t="s">
        <v>58</v>
      </c>
      <c r="D948" s="102">
        <v>6</v>
      </c>
      <c r="E948" s="111">
        <v>0</v>
      </c>
      <c r="F948" s="112">
        <v>0</v>
      </c>
      <c r="G948" s="112">
        <v>0</v>
      </c>
      <c r="H948" s="112">
        <v>0</v>
      </c>
      <c r="I948" s="113">
        <v>0</v>
      </c>
      <c r="J948"/>
      <c r="K948"/>
      <c r="L948"/>
      <c r="M948"/>
      <c r="N948"/>
    </row>
    <row r="949" spans="1:14" x14ac:dyDescent="0.3">
      <c r="A949" s="102" t="s">
        <v>327</v>
      </c>
      <c r="B949" s="102" t="s">
        <v>2432</v>
      </c>
      <c r="C949" s="107" t="s">
        <v>58</v>
      </c>
      <c r="D949" s="102">
        <v>4</v>
      </c>
      <c r="E949" s="111">
        <v>0</v>
      </c>
      <c r="F949" s="112">
        <v>0</v>
      </c>
      <c r="G949" s="112">
        <v>0</v>
      </c>
      <c r="H949" s="112">
        <v>0</v>
      </c>
      <c r="I949" s="113">
        <v>0</v>
      </c>
      <c r="J949"/>
      <c r="K949"/>
      <c r="L949"/>
      <c r="M949"/>
      <c r="N949"/>
    </row>
    <row r="950" spans="1:14" x14ac:dyDescent="0.3">
      <c r="A950" s="102" t="s">
        <v>328</v>
      </c>
      <c r="B950" s="102" t="s">
        <v>2356</v>
      </c>
      <c r="C950" s="107" t="s">
        <v>58</v>
      </c>
      <c r="D950" s="102">
        <v>6</v>
      </c>
      <c r="E950" s="111">
        <v>0</v>
      </c>
      <c r="F950" s="112">
        <v>0</v>
      </c>
      <c r="G950" s="112">
        <v>0</v>
      </c>
      <c r="H950" s="112">
        <v>0</v>
      </c>
      <c r="I950" s="113">
        <v>0</v>
      </c>
      <c r="J950"/>
      <c r="K950"/>
      <c r="L950"/>
      <c r="M950"/>
      <c r="N950"/>
    </row>
    <row r="951" spans="1:14" x14ac:dyDescent="0.3">
      <c r="A951" s="102" t="s">
        <v>329</v>
      </c>
      <c r="B951" s="102" t="s">
        <v>2357</v>
      </c>
      <c r="C951" s="107" t="s">
        <v>58</v>
      </c>
      <c r="D951" s="102">
        <v>6</v>
      </c>
      <c r="E951" s="111">
        <v>0</v>
      </c>
      <c r="F951" s="112">
        <v>0</v>
      </c>
      <c r="G951" s="112">
        <v>0</v>
      </c>
      <c r="H951" s="112">
        <v>0</v>
      </c>
      <c r="I951" s="113">
        <v>0</v>
      </c>
      <c r="J951"/>
      <c r="K951"/>
      <c r="L951"/>
      <c r="M951"/>
      <c r="N951"/>
    </row>
    <row r="952" spans="1:14" x14ac:dyDescent="0.3">
      <c r="A952" s="102" t="s">
        <v>330</v>
      </c>
      <c r="B952" s="102" t="s">
        <v>2358</v>
      </c>
      <c r="C952" s="107" t="s">
        <v>58</v>
      </c>
      <c r="D952" s="102">
        <v>6</v>
      </c>
      <c r="E952" s="111">
        <v>0</v>
      </c>
      <c r="F952" s="112">
        <v>0</v>
      </c>
      <c r="G952" s="112">
        <v>0</v>
      </c>
      <c r="H952" s="112">
        <v>0</v>
      </c>
      <c r="I952" s="113">
        <v>0</v>
      </c>
      <c r="J952"/>
      <c r="K952"/>
      <c r="L952"/>
      <c r="M952"/>
      <c r="N952"/>
    </row>
    <row r="953" spans="1:14" x14ac:dyDescent="0.3">
      <c r="A953" s="102" t="s">
        <v>331</v>
      </c>
      <c r="B953" s="102" t="s">
        <v>2433</v>
      </c>
      <c r="C953" s="107" t="s">
        <v>58</v>
      </c>
      <c r="D953" s="102">
        <v>4</v>
      </c>
      <c r="E953" s="111">
        <v>0</v>
      </c>
      <c r="F953" s="112">
        <v>0</v>
      </c>
      <c r="G953" s="112">
        <v>0</v>
      </c>
      <c r="H953" s="112">
        <v>138.37</v>
      </c>
      <c r="I953" s="113">
        <v>138.37</v>
      </c>
      <c r="J953"/>
      <c r="K953"/>
      <c r="L953"/>
      <c r="M953"/>
      <c r="N953"/>
    </row>
    <row r="954" spans="1:14" x14ac:dyDescent="0.3">
      <c r="A954" s="102" t="s">
        <v>332</v>
      </c>
      <c r="B954" s="102" t="s">
        <v>2096</v>
      </c>
      <c r="C954" s="107" t="s">
        <v>58</v>
      </c>
      <c r="D954" s="102">
        <v>6</v>
      </c>
      <c r="E954" s="111">
        <v>0</v>
      </c>
      <c r="F954" s="112">
        <v>0</v>
      </c>
      <c r="G954" s="112">
        <v>0</v>
      </c>
      <c r="H954" s="112">
        <v>138.37</v>
      </c>
      <c r="I954" s="113">
        <v>138.37</v>
      </c>
      <c r="J954"/>
      <c r="K954"/>
      <c r="L954"/>
      <c r="M954"/>
      <c r="N954"/>
    </row>
    <row r="955" spans="1:14" x14ac:dyDescent="0.3">
      <c r="A955" s="102" t="s">
        <v>60</v>
      </c>
      <c r="B955" s="102" t="s">
        <v>333</v>
      </c>
      <c r="C955" s="107" t="s">
        <v>58</v>
      </c>
      <c r="D955" s="102">
        <v>2</v>
      </c>
      <c r="E955" s="111">
        <v>672</v>
      </c>
      <c r="F955" s="112">
        <v>10137.76</v>
      </c>
      <c r="G955" s="112">
        <v>954.8</v>
      </c>
      <c r="H955" s="112">
        <v>18858.95</v>
      </c>
      <c r="I955" s="113">
        <v>30623.51</v>
      </c>
      <c r="J955"/>
      <c r="K955"/>
      <c r="L955"/>
      <c r="M955"/>
      <c r="N955"/>
    </row>
    <row r="956" spans="1:14" x14ac:dyDescent="0.3">
      <c r="A956" s="102" t="s">
        <v>334</v>
      </c>
      <c r="B956" s="102" t="s">
        <v>2362</v>
      </c>
      <c r="C956" s="107" t="s">
        <v>58</v>
      </c>
      <c r="D956" s="102">
        <v>4</v>
      </c>
      <c r="E956" s="111">
        <v>0</v>
      </c>
      <c r="F956" s="112">
        <v>0</v>
      </c>
      <c r="G956" s="112">
        <v>0</v>
      </c>
      <c r="H956" s="112">
        <v>0</v>
      </c>
      <c r="I956" s="113">
        <v>0</v>
      </c>
      <c r="J956"/>
      <c r="K956"/>
      <c r="L956"/>
      <c r="M956"/>
      <c r="N956"/>
    </row>
    <row r="957" spans="1:14" x14ac:dyDescent="0.3">
      <c r="A957" s="102" t="s">
        <v>335</v>
      </c>
      <c r="B957" s="102" t="s">
        <v>2216</v>
      </c>
      <c r="C957" s="107" t="s">
        <v>58</v>
      </c>
      <c r="D957" s="102">
        <v>4</v>
      </c>
      <c r="E957" s="111">
        <v>0</v>
      </c>
      <c r="F957" s="112">
        <v>0</v>
      </c>
      <c r="G957" s="112">
        <v>0</v>
      </c>
      <c r="H957" s="112">
        <v>0.82</v>
      </c>
      <c r="I957" s="113">
        <v>0.82</v>
      </c>
      <c r="J957"/>
      <c r="K957"/>
      <c r="L957"/>
      <c r="M957"/>
      <c r="N957"/>
    </row>
    <row r="958" spans="1:14" x14ac:dyDescent="0.3">
      <c r="A958" s="102" t="s">
        <v>336</v>
      </c>
      <c r="B958" s="102" t="s">
        <v>2354</v>
      </c>
      <c r="C958" s="107" t="s">
        <v>58</v>
      </c>
      <c r="D958" s="102">
        <v>4</v>
      </c>
      <c r="E958" s="111">
        <v>0</v>
      </c>
      <c r="F958" s="112">
        <v>0</v>
      </c>
      <c r="G958" s="112">
        <v>0</v>
      </c>
      <c r="H958" s="112">
        <v>0</v>
      </c>
      <c r="I958" s="113">
        <v>0</v>
      </c>
      <c r="J958"/>
      <c r="K958"/>
      <c r="L958"/>
      <c r="M958"/>
      <c r="N958"/>
    </row>
    <row r="959" spans="1:14" x14ac:dyDescent="0.3">
      <c r="A959" s="102" t="s">
        <v>337</v>
      </c>
      <c r="B959" s="102" t="s">
        <v>2434</v>
      </c>
      <c r="C959" s="107" t="s">
        <v>58</v>
      </c>
      <c r="D959" s="102">
        <v>4</v>
      </c>
      <c r="E959" s="111">
        <v>0</v>
      </c>
      <c r="F959" s="112">
        <v>0</v>
      </c>
      <c r="G959" s="112">
        <v>0</v>
      </c>
      <c r="H959" s="112">
        <v>0</v>
      </c>
      <c r="I959" s="113">
        <v>0</v>
      </c>
      <c r="J959"/>
      <c r="K959"/>
      <c r="L959"/>
      <c r="M959"/>
      <c r="N959"/>
    </row>
    <row r="960" spans="1:14" x14ac:dyDescent="0.3">
      <c r="A960" s="102" t="s">
        <v>338</v>
      </c>
      <c r="B960" s="102" t="s">
        <v>2435</v>
      </c>
      <c r="C960" s="107" t="s">
        <v>58</v>
      </c>
      <c r="D960" s="102">
        <v>4</v>
      </c>
      <c r="E960" s="111">
        <v>672</v>
      </c>
      <c r="F960" s="112">
        <v>672</v>
      </c>
      <c r="G960" s="112">
        <v>600</v>
      </c>
      <c r="H960" s="112">
        <v>0</v>
      </c>
      <c r="I960" s="113">
        <v>1944</v>
      </c>
      <c r="J960"/>
      <c r="K960"/>
      <c r="L960"/>
      <c r="M960"/>
      <c r="N960"/>
    </row>
    <row r="961" spans="1:14" x14ac:dyDescent="0.3">
      <c r="A961" s="102" t="s">
        <v>339</v>
      </c>
      <c r="B961" s="102" t="s">
        <v>2330</v>
      </c>
      <c r="C961" s="107" t="s">
        <v>58</v>
      </c>
      <c r="D961" s="102">
        <v>4</v>
      </c>
      <c r="E961" s="111">
        <v>0</v>
      </c>
      <c r="F961" s="112">
        <v>9465.76</v>
      </c>
      <c r="G961" s="112">
        <v>354.8</v>
      </c>
      <c r="H961" s="112">
        <v>18858.13</v>
      </c>
      <c r="I961" s="113">
        <v>28678.69</v>
      </c>
      <c r="J961"/>
      <c r="K961"/>
      <c r="L961"/>
      <c r="M961"/>
      <c r="N961"/>
    </row>
    <row r="962" spans="1:14" x14ac:dyDescent="0.3">
      <c r="A962" s="102" t="s">
        <v>63</v>
      </c>
      <c r="B962" s="102" t="s">
        <v>2436</v>
      </c>
      <c r="C962" s="107" t="s">
        <v>58</v>
      </c>
      <c r="D962" s="102">
        <v>2</v>
      </c>
      <c r="E962" s="111">
        <v>0</v>
      </c>
      <c r="F962" s="112">
        <v>8631.94</v>
      </c>
      <c r="G962" s="112">
        <v>0</v>
      </c>
      <c r="H962" s="112">
        <v>969614.83</v>
      </c>
      <c r="I962" s="113">
        <v>978246.77</v>
      </c>
      <c r="J962"/>
      <c r="K962"/>
      <c r="L962"/>
      <c r="M962"/>
      <c r="N962"/>
    </row>
    <row r="963" spans="1:14" x14ac:dyDescent="0.3">
      <c r="A963" s="102" t="s">
        <v>340</v>
      </c>
      <c r="B963" s="102" t="s">
        <v>2437</v>
      </c>
      <c r="C963" s="107" t="s">
        <v>58</v>
      </c>
      <c r="D963" s="102">
        <v>4</v>
      </c>
      <c r="E963" s="111">
        <v>0</v>
      </c>
      <c r="F963" s="112">
        <v>0</v>
      </c>
      <c r="G963" s="112">
        <v>0</v>
      </c>
      <c r="H963" s="112">
        <v>62.64</v>
      </c>
      <c r="I963" s="113">
        <v>62.64</v>
      </c>
      <c r="J963"/>
      <c r="K963"/>
      <c r="L963"/>
      <c r="M963"/>
      <c r="N963"/>
    </row>
    <row r="964" spans="1:14" x14ac:dyDescent="0.3">
      <c r="A964" s="102" t="s">
        <v>341</v>
      </c>
      <c r="B964" s="102" t="s">
        <v>2438</v>
      </c>
      <c r="C964" s="107" t="s">
        <v>58</v>
      </c>
      <c r="D964" s="102">
        <v>4</v>
      </c>
      <c r="E964" s="111">
        <v>0</v>
      </c>
      <c r="F964" s="112">
        <v>0</v>
      </c>
      <c r="G964" s="112">
        <v>0</v>
      </c>
      <c r="H964" s="112">
        <v>0</v>
      </c>
      <c r="I964" s="113">
        <v>0</v>
      </c>
      <c r="J964"/>
      <c r="K964"/>
      <c r="L964"/>
      <c r="M964"/>
      <c r="N964"/>
    </row>
    <row r="965" spans="1:14" x14ac:dyDescent="0.3">
      <c r="A965" s="102" t="s">
        <v>342</v>
      </c>
      <c r="B965" s="102" t="s">
        <v>2439</v>
      </c>
      <c r="C965" s="107" t="s">
        <v>58</v>
      </c>
      <c r="D965" s="102">
        <v>6</v>
      </c>
      <c r="E965" s="111">
        <v>0</v>
      </c>
      <c r="F965" s="112">
        <v>0</v>
      </c>
      <c r="G965" s="112">
        <v>0</v>
      </c>
      <c r="H965" s="112">
        <v>0</v>
      </c>
      <c r="I965" s="113">
        <v>0</v>
      </c>
      <c r="J965"/>
      <c r="K965"/>
      <c r="L965"/>
      <c r="M965"/>
      <c r="N965"/>
    </row>
    <row r="966" spans="1:14" x14ac:dyDescent="0.3">
      <c r="A966" s="102" t="s">
        <v>343</v>
      </c>
      <c r="B966" s="102" t="s">
        <v>2440</v>
      </c>
      <c r="C966" s="107" t="s">
        <v>58</v>
      </c>
      <c r="D966" s="102">
        <v>6</v>
      </c>
      <c r="E966" s="111">
        <v>0</v>
      </c>
      <c r="F966" s="112">
        <v>0</v>
      </c>
      <c r="G966" s="112">
        <v>0</v>
      </c>
      <c r="H966" s="112">
        <v>0</v>
      </c>
      <c r="I966" s="113">
        <v>0</v>
      </c>
      <c r="J966"/>
      <c r="K966"/>
      <c r="L966"/>
      <c r="M966"/>
      <c r="N966"/>
    </row>
    <row r="967" spans="1:14" x14ac:dyDescent="0.3">
      <c r="A967" s="102" t="s">
        <v>344</v>
      </c>
      <c r="B967" s="102" t="s">
        <v>2217</v>
      </c>
      <c r="C967" s="107" t="s">
        <v>58</v>
      </c>
      <c r="D967" s="102">
        <v>6</v>
      </c>
      <c r="E967" s="111">
        <v>0</v>
      </c>
      <c r="F967" s="112">
        <v>0</v>
      </c>
      <c r="G967" s="112">
        <v>0</v>
      </c>
      <c r="H967" s="112">
        <v>0</v>
      </c>
      <c r="I967" s="113">
        <v>0</v>
      </c>
      <c r="J967"/>
      <c r="K967"/>
      <c r="L967"/>
      <c r="M967"/>
      <c r="N967"/>
    </row>
    <row r="968" spans="1:14" x14ac:dyDescent="0.3">
      <c r="A968" s="102" t="s">
        <v>345</v>
      </c>
      <c r="B968" s="102" t="s">
        <v>2441</v>
      </c>
      <c r="C968" s="107" t="s">
        <v>58</v>
      </c>
      <c r="D968" s="102">
        <v>4</v>
      </c>
      <c r="E968" s="111">
        <v>0</v>
      </c>
      <c r="F968" s="112">
        <v>0</v>
      </c>
      <c r="G968" s="112">
        <v>0</v>
      </c>
      <c r="H968" s="112">
        <v>587778.48</v>
      </c>
      <c r="I968" s="113">
        <v>587778.48</v>
      </c>
      <c r="J968"/>
      <c r="K968"/>
      <c r="L968"/>
      <c r="M968"/>
      <c r="N968"/>
    </row>
    <row r="969" spans="1:14" x14ac:dyDescent="0.3">
      <c r="A969" s="102" t="s">
        <v>346</v>
      </c>
      <c r="B969" s="102" t="s">
        <v>2442</v>
      </c>
      <c r="C969" s="107" t="s">
        <v>58</v>
      </c>
      <c r="D969" s="102">
        <v>4</v>
      </c>
      <c r="E969" s="111">
        <v>0</v>
      </c>
      <c r="F969" s="112">
        <v>0</v>
      </c>
      <c r="G969" s="112">
        <v>0</v>
      </c>
      <c r="H969" s="112">
        <v>0</v>
      </c>
      <c r="I969" s="113">
        <v>0</v>
      </c>
      <c r="J969"/>
      <c r="K969"/>
      <c r="L969"/>
      <c r="M969"/>
      <c r="N969"/>
    </row>
    <row r="970" spans="1:14" x14ac:dyDescent="0.3">
      <c r="A970" s="102" t="s">
        <v>347</v>
      </c>
      <c r="B970" s="102" t="s">
        <v>2443</v>
      </c>
      <c r="C970" s="107" t="s">
        <v>58</v>
      </c>
      <c r="D970" s="102">
        <v>4</v>
      </c>
      <c r="E970" s="111">
        <v>0</v>
      </c>
      <c r="F970" s="112">
        <v>8631.94</v>
      </c>
      <c r="G970" s="112">
        <v>0</v>
      </c>
      <c r="H970" s="112">
        <v>381773.71</v>
      </c>
      <c r="I970" s="113">
        <v>390405.65</v>
      </c>
      <c r="J970"/>
      <c r="K970"/>
      <c r="L970"/>
      <c r="M970"/>
      <c r="N970"/>
    </row>
    <row r="971" spans="1:14" x14ac:dyDescent="0.3">
      <c r="A971" s="102" t="s">
        <v>66</v>
      </c>
      <c r="B971" s="102" t="s">
        <v>286</v>
      </c>
      <c r="C971" s="107" t="s">
        <v>58</v>
      </c>
      <c r="D971" s="102">
        <v>2</v>
      </c>
      <c r="E971" s="111">
        <v>77903.97</v>
      </c>
      <c r="F971" s="112">
        <v>81834.63</v>
      </c>
      <c r="G971" s="112">
        <v>63910.41</v>
      </c>
      <c r="H971" s="112">
        <v>282326.13</v>
      </c>
      <c r="I971" s="113">
        <v>505975.14</v>
      </c>
      <c r="J971"/>
      <c r="K971"/>
      <c r="L971"/>
      <c r="M971"/>
      <c r="N971"/>
    </row>
    <row r="972" spans="1:14" x14ac:dyDescent="0.3">
      <c r="A972" s="102" t="s">
        <v>348</v>
      </c>
      <c r="B972" s="102" t="s">
        <v>2018</v>
      </c>
      <c r="C972" s="107" t="s">
        <v>58</v>
      </c>
      <c r="D972" s="102">
        <v>4</v>
      </c>
      <c r="E972" s="111">
        <v>0</v>
      </c>
      <c r="F972" s="112">
        <v>0</v>
      </c>
      <c r="G972" s="112">
        <v>0</v>
      </c>
      <c r="H972" s="112">
        <v>0</v>
      </c>
      <c r="I972" s="113">
        <v>0</v>
      </c>
      <c r="J972"/>
      <c r="K972"/>
      <c r="L972"/>
      <c r="M972"/>
      <c r="N972"/>
    </row>
    <row r="973" spans="1:14" x14ac:dyDescent="0.3">
      <c r="A973" s="102" t="s">
        <v>349</v>
      </c>
      <c r="B973" s="102" t="s">
        <v>2100</v>
      </c>
      <c r="C973" s="107" t="s">
        <v>58</v>
      </c>
      <c r="D973" s="102">
        <v>4</v>
      </c>
      <c r="E973" s="111">
        <v>77903.97</v>
      </c>
      <c r="F973" s="112">
        <v>54877.66</v>
      </c>
      <c r="G973" s="112">
        <v>63910.41</v>
      </c>
      <c r="H973" s="112">
        <v>230531.65</v>
      </c>
      <c r="I973" s="113">
        <v>427223.69</v>
      </c>
      <c r="J973"/>
      <c r="K973"/>
      <c r="L973"/>
      <c r="M973"/>
      <c r="N973"/>
    </row>
    <row r="974" spans="1:14" x14ac:dyDescent="0.3">
      <c r="A974" s="102" t="s">
        <v>350</v>
      </c>
      <c r="B974" s="102" t="s">
        <v>2444</v>
      </c>
      <c r="C974" s="107" t="s">
        <v>58</v>
      </c>
      <c r="D974" s="102">
        <v>6</v>
      </c>
      <c r="E974" s="111">
        <v>0</v>
      </c>
      <c r="F974" s="112">
        <v>7050.44</v>
      </c>
      <c r="G974" s="112">
        <v>7168.52</v>
      </c>
      <c r="H974" s="112">
        <v>0</v>
      </c>
      <c r="I974" s="113">
        <v>14218.96</v>
      </c>
      <c r="J974"/>
      <c r="K974"/>
      <c r="L974"/>
      <c r="M974"/>
      <c r="N974"/>
    </row>
    <row r="975" spans="1:14" x14ac:dyDescent="0.3">
      <c r="A975" s="102" t="s">
        <v>351</v>
      </c>
      <c r="B975" s="102" t="s">
        <v>2445</v>
      </c>
      <c r="C975" s="107" t="s">
        <v>58</v>
      </c>
      <c r="D975" s="102">
        <v>6</v>
      </c>
      <c r="E975" s="111">
        <v>0</v>
      </c>
      <c r="F975" s="112">
        <v>0</v>
      </c>
      <c r="G975" s="112">
        <v>0</v>
      </c>
      <c r="H975" s="112">
        <v>128.27000000000001</v>
      </c>
      <c r="I975" s="113">
        <v>128.27000000000001</v>
      </c>
      <c r="J975"/>
      <c r="K975"/>
      <c r="L975"/>
      <c r="M975"/>
      <c r="N975"/>
    </row>
    <row r="976" spans="1:14" x14ac:dyDescent="0.3">
      <c r="A976" s="102" t="s">
        <v>352</v>
      </c>
      <c r="B976" s="102" t="s">
        <v>2446</v>
      </c>
      <c r="C976" s="107" t="s">
        <v>58</v>
      </c>
      <c r="D976" s="102">
        <v>6</v>
      </c>
      <c r="E976" s="111">
        <v>132.11000000000001</v>
      </c>
      <c r="F976" s="112">
        <v>0</v>
      </c>
      <c r="G976" s="112">
        <v>20292.78</v>
      </c>
      <c r="H976" s="112">
        <v>127131.68</v>
      </c>
      <c r="I976" s="113">
        <v>147556.57</v>
      </c>
      <c r="J976"/>
      <c r="K976"/>
      <c r="L976"/>
      <c r="M976"/>
      <c r="N976"/>
    </row>
    <row r="977" spans="1:14" x14ac:dyDescent="0.3">
      <c r="A977" s="102" t="s">
        <v>353</v>
      </c>
      <c r="B977" s="102" t="s">
        <v>2447</v>
      </c>
      <c r="C977" s="107" t="s">
        <v>58</v>
      </c>
      <c r="D977" s="102">
        <v>6</v>
      </c>
      <c r="E977" s="111">
        <v>0</v>
      </c>
      <c r="F977" s="112">
        <v>0</v>
      </c>
      <c r="G977" s="112">
        <v>0</v>
      </c>
      <c r="H977" s="112">
        <v>3762.28</v>
      </c>
      <c r="I977" s="113">
        <v>3762.28</v>
      </c>
      <c r="J977"/>
      <c r="K977"/>
      <c r="L977"/>
      <c r="M977"/>
      <c r="N977"/>
    </row>
    <row r="978" spans="1:14" x14ac:dyDescent="0.3">
      <c r="A978" s="102" t="s">
        <v>354</v>
      </c>
      <c r="B978" s="102" t="s">
        <v>2448</v>
      </c>
      <c r="C978" s="107" t="s">
        <v>58</v>
      </c>
      <c r="D978" s="102">
        <v>6</v>
      </c>
      <c r="E978" s="111">
        <v>22951.54</v>
      </c>
      <c r="F978" s="112">
        <v>47827.22</v>
      </c>
      <c r="G978" s="112">
        <v>11098.81</v>
      </c>
      <c r="H978" s="112">
        <v>89893.21</v>
      </c>
      <c r="I978" s="113">
        <v>171770.78</v>
      </c>
      <c r="J978"/>
      <c r="K978"/>
      <c r="L978"/>
      <c r="M978"/>
      <c r="N978"/>
    </row>
    <row r="979" spans="1:14" x14ac:dyDescent="0.3">
      <c r="A979" s="102" t="s">
        <v>355</v>
      </c>
      <c r="B979" s="102" t="s">
        <v>2449</v>
      </c>
      <c r="C979" s="107" t="s">
        <v>58</v>
      </c>
      <c r="D979" s="102">
        <v>6</v>
      </c>
      <c r="E979" s="111">
        <v>0</v>
      </c>
      <c r="F979" s="112">
        <v>0</v>
      </c>
      <c r="G979" s="112">
        <v>0</v>
      </c>
      <c r="H979" s="112">
        <v>1653.8</v>
      </c>
      <c r="I979" s="113">
        <v>1653.8</v>
      </c>
      <c r="J979"/>
      <c r="K979"/>
      <c r="L979"/>
      <c r="M979"/>
      <c r="N979"/>
    </row>
    <row r="980" spans="1:14" x14ac:dyDescent="0.3">
      <c r="A980" s="102" t="s">
        <v>356</v>
      </c>
      <c r="B980" s="102" t="s">
        <v>2450</v>
      </c>
      <c r="C980" s="107" t="s">
        <v>58</v>
      </c>
      <c r="D980" s="102">
        <v>6</v>
      </c>
      <c r="E980" s="111">
        <v>54820.32</v>
      </c>
      <c r="F980" s="112">
        <v>0</v>
      </c>
      <c r="G980" s="112">
        <v>25350.3</v>
      </c>
      <c r="H980" s="112">
        <v>7962.41</v>
      </c>
      <c r="I980" s="113">
        <v>88133.03</v>
      </c>
      <c r="J980"/>
      <c r="K980"/>
      <c r="L980"/>
      <c r="M980"/>
      <c r="N980"/>
    </row>
    <row r="981" spans="1:14" x14ac:dyDescent="0.3">
      <c r="A981" s="102" t="s">
        <v>357</v>
      </c>
      <c r="B981" s="102" t="s">
        <v>2451</v>
      </c>
      <c r="C981" s="107" t="s">
        <v>58</v>
      </c>
      <c r="D981" s="102">
        <v>6</v>
      </c>
      <c r="E981" s="111">
        <v>0</v>
      </c>
      <c r="F981" s="112">
        <v>0</v>
      </c>
      <c r="G981" s="112">
        <v>0</v>
      </c>
      <c r="H981" s="112">
        <v>0</v>
      </c>
      <c r="I981" s="113">
        <v>0</v>
      </c>
      <c r="J981"/>
      <c r="K981"/>
      <c r="L981"/>
      <c r="M981"/>
      <c r="N981"/>
    </row>
    <row r="982" spans="1:14" x14ac:dyDescent="0.3">
      <c r="A982" s="102" t="s">
        <v>358</v>
      </c>
      <c r="B982" s="102" t="s">
        <v>2019</v>
      </c>
      <c r="C982" s="107" t="s">
        <v>58</v>
      </c>
      <c r="D982" s="102">
        <v>4</v>
      </c>
      <c r="E982" s="111">
        <v>0</v>
      </c>
      <c r="F982" s="112">
        <v>1036.49</v>
      </c>
      <c r="G982" s="112">
        <v>0</v>
      </c>
      <c r="H982" s="112">
        <v>0</v>
      </c>
      <c r="I982" s="113">
        <v>1036.49</v>
      </c>
      <c r="J982"/>
      <c r="K982"/>
      <c r="L982"/>
      <c r="M982"/>
      <c r="N982"/>
    </row>
    <row r="983" spans="1:14" x14ac:dyDescent="0.3">
      <c r="A983" s="102" t="s">
        <v>359</v>
      </c>
      <c r="B983" s="102" t="s">
        <v>2452</v>
      </c>
      <c r="C983" s="107" t="s">
        <v>58</v>
      </c>
      <c r="D983" s="102">
        <v>4</v>
      </c>
      <c r="E983" s="111">
        <v>0</v>
      </c>
      <c r="F983" s="112">
        <v>25007.49</v>
      </c>
      <c r="G983" s="112">
        <v>0</v>
      </c>
      <c r="H983" s="112">
        <v>50317.29</v>
      </c>
      <c r="I983" s="113">
        <v>75324.78</v>
      </c>
      <c r="J983"/>
      <c r="K983"/>
      <c r="L983"/>
      <c r="M983"/>
      <c r="N983"/>
    </row>
    <row r="984" spans="1:14" x14ac:dyDescent="0.3">
      <c r="A984" s="102" t="s">
        <v>360</v>
      </c>
      <c r="B984" s="102" t="s">
        <v>2020</v>
      </c>
      <c r="C984" s="107" t="s">
        <v>58</v>
      </c>
      <c r="D984" s="102">
        <v>4</v>
      </c>
      <c r="E984" s="111">
        <v>0</v>
      </c>
      <c r="F984" s="112">
        <v>912.99</v>
      </c>
      <c r="G984" s="112">
        <v>0</v>
      </c>
      <c r="H984" s="112">
        <v>0</v>
      </c>
      <c r="I984" s="113">
        <v>912.99</v>
      </c>
      <c r="J984"/>
      <c r="K984"/>
      <c r="L984"/>
      <c r="M984"/>
      <c r="N984"/>
    </row>
    <row r="985" spans="1:14" x14ac:dyDescent="0.3">
      <c r="A985" s="102" t="s">
        <v>361</v>
      </c>
      <c r="B985" s="102" t="s">
        <v>2216</v>
      </c>
      <c r="C985" s="107" t="s">
        <v>58</v>
      </c>
      <c r="D985" s="102">
        <v>4</v>
      </c>
      <c r="E985" s="111">
        <v>0</v>
      </c>
      <c r="F985" s="112">
        <v>0</v>
      </c>
      <c r="G985" s="112">
        <v>0</v>
      </c>
      <c r="H985" s="112">
        <v>1477.19</v>
      </c>
      <c r="I985" s="113">
        <v>1477.19</v>
      </c>
      <c r="J985"/>
      <c r="K985"/>
      <c r="L985"/>
      <c r="M985"/>
      <c r="N985"/>
    </row>
    <row r="986" spans="1:14" x14ac:dyDescent="0.3">
      <c r="A986" s="102" t="s">
        <v>362</v>
      </c>
      <c r="B986" s="102" t="s">
        <v>2453</v>
      </c>
      <c r="C986" s="107" t="s">
        <v>58</v>
      </c>
      <c r="D986" s="102">
        <v>4</v>
      </c>
      <c r="E986" s="111">
        <v>0</v>
      </c>
      <c r="F986" s="112">
        <v>0</v>
      </c>
      <c r="G986" s="112">
        <v>0</v>
      </c>
      <c r="H986" s="112">
        <v>0</v>
      </c>
      <c r="I986" s="113">
        <v>0</v>
      </c>
      <c r="J986"/>
      <c r="K986"/>
      <c r="L986"/>
      <c r="M986"/>
      <c r="N986"/>
    </row>
    <row r="987" spans="1:14" x14ac:dyDescent="0.3">
      <c r="A987" s="102" t="s">
        <v>64</v>
      </c>
      <c r="B987" s="102" t="s">
        <v>2454</v>
      </c>
      <c r="C987" s="107" t="s">
        <v>58</v>
      </c>
      <c r="D987" s="102">
        <v>2</v>
      </c>
      <c r="E987" s="111">
        <v>106222.39999999999</v>
      </c>
      <c r="F987" s="112">
        <v>528837.1</v>
      </c>
      <c r="G987" s="112">
        <v>182287.5</v>
      </c>
      <c r="H987" s="112">
        <v>2806367.87</v>
      </c>
      <c r="I987" s="113">
        <v>3623714.87</v>
      </c>
      <c r="J987"/>
      <c r="K987"/>
      <c r="L987"/>
      <c r="M987"/>
      <c r="N987"/>
    </row>
    <row r="988" spans="1:14" x14ac:dyDescent="0.3">
      <c r="A988" s="102" t="s">
        <v>363</v>
      </c>
      <c r="B988" s="102" t="s">
        <v>2455</v>
      </c>
      <c r="C988" s="107" t="s">
        <v>58</v>
      </c>
      <c r="D988" s="102">
        <v>4</v>
      </c>
      <c r="E988" s="111">
        <v>46819.18</v>
      </c>
      <c r="F988" s="112">
        <v>255216.86</v>
      </c>
      <c r="G988" s="112">
        <v>79621.8</v>
      </c>
      <c r="H988" s="112">
        <v>1032798.42</v>
      </c>
      <c r="I988" s="113">
        <v>1414456.26</v>
      </c>
      <c r="J988"/>
      <c r="K988"/>
      <c r="L988"/>
      <c r="M988"/>
      <c r="N988"/>
    </row>
    <row r="989" spans="1:14" x14ac:dyDescent="0.3">
      <c r="A989" s="102" t="s">
        <v>364</v>
      </c>
      <c r="B989" s="102" t="s">
        <v>2456</v>
      </c>
      <c r="C989" s="107" t="s">
        <v>58</v>
      </c>
      <c r="D989" s="102">
        <v>6</v>
      </c>
      <c r="E989" s="111">
        <v>30399</v>
      </c>
      <c r="F989" s="112">
        <v>112794.7</v>
      </c>
      <c r="G989" s="112">
        <v>52465.45</v>
      </c>
      <c r="H989" s="112">
        <v>601272.99</v>
      </c>
      <c r="I989" s="113">
        <v>796932.14</v>
      </c>
      <c r="J989"/>
      <c r="K989"/>
      <c r="L989"/>
      <c r="M989"/>
      <c r="N989"/>
    </row>
    <row r="990" spans="1:14" x14ac:dyDescent="0.3">
      <c r="A990" s="102" t="s">
        <v>365</v>
      </c>
      <c r="B990" s="102" t="s">
        <v>2366</v>
      </c>
      <c r="C990" s="107" t="s">
        <v>58</v>
      </c>
      <c r="D990" s="102">
        <v>6</v>
      </c>
      <c r="E990" s="111">
        <v>3602.53</v>
      </c>
      <c r="F990" s="112">
        <v>20023.04</v>
      </c>
      <c r="G990" s="112">
        <v>9144.36</v>
      </c>
      <c r="H990" s="112">
        <v>123152.62</v>
      </c>
      <c r="I990" s="113">
        <v>155922.54999999999</v>
      </c>
      <c r="J990"/>
      <c r="K990"/>
      <c r="L990"/>
      <c r="M990"/>
      <c r="N990"/>
    </row>
    <row r="991" spans="1:14" x14ac:dyDescent="0.3">
      <c r="A991" s="102" t="s">
        <v>366</v>
      </c>
      <c r="B991" s="102" t="s">
        <v>2457</v>
      </c>
      <c r="C991" s="107" t="s">
        <v>58</v>
      </c>
      <c r="D991" s="102">
        <v>6</v>
      </c>
      <c r="E991" s="111">
        <v>0</v>
      </c>
      <c r="F991" s="112">
        <v>0</v>
      </c>
      <c r="G991" s="112">
        <v>0</v>
      </c>
      <c r="H991" s="112">
        <v>0</v>
      </c>
      <c r="I991" s="113">
        <v>0</v>
      </c>
      <c r="J991"/>
      <c r="K991"/>
      <c r="L991"/>
      <c r="M991"/>
      <c r="N991"/>
    </row>
    <row r="992" spans="1:14" x14ac:dyDescent="0.3">
      <c r="A992" s="102" t="s">
        <v>367</v>
      </c>
      <c r="B992" s="102" t="s">
        <v>2367</v>
      </c>
      <c r="C992" s="107" t="s">
        <v>58</v>
      </c>
      <c r="D992" s="102">
        <v>6</v>
      </c>
      <c r="E992" s="111">
        <v>3912.22</v>
      </c>
      <c r="F992" s="112">
        <v>33309.620000000003</v>
      </c>
      <c r="G992" s="112">
        <v>11444.92</v>
      </c>
      <c r="H992" s="112">
        <v>127952.33</v>
      </c>
      <c r="I992" s="113">
        <v>176619.09</v>
      </c>
      <c r="J992"/>
      <c r="K992"/>
      <c r="L992"/>
      <c r="M992"/>
      <c r="N992"/>
    </row>
    <row r="993" spans="1:14" x14ac:dyDescent="0.3">
      <c r="A993" s="102" t="s">
        <v>368</v>
      </c>
      <c r="B993" s="102" t="s">
        <v>2458</v>
      </c>
      <c r="C993" s="107" t="s">
        <v>58</v>
      </c>
      <c r="D993" s="102">
        <v>6</v>
      </c>
      <c r="E993" s="111">
        <v>0</v>
      </c>
      <c r="F993" s="112">
        <v>2568.19</v>
      </c>
      <c r="G993" s="112">
        <v>0</v>
      </c>
      <c r="H993" s="112">
        <v>0</v>
      </c>
      <c r="I993" s="113">
        <v>2568.19</v>
      </c>
      <c r="J993"/>
      <c r="K993"/>
      <c r="L993"/>
      <c r="M993"/>
      <c r="N993"/>
    </row>
    <row r="994" spans="1:14" x14ac:dyDescent="0.3">
      <c r="A994" s="102" t="s">
        <v>369</v>
      </c>
      <c r="B994" s="102" t="s">
        <v>2459</v>
      </c>
      <c r="C994" s="107" t="s">
        <v>58</v>
      </c>
      <c r="D994" s="102">
        <v>6</v>
      </c>
      <c r="E994" s="111">
        <v>0</v>
      </c>
      <c r="F994" s="112">
        <v>0</v>
      </c>
      <c r="G994" s="112">
        <v>2180.0100000000002</v>
      </c>
      <c r="H994" s="112">
        <v>47606.16</v>
      </c>
      <c r="I994" s="113">
        <v>49786.17</v>
      </c>
      <c r="J994"/>
      <c r="K994"/>
      <c r="L994"/>
      <c r="M994"/>
      <c r="N994"/>
    </row>
    <row r="995" spans="1:14" x14ac:dyDescent="0.3">
      <c r="A995" s="102" t="s">
        <v>370</v>
      </c>
      <c r="B995" s="102" t="s">
        <v>2368</v>
      </c>
      <c r="C995" s="107" t="s">
        <v>58</v>
      </c>
      <c r="D995" s="102">
        <v>6</v>
      </c>
      <c r="E995" s="111">
        <v>2541.1999999999998</v>
      </c>
      <c r="F995" s="112">
        <v>12378.39</v>
      </c>
      <c r="G995" s="112">
        <v>3483.38</v>
      </c>
      <c r="H995" s="112">
        <v>0</v>
      </c>
      <c r="I995" s="113">
        <v>18402.97</v>
      </c>
      <c r="J995"/>
      <c r="K995"/>
      <c r="L995"/>
      <c r="M995"/>
      <c r="N995"/>
    </row>
    <row r="996" spans="1:14" x14ac:dyDescent="0.3">
      <c r="A996" s="102" t="s">
        <v>371</v>
      </c>
      <c r="B996" s="102" t="s">
        <v>2096</v>
      </c>
      <c r="C996" s="107" t="s">
        <v>58</v>
      </c>
      <c r="D996" s="102">
        <v>6</v>
      </c>
      <c r="E996" s="111">
        <v>6364.23</v>
      </c>
      <c r="F996" s="112">
        <v>74142.92</v>
      </c>
      <c r="G996" s="112">
        <v>903.68</v>
      </c>
      <c r="H996" s="112">
        <v>132814.32</v>
      </c>
      <c r="I996" s="113">
        <v>214225.15</v>
      </c>
      <c r="J996"/>
      <c r="K996"/>
      <c r="L996"/>
      <c r="M996"/>
      <c r="N996"/>
    </row>
    <row r="997" spans="1:14" x14ac:dyDescent="0.3">
      <c r="A997" s="102" t="s">
        <v>372</v>
      </c>
      <c r="B997" s="102" t="s">
        <v>2460</v>
      </c>
      <c r="C997" s="107" t="s">
        <v>58</v>
      </c>
      <c r="D997" s="102">
        <v>4</v>
      </c>
      <c r="E997" s="111">
        <v>14956.45</v>
      </c>
      <c r="F997" s="112">
        <v>24682.84</v>
      </c>
      <c r="G997" s="112">
        <v>11876.96</v>
      </c>
      <c r="H997" s="112">
        <v>270994.37</v>
      </c>
      <c r="I997" s="113">
        <v>322510.62</v>
      </c>
      <c r="J997"/>
      <c r="K997"/>
      <c r="L997"/>
      <c r="M997"/>
      <c r="N997"/>
    </row>
    <row r="998" spans="1:14" x14ac:dyDescent="0.3">
      <c r="A998" s="102" t="s">
        <v>373</v>
      </c>
      <c r="B998" s="102" t="s">
        <v>2461</v>
      </c>
      <c r="C998" s="107" t="s">
        <v>58</v>
      </c>
      <c r="D998" s="102">
        <v>6</v>
      </c>
      <c r="E998" s="111">
        <v>6238.26</v>
      </c>
      <c r="F998" s="112">
        <v>9708.16</v>
      </c>
      <c r="G998" s="112">
        <v>5790</v>
      </c>
      <c r="H998" s="112">
        <v>1576</v>
      </c>
      <c r="I998" s="113">
        <v>23312.42</v>
      </c>
      <c r="J998"/>
      <c r="K998"/>
      <c r="L998"/>
      <c r="M998"/>
      <c r="N998"/>
    </row>
    <row r="999" spans="1:14" x14ac:dyDescent="0.3">
      <c r="A999" s="102" t="s">
        <v>374</v>
      </c>
      <c r="B999" s="102" t="s">
        <v>2462</v>
      </c>
      <c r="C999" s="107" t="s">
        <v>58</v>
      </c>
      <c r="D999" s="102">
        <v>6</v>
      </c>
      <c r="E999" s="111">
        <v>8718.19</v>
      </c>
      <c r="F999" s="112">
        <v>14974.68</v>
      </c>
      <c r="G999" s="112">
        <v>6086.96</v>
      </c>
      <c r="H999" s="112">
        <v>269418.37</v>
      </c>
      <c r="I999" s="113">
        <v>299198.2</v>
      </c>
      <c r="J999"/>
      <c r="K999"/>
      <c r="L999"/>
      <c r="M999"/>
      <c r="N999"/>
    </row>
    <row r="1000" spans="1:14" x14ac:dyDescent="0.3">
      <c r="A1000" s="102" t="s">
        <v>375</v>
      </c>
      <c r="B1000" s="102" t="s">
        <v>2463</v>
      </c>
      <c r="C1000" s="107" t="s">
        <v>58</v>
      </c>
      <c r="D1000" s="102">
        <v>4</v>
      </c>
      <c r="E1000" s="111">
        <v>11763.52</v>
      </c>
      <c r="F1000" s="112">
        <v>70693.77</v>
      </c>
      <c r="G1000" s="112">
        <v>38676.42</v>
      </c>
      <c r="H1000" s="112">
        <v>555241.43000000005</v>
      </c>
      <c r="I1000" s="113">
        <v>676375.14</v>
      </c>
      <c r="J1000"/>
      <c r="K1000"/>
      <c r="L1000"/>
      <c r="M1000"/>
      <c r="N1000"/>
    </row>
    <row r="1001" spans="1:14" x14ac:dyDescent="0.3">
      <c r="A1001" s="102" t="s">
        <v>376</v>
      </c>
      <c r="B1001" s="102" t="s">
        <v>2464</v>
      </c>
      <c r="C1001" s="107" t="s">
        <v>58</v>
      </c>
      <c r="D1001" s="102">
        <v>6</v>
      </c>
      <c r="E1001" s="111">
        <v>63.28</v>
      </c>
      <c r="F1001" s="112">
        <v>1455.08</v>
      </c>
      <c r="G1001" s="112">
        <v>2972.5</v>
      </c>
      <c r="H1001" s="112">
        <v>41734.6</v>
      </c>
      <c r="I1001" s="113">
        <v>46225.46</v>
      </c>
      <c r="J1001"/>
      <c r="K1001"/>
      <c r="L1001"/>
      <c r="M1001"/>
      <c r="N1001"/>
    </row>
    <row r="1002" spans="1:14" x14ac:dyDescent="0.3">
      <c r="A1002" s="102" t="s">
        <v>377</v>
      </c>
      <c r="B1002" s="102" t="s">
        <v>2465</v>
      </c>
      <c r="C1002" s="107" t="s">
        <v>58</v>
      </c>
      <c r="D1002" s="102">
        <v>6</v>
      </c>
      <c r="E1002" s="111">
        <v>1205.1199999999999</v>
      </c>
      <c r="F1002" s="112">
        <v>15874.01</v>
      </c>
      <c r="G1002" s="112">
        <v>5793.83</v>
      </c>
      <c r="H1002" s="112">
        <v>57346.23</v>
      </c>
      <c r="I1002" s="113">
        <v>80219.19</v>
      </c>
      <c r="J1002"/>
      <c r="K1002"/>
      <c r="L1002"/>
      <c r="M1002"/>
      <c r="N1002"/>
    </row>
    <row r="1003" spans="1:14" x14ac:dyDescent="0.3">
      <c r="A1003" s="102" t="s">
        <v>378</v>
      </c>
      <c r="B1003" s="102" t="s">
        <v>2466</v>
      </c>
      <c r="C1003" s="107" t="s">
        <v>58</v>
      </c>
      <c r="D1003" s="102">
        <v>6</v>
      </c>
      <c r="E1003" s="111">
        <v>809.5</v>
      </c>
      <c r="F1003" s="112">
        <v>15463.19</v>
      </c>
      <c r="G1003" s="112">
        <v>9249.1200000000008</v>
      </c>
      <c r="H1003" s="112">
        <v>127083.02</v>
      </c>
      <c r="I1003" s="113">
        <v>152604.82999999999</v>
      </c>
      <c r="J1003"/>
      <c r="K1003"/>
      <c r="L1003"/>
      <c r="M1003"/>
      <c r="N1003"/>
    </row>
    <row r="1004" spans="1:14" x14ac:dyDescent="0.3">
      <c r="A1004" s="102" t="s">
        <v>379</v>
      </c>
      <c r="B1004" s="102" t="s">
        <v>2467</v>
      </c>
      <c r="C1004" s="107" t="s">
        <v>58</v>
      </c>
      <c r="D1004" s="102">
        <v>6</v>
      </c>
      <c r="E1004" s="111">
        <v>2435.8000000000002</v>
      </c>
      <c r="F1004" s="112">
        <v>5227.43</v>
      </c>
      <c r="G1004" s="112">
        <v>1754.41</v>
      </c>
      <c r="H1004" s="112">
        <v>41112.28</v>
      </c>
      <c r="I1004" s="113">
        <v>50529.919999999998</v>
      </c>
      <c r="J1004"/>
      <c r="K1004"/>
      <c r="L1004"/>
      <c r="M1004"/>
      <c r="N1004"/>
    </row>
    <row r="1005" spans="1:14" x14ac:dyDescent="0.3">
      <c r="A1005" s="102" t="s">
        <v>380</v>
      </c>
      <c r="B1005" s="102" t="s">
        <v>2225</v>
      </c>
      <c r="C1005" s="107" t="s">
        <v>58</v>
      </c>
      <c r="D1005" s="102">
        <v>6</v>
      </c>
      <c r="E1005" s="111">
        <v>1196.01</v>
      </c>
      <c r="F1005" s="112">
        <v>5740.87</v>
      </c>
      <c r="G1005" s="112">
        <v>2374.64</v>
      </c>
      <c r="H1005" s="112">
        <v>21215.21</v>
      </c>
      <c r="I1005" s="113">
        <v>30526.73</v>
      </c>
      <c r="J1005"/>
      <c r="K1005"/>
      <c r="L1005"/>
      <c r="M1005"/>
      <c r="N1005"/>
    </row>
    <row r="1006" spans="1:14" x14ac:dyDescent="0.3">
      <c r="A1006" s="102" t="s">
        <v>381</v>
      </c>
      <c r="B1006" s="102" t="s">
        <v>2242</v>
      </c>
      <c r="C1006" s="107" t="s">
        <v>58</v>
      </c>
      <c r="D1006" s="102">
        <v>6</v>
      </c>
      <c r="E1006" s="111">
        <v>3410.61</v>
      </c>
      <c r="F1006" s="112">
        <v>8669.1</v>
      </c>
      <c r="G1006" s="112">
        <v>5433.81</v>
      </c>
      <c r="H1006" s="112">
        <v>107037.69</v>
      </c>
      <c r="I1006" s="113">
        <v>124551.21</v>
      </c>
      <c r="J1006"/>
      <c r="K1006"/>
      <c r="L1006"/>
      <c r="M1006"/>
      <c r="N1006"/>
    </row>
    <row r="1007" spans="1:14" x14ac:dyDescent="0.3">
      <c r="A1007" s="102" t="s">
        <v>382</v>
      </c>
      <c r="B1007" s="102" t="s">
        <v>2468</v>
      </c>
      <c r="C1007" s="107" t="s">
        <v>58</v>
      </c>
      <c r="D1007" s="102">
        <v>6</v>
      </c>
      <c r="E1007" s="111">
        <v>2643.2</v>
      </c>
      <c r="F1007" s="112">
        <v>18264.09</v>
      </c>
      <c r="G1007" s="112">
        <v>11098.11</v>
      </c>
      <c r="H1007" s="112">
        <v>159712.4</v>
      </c>
      <c r="I1007" s="113">
        <v>191717.8</v>
      </c>
      <c r="J1007"/>
      <c r="K1007"/>
      <c r="L1007"/>
      <c r="M1007"/>
      <c r="N1007"/>
    </row>
    <row r="1008" spans="1:14" x14ac:dyDescent="0.3">
      <c r="A1008" s="102" t="s">
        <v>383</v>
      </c>
      <c r="B1008" s="102" t="s">
        <v>2469</v>
      </c>
      <c r="C1008" s="107" t="s">
        <v>58</v>
      </c>
      <c r="D1008" s="102">
        <v>4</v>
      </c>
      <c r="E1008" s="111">
        <v>17649</v>
      </c>
      <c r="F1008" s="112">
        <v>121971.02</v>
      </c>
      <c r="G1008" s="112">
        <v>39171.519999999997</v>
      </c>
      <c r="H1008" s="112">
        <v>559210.43999999994</v>
      </c>
      <c r="I1008" s="113">
        <v>738001.98</v>
      </c>
      <c r="J1008"/>
      <c r="K1008"/>
      <c r="L1008"/>
      <c r="M1008"/>
      <c r="N1008"/>
    </row>
    <row r="1009" spans="1:14" x14ac:dyDescent="0.3">
      <c r="A1009" s="102" t="s">
        <v>384</v>
      </c>
      <c r="B1009" s="102" t="s">
        <v>2470</v>
      </c>
      <c r="C1009" s="107" t="s">
        <v>58</v>
      </c>
      <c r="D1009" s="102">
        <v>6</v>
      </c>
      <c r="E1009" s="111">
        <v>7.71</v>
      </c>
      <c r="F1009" s="112">
        <v>0</v>
      </c>
      <c r="G1009" s="112">
        <v>0</v>
      </c>
      <c r="H1009" s="112">
        <v>24799.08</v>
      </c>
      <c r="I1009" s="113">
        <v>24806.79</v>
      </c>
      <c r="J1009"/>
      <c r="K1009"/>
      <c r="L1009"/>
      <c r="M1009"/>
      <c r="N1009"/>
    </row>
    <row r="1010" spans="1:14" x14ac:dyDescent="0.3">
      <c r="A1010" s="102" t="s">
        <v>385</v>
      </c>
      <c r="B1010" s="102" t="s">
        <v>2471</v>
      </c>
      <c r="C1010" s="107" t="s">
        <v>58</v>
      </c>
      <c r="D1010" s="102">
        <v>6</v>
      </c>
      <c r="E1010" s="111">
        <v>1574.44</v>
      </c>
      <c r="F1010" s="112">
        <v>2237.02</v>
      </c>
      <c r="G1010" s="112">
        <v>4257.1099999999997</v>
      </c>
      <c r="H1010" s="112">
        <v>86792.93</v>
      </c>
      <c r="I1010" s="113">
        <v>94861.5</v>
      </c>
      <c r="J1010"/>
      <c r="K1010"/>
      <c r="L1010"/>
      <c r="M1010"/>
      <c r="N1010"/>
    </row>
    <row r="1011" spans="1:14" x14ac:dyDescent="0.3">
      <c r="A1011" s="102" t="s">
        <v>386</v>
      </c>
      <c r="B1011" s="102" t="s">
        <v>2472</v>
      </c>
      <c r="C1011" s="107" t="s">
        <v>58</v>
      </c>
      <c r="D1011" s="102">
        <v>6</v>
      </c>
      <c r="E1011" s="111">
        <v>3121.27</v>
      </c>
      <c r="F1011" s="112">
        <v>18324.740000000002</v>
      </c>
      <c r="G1011" s="112">
        <v>0</v>
      </c>
      <c r="H1011" s="112">
        <v>61375.32</v>
      </c>
      <c r="I1011" s="113">
        <v>82821.33</v>
      </c>
      <c r="J1011"/>
      <c r="K1011"/>
      <c r="L1011"/>
      <c r="M1011"/>
      <c r="N1011"/>
    </row>
    <row r="1012" spans="1:14" x14ac:dyDescent="0.3">
      <c r="A1012" s="102" t="s">
        <v>387</v>
      </c>
      <c r="B1012" s="102" t="s">
        <v>2473</v>
      </c>
      <c r="C1012" s="107" t="s">
        <v>58</v>
      </c>
      <c r="D1012" s="102">
        <v>6</v>
      </c>
      <c r="E1012" s="111">
        <v>0</v>
      </c>
      <c r="F1012" s="112">
        <v>86079.42</v>
      </c>
      <c r="G1012" s="112">
        <v>21935.1</v>
      </c>
      <c r="H1012" s="112">
        <v>322572.38</v>
      </c>
      <c r="I1012" s="113">
        <v>430586.9</v>
      </c>
      <c r="J1012"/>
      <c r="K1012"/>
      <c r="L1012"/>
      <c r="M1012"/>
      <c r="N1012"/>
    </row>
    <row r="1013" spans="1:14" x14ac:dyDescent="0.3">
      <c r="A1013" s="102" t="s">
        <v>388</v>
      </c>
      <c r="B1013" s="102" t="s">
        <v>2474</v>
      </c>
      <c r="C1013" s="107" t="s">
        <v>58</v>
      </c>
      <c r="D1013" s="102">
        <v>6</v>
      </c>
      <c r="E1013" s="111">
        <v>12721.58</v>
      </c>
      <c r="F1013" s="112">
        <v>0</v>
      </c>
      <c r="G1013" s="112">
        <v>1827.92</v>
      </c>
      <c r="H1013" s="112">
        <v>0</v>
      </c>
      <c r="I1013" s="113">
        <v>14549.5</v>
      </c>
      <c r="J1013"/>
      <c r="K1013"/>
      <c r="L1013"/>
      <c r="M1013"/>
      <c r="N1013"/>
    </row>
    <row r="1014" spans="1:14" x14ac:dyDescent="0.3">
      <c r="A1014" s="102" t="s">
        <v>389</v>
      </c>
      <c r="B1014" s="102" t="s">
        <v>2475</v>
      </c>
      <c r="C1014" s="107" t="s">
        <v>58</v>
      </c>
      <c r="D1014" s="102">
        <v>6</v>
      </c>
      <c r="E1014" s="111">
        <v>0</v>
      </c>
      <c r="F1014" s="112">
        <v>50</v>
      </c>
      <c r="G1014" s="112">
        <v>0</v>
      </c>
      <c r="H1014" s="112">
        <v>0</v>
      </c>
      <c r="I1014" s="113">
        <v>50</v>
      </c>
      <c r="J1014"/>
      <c r="K1014"/>
      <c r="L1014"/>
      <c r="M1014"/>
      <c r="N1014"/>
    </row>
    <row r="1015" spans="1:14" x14ac:dyDescent="0.3">
      <c r="A1015" s="102" t="s">
        <v>390</v>
      </c>
      <c r="B1015" s="102" t="s">
        <v>2476</v>
      </c>
      <c r="C1015" s="107" t="s">
        <v>58</v>
      </c>
      <c r="D1015" s="102">
        <v>6</v>
      </c>
      <c r="E1015" s="111">
        <v>224</v>
      </c>
      <c r="F1015" s="112">
        <v>15279.84</v>
      </c>
      <c r="G1015" s="112">
        <v>11151.39</v>
      </c>
      <c r="H1015" s="112">
        <v>63670.73</v>
      </c>
      <c r="I1015" s="113">
        <v>90325.96</v>
      </c>
      <c r="J1015"/>
      <c r="K1015"/>
      <c r="L1015"/>
      <c r="M1015"/>
      <c r="N1015"/>
    </row>
    <row r="1016" spans="1:14" x14ac:dyDescent="0.3">
      <c r="A1016" s="102" t="s">
        <v>391</v>
      </c>
      <c r="B1016" s="102" t="s">
        <v>2477</v>
      </c>
      <c r="C1016" s="107" t="s">
        <v>58</v>
      </c>
      <c r="D1016" s="102">
        <v>4</v>
      </c>
      <c r="E1016" s="111">
        <v>2836.43</v>
      </c>
      <c r="F1016" s="112">
        <v>15366.23</v>
      </c>
      <c r="G1016" s="112">
        <v>3701.43</v>
      </c>
      <c r="H1016" s="112">
        <v>100152.48</v>
      </c>
      <c r="I1016" s="113">
        <v>122056.57</v>
      </c>
      <c r="J1016"/>
      <c r="K1016"/>
      <c r="L1016"/>
      <c r="M1016"/>
      <c r="N1016"/>
    </row>
    <row r="1017" spans="1:14" x14ac:dyDescent="0.3">
      <c r="A1017" s="102" t="s">
        <v>392</v>
      </c>
      <c r="B1017" s="102" t="s">
        <v>2269</v>
      </c>
      <c r="C1017" s="107" t="s">
        <v>58</v>
      </c>
      <c r="D1017" s="102">
        <v>6</v>
      </c>
      <c r="E1017" s="111">
        <v>0</v>
      </c>
      <c r="F1017" s="112">
        <v>0</v>
      </c>
      <c r="G1017" s="112">
        <v>0</v>
      </c>
      <c r="H1017" s="112">
        <v>3881.31</v>
      </c>
      <c r="I1017" s="113">
        <v>3881.31</v>
      </c>
      <c r="J1017"/>
      <c r="K1017"/>
      <c r="L1017"/>
      <c r="M1017"/>
      <c r="N1017"/>
    </row>
    <row r="1018" spans="1:14" x14ac:dyDescent="0.3">
      <c r="A1018" s="102" t="s">
        <v>393</v>
      </c>
      <c r="B1018" s="102" t="s">
        <v>2271</v>
      </c>
      <c r="C1018" s="107" t="s">
        <v>58</v>
      </c>
      <c r="D1018" s="102">
        <v>6</v>
      </c>
      <c r="E1018" s="111">
        <v>0</v>
      </c>
      <c r="F1018" s="112">
        <v>0</v>
      </c>
      <c r="G1018" s="112">
        <v>0</v>
      </c>
      <c r="H1018" s="112">
        <v>3180.31</v>
      </c>
      <c r="I1018" s="113">
        <v>3180.31</v>
      </c>
      <c r="J1018"/>
      <c r="K1018"/>
      <c r="L1018"/>
      <c r="M1018"/>
      <c r="N1018"/>
    </row>
    <row r="1019" spans="1:14" x14ac:dyDescent="0.3">
      <c r="A1019" s="102" t="s">
        <v>394</v>
      </c>
      <c r="B1019" s="102" t="s">
        <v>2272</v>
      </c>
      <c r="C1019" s="107" t="s">
        <v>58</v>
      </c>
      <c r="D1019" s="102">
        <v>6</v>
      </c>
      <c r="E1019" s="111">
        <v>204.06</v>
      </c>
      <c r="F1019" s="112">
        <v>802.11</v>
      </c>
      <c r="G1019" s="112">
        <v>1103.25</v>
      </c>
      <c r="H1019" s="112">
        <v>64728.82</v>
      </c>
      <c r="I1019" s="113">
        <v>66838.240000000005</v>
      </c>
      <c r="J1019"/>
      <c r="K1019"/>
      <c r="L1019"/>
      <c r="M1019"/>
      <c r="N1019"/>
    </row>
    <row r="1020" spans="1:14" x14ac:dyDescent="0.3">
      <c r="A1020" s="102" t="s">
        <v>395</v>
      </c>
      <c r="B1020" s="102" t="s">
        <v>2273</v>
      </c>
      <c r="C1020" s="107" t="s">
        <v>58</v>
      </c>
      <c r="D1020" s="102">
        <v>6</v>
      </c>
      <c r="E1020" s="111">
        <v>0</v>
      </c>
      <c r="F1020" s="112">
        <v>0</v>
      </c>
      <c r="G1020" s="112">
        <v>0</v>
      </c>
      <c r="H1020" s="112">
        <v>0</v>
      </c>
      <c r="I1020" s="113">
        <v>0</v>
      </c>
      <c r="J1020"/>
      <c r="K1020"/>
      <c r="L1020"/>
      <c r="M1020"/>
      <c r="N1020"/>
    </row>
    <row r="1021" spans="1:14" x14ac:dyDescent="0.3">
      <c r="A1021" s="102" t="s">
        <v>396</v>
      </c>
      <c r="B1021" s="102" t="s">
        <v>2266</v>
      </c>
      <c r="C1021" s="107" t="s">
        <v>58</v>
      </c>
      <c r="D1021" s="102">
        <v>6</v>
      </c>
      <c r="E1021" s="111">
        <v>506.09</v>
      </c>
      <c r="F1021" s="112">
        <v>4121.21</v>
      </c>
      <c r="G1021" s="112">
        <v>881.71</v>
      </c>
      <c r="H1021" s="112">
        <v>6819.96</v>
      </c>
      <c r="I1021" s="113">
        <v>12328.97</v>
      </c>
      <c r="J1021"/>
      <c r="K1021"/>
      <c r="L1021"/>
      <c r="M1021"/>
      <c r="N1021"/>
    </row>
    <row r="1022" spans="1:14" x14ac:dyDescent="0.3">
      <c r="A1022" s="102" t="s">
        <v>397</v>
      </c>
      <c r="B1022" s="102" t="s">
        <v>2267</v>
      </c>
      <c r="C1022" s="107" t="s">
        <v>58</v>
      </c>
      <c r="D1022" s="102">
        <v>6</v>
      </c>
      <c r="E1022" s="111">
        <v>1693.99</v>
      </c>
      <c r="F1022" s="112">
        <v>9080.15</v>
      </c>
      <c r="G1022" s="112">
        <v>1054.92</v>
      </c>
      <c r="H1022" s="112">
        <v>4418.4799999999996</v>
      </c>
      <c r="I1022" s="113">
        <v>16247.54</v>
      </c>
      <c r="J1022"/>
      <c r="K1022"/>
      <c r="L1022"/>
      <c r="M1022"/>
      <c r="N1022"/>
    </row>
    <row r="1023" spans="1:14" x14ac:dyDescent="0.3">
      <c r="A1023" s="102" t="s">
        <v>398</v>
      </c>
      <c r="B1023" s="102" t="s">
        <v>2259</v>
      </c>
      <c r="C1023" s="107" t="s">
        <v>58</v>
      </c>
      <c r="D1023" s="102">
        <v>6</v>
      </c>
      <c r="E1023" s="111">
        <v>432.29</v>
      </c>
      <c r="F1023" s="112">
        <v>1362.76</v>
      </c>
      <c r="G1023" s="112">
        <v>633.19000000000005</v>
      </c>
      <c r="H1023" s="112">
        <v>2929.44</v>
      </c>
      <c r="I1023" s="113">
        <v>5357.68</v>
      </c>
      <c r="J1023"/>
      <c r="K1023"/>
      <c r="L1023"/>
      <c r="M1023"/>
      <c r="N1023"/>
    </row>
    <row r="1024" spans="1:14" x14ac:dyDescent="0.3">
      <c r="A1024" s="102" t="s">
        <v>399</v>
      </c>
      <c r="B1024" s="102" t="s">
        <v>2268</v>
      </c>
      <c r="C1024" s="107" t="s">
        <v>58</v>
      </c>
      <c r="D1024" s="102">
        <v>6</v>
      </c>
      <c r="E1024" s="111">
        <v>0</v>
      </c>
      <c r="F1024" s="112">
        <v>0</v>
      </c>
      <c r="G1024" s="112">
        <v>0</v>
      </c>
      <c r="H1024" s="112">
        <v>6098.03</v>
      </c>
      <c r="I1024" s="113">
        <v>6098.03</v>
      </c>
      <c r="J1024"/>
      <c r="K1024"/>
      <c r="L1024"/>
      <c r="M1024"/>
      <c r="N1024"/>
    </row>
    <row r="1025" spans="1:14" x14ac:dyDescent="0.3">
      <c r="A1025" s="102" t="s">
        <v>400</v>
      </c>
      <c r="B1025" s="102" t="s">
        <v>2096</v>
      </c>
      <c r="C1025" s="107" t="s">
        <v>58</v>
      </c>
      <c r="D1025" s="102">
        <v>6</v>
      </c>
      <c r="E1025" s="111">
        <v>0</v>
      </c>
      <c r="F1025" s="112">
        <v>0</v>
      </c>
      <c r="G1025" s="112">
        <v>28.36</v>
      </c>
      <c r="H1025" s="112">
        <v>8096.13</v>
      </c>
      <c r="I1025" s="113">
        <v>8124.49</v>
      </c>
      <c r="J1025"/>
      <c r="K1025"/>
      <c r="L1025"/>
      <c r="M1025"/>
      <c r="N1025"/>
    </row>
    <row r="1026" spans="1:14" x14ac:dyDescent="0.3">
      <c r="A1026" s="102" t="s">
        <v>401</v>
      </c>
      <c r="B1026" s="102" t="s">
        <v>2478</v>
      </c>
      <c r="C1026" s="107" t="s">
        <v>58</v>
      </c>
      <c r="D1026" s="102">
        <v>4</v>
      </c>
      <c r="E1026" s="111">
        <v>8249.7199999999993</v>
      </c>
      <c r="F1026" s="112">
        <v>14832.54</v>
      </c>
      <c r="G1026" s="112">
        <v>1585.4</v>
      </c>
      <c r="H1026" s="112">
        <v>129018.35</v>
      </c>
      <c r="I1026" s="113">
        <v>153686.01</v>
      </c>
      <c r="J1026"/>
      <c r="K1026"/>
      <c r="L1026"/>
      <c r="M1026"/>
      <c r="N1026"/>
    </row>
    <row r="1027" spans="1:14" x14ac:dyDescent="0.3">
      <c r="A1027" s="102" t="s">
        <v>402</v>
      </c>
      <c r="B1027" s="102" t="s">
        <v>2479</v>
      </c>
      <c r="C1027" s="107" t="s">
        <v>58</v>
      </c>
      <c r="D1027" s="102">
        <v>6</v>
      </c>
      <c r="E1027" s="111">
        <v>0</v>
      </c>
      <c r="F1027" s="112">
        <v>0</v>
      </c>
      <c r="G1027" s="112">
        <v>0</v>
      </c>
      <c r="H1027" s="112">
        <v>0</v>
      </c>
      <c r="I1027" s="113">
        <v>0</v>
      </c>
      <c r="J1027"/>
      <c r="K1027"/>
      <c r="L1027"/>
      <c r="M1027"/>
      <c r="N1027"/>
    </row>
    <row r="1028" spans="1:14" x14ac:dyDescent="0.3">
      <c r="A1028" s="102" t="s">
        <v>403</v>
      </c>
      <c r="B1028" s="102" t="s">
        <v>2312</v>
      </c>
      <c r="C1028" s="107" t="s">
        <v>58</v>
      </c>
      <c r="D1028" s="102">
        <v>6</v>
      </c>
      <c r="E1028" s="111">
        <v>0</v>
      </c>
      <c r="F1028" s="112">
        <v>0</v>
      </c>
      <c r="G1028" s="112">
        <v>0</v>
      </c>
      <c r="H1028" s="112">
        <v>0</v>
      </c>
      <c r="I1028" s="113">
        <v>0</v>
      </c>
      <c r="J1028"/>
      <c r="K1028"/>
      <c r="L1028"/>
      <c r="M1028"/>
      <c r="N1028"/>
    </row>
    <row r="1029" spans="1:14" x14ac:dyDescent="0.3">
      <c r="A1029" s="102" t="s">
        <v>404</v>
      </c>
      <c r="B1029" s="102" t="s">
        <v>2313</v>
      </c>
      <c r="C1029" s="107" t="s">
        <v>58</v>
      </c>
      <c r="D1029" s="102">
        <v>6</v>
      </c>
      <c r="E1029" s="111">
        <v>0</v>
      </c>
      <c r="F1029" s="112">
        <v>0</v>
      </c>
      <c r="G1029" s="112">
        <v>0</v>
      </c>
      <c r="H1029" s="112">
        <v>0</v>
      </c>
      <c r="I1029" s="113">
        <v>0</v>
      </c>
      <c r="J1029"/>
      <c r="K1029"/>
      <c r="L1029"/>
      <c r="M1029"/>
      <c r="N1029"/>
    </row>
    <row r="1030" spans="1:14" x14ac:dyDescent="0.3">
      <c r="A1030" s="102" t="s">
        <v>405</v>
      </c>
      <c r="B1030" s="102" t="s">
        <v>2314</v>
      </c>
      <c r="C1030" s="107" t="s">
        <v>58</v>
      </c>
      <c r="D1030" s="102">
        <v>6</v>
      </c>
      <c r="E1030" s="111">
        <v>0</v>
      </c>
      <c r="F1030" s="112">
        <v>0</v>
      </c>
      <c r="G1030" s="112">
        <v>0</v>
      </c>
      <c r="H1030" s="112">
        <v>0</v>
      </c>
      <c r="I1030" s="113">
        <v>0</v>
      </c>
      <c r="J1030"/>
      <c r="K1030"/>
      <c r="L1030"/>
      <c r="M1030"/>
      <c r="N1030"/>
    </row>
    <row r="1031" spans="1:14" x14ac:dyDescent="0.3">
      <c r="A1031" s="102" t="s">
        <v>406</v>
      </c>
      <c r="B1031" s="102" t="s">
        <v>2315</v>
      </c>
      <c r="C1031" s="107" t="s">
        <v>58</v>
      </c>
      <c r="D1031" s="102">
        <v>6</v>
      </c>
      <c r="E1031" s="111">
        <v>6021.09</v>
      </c>
      <c r="F1031" s="112">
        <v>8882.7000000000007</v>
      </c>
      <c r="G1031" s="112">
        <v>357.72</v>
      </c>
      <c r="H1031" s="112">
        <v>98276.6</v>
      </c>
      <c r="I1031" s="113">
        <v>113538.11</v>
      </c>
      <c r="J1031"/>
      <c r="K1031"/>
      <c r="L1031"/>
      <c r="M1031"/>
      <c r="N1031"/>
    </row>
    <row r="1032" spans="1:14" x14ac:dyDescent="0.3">
      <c r="A1032" s="102" t="s">
        <v>407</v>
      </c>
      <c r="B1032" s="102" t="s">
        <v>2316</v>
      </c>
      <c r="C1032" s="107" t="s">
        <v>58</v>
      </c>
      <c r="D1032" s="102">
        <v>6</v>
      </c>
      <c r="E1032" s="111">
        <v>2228.63</v>
      </c>
      <c r="F1032" s="112">
        <v>5949.84</v>
      </c>
      <c r="G1032" s="112">
        <v>1227.68</v>
      </c>
      <c r="H1032" s="112">
        <v>30741.75</v>
      </c>
      <c r="I1032" s="113">
        <v>40147.9</v>
      </c>
      <c r="J1032"/>
      <c r="K1032"/>
      <c r="L1032"/>
      <c r="M1032"/>
      <c r="N1032"/>
    </row>
    <row r="1033" spans="1:14" x14ac:dyDescent="0.3">
      <c r="A1033" s="102" t="s">
        <v>408</v>
      </c>
      <c r="B1033" s="102" t="s">
        <v>2317</v>
      </c>
      <c r="C1033" s="107" t="s">
        <v>58</v>
      </c>
      <c r="D1033" s="102">
        <v>6</v>
      </c>
      <c r="E1033" s="111">
        <v>0</v>
      </c>
      <c r="F1033" s="112">
        <v>0</v>
      </c>
      <c r="G1033" s="112">
        <v>0</v>
      </c>
      <c r="H1033" s="112">
        <v>0</v>
      </c>
      <c r="I1033" s="113">
        <v>0</v>
      </c>
      <c r="J1033"/>
      <c r="K1033"/>
      <c r="L1033"/>
      <c r="M1033"/>
      <c r="N1033"/>
    </row>
    <row r="1034" spans="1:14" x14ac:dyDescent="0.3">
      <c r="A1034" s="102" t="s">
        <v>409</v>
      </c>
      <c r="B1034" s="102" t="s">
        <v>2096</v>
      </c>
      <c r="C1034" s="107" t="s">
        <v>58</v>
      </c>
      <c r="D1034" s="102">
        <v>6</v>
      </c>
      <c r="E1034" s="111">
        <v>0</v>
      </c>
      <c r="F1034" s="112">
        <v>0</v>
      </c>
      <c r="G1034" s="112">
        <v>0</v>
      </c>
      <c r="H1034" s="112">
        <v>0</v>
      </c>
      <c r="I1034" s="113">
        <v>0</v>
      </c>
      <c r="J1034"/>
      <c r="K1034"/>
      <c r="L1034"/>
      <c r="M1034"/>
      <c r="N1034"/>
    </row>
    <row r="1035" spans="1:14" x14ac:dyDescent="0.3">
      <c r="A1035" s="102" t="s">
        <v>410</v>
      </c>
      <c r="B1035" s="102" t="s">
        <v>2480</v>
      </c>
      <c r="C1035" s="107" t="s">
        <v>58</v>
      </c>
      <c r="D1035" s="102">
        <v>4</v>
      </c>
      <c r="E1035" s="111">
        <v>3948.1</v>
      </c>
      <c r="F1035" s="112">
        <v>26073.84</v>
      </c>
      <c r="G1035" s="112">
        <v>7653.97</v>
      </c>
      <c r="H1035" s="112">
        <v>158952.38</v>
      </c>
      <c r="I1035" s="113">
        <v>196628.29</v>
      </c>
      <c r="J1035"/>
      <c r="K1035"/>
      <c r="L1035"/>
      <c r="M1035"/>
      <c r="N1035"/>
    </row>
    <row r="1036" spans="1:14" x14ac:dyDescent="0.3">
      <c r="A1036" s="102" t="s">
        <v>411</v>
      </c>
      <c r="B1036" s="102" t="s">
        <v>2481</v>
      </c>
      <c r="C1036" s="107" t="s">
        <v>58</v>
      </c>
      <c r="D1036" s="102">
        <v>6</v>
      </c>
      <c r="E1036" s="111">
        <v>1391.01</v>
      </c>
      <c r="F1036" s="112">
        <v>4387.82</v>
      </c>
      <c r="G1036" s="112">
        <v>2005.61</v>
      </c>
      <c r="H1036" s="112">
        <v>29352.97</v>
      </c>
      <c r="I1036" s="113">
        <v>37137.410000000003</v>
      </c>
      <c r="J1036"/>
      <c r="K1036"/>
      <c r="L1036"/>
      <c r="M1036"/>
      <c r="N1036"/>
    </row>
    <row r="1037" spans="1:14" x14ac:dyDescent="0.3">
      <c r="A1037" s="102" t="s">
        <v>412</v>
      </c>
      <c r="B1037" s="102" t="s">
        <v>2416</v>
      </c>
      <c r="C1037" s="107" t="s">
        <v>58</v>
      </c>
      <c r="D1037" s="102">
        <v>6</v>
      </c>
      <c r="E1037" s="111">
        <v>0</v>
      </c>
      <c r="F1037" s="112">
        <v>0</v>
      </c>
      <c r="G1037" s="112">
        <v>0</v>
      </c>
      <c r="H1037" s="112">
        <v>0</v>
      </c>
      <c r="I1037" s="113">
        <v>0</v>
      </c>
      <c r="J1037"/>
      <c r="K1037"/>
      <c r="L1037"/>
      <c r="M1037"/>
      <c r="N1037"/>
    </row>
    <row r="1038" spans="1:14" x14ac:dyDescent="0.3">
      <c r="A1038" s="102" t="s">
        <v>413</v>
      </c>
      <c r="B1038" s="102" t="s">
        <v>2482</v>
      </c>
      <c r="C1038" s="107" t="s">
        <v>58</v>
      </c>
      <c r="D1038" s="102">
        <v>6</v>
      </c>
      <c r="E1038" s="111">
        <v>1188.74</v>
      </c>
      <c r="F1038" s="112">
        <v>19803.939999999999</v>
      </c>
      <c r="G1038" s="112">
        <v>2617.25</v>
      </c>
      <c r="H1038" s="112">
        <v>83540.38</v>
      </c>
      <c r="I1038" s="113">
        <v>107150.31</v>
      </c>
      <c r="J1038"/>
      <c r="K1038"/>
      <c r="L1038"/>
      <c r="M1038"/>
      <c r="N1038"/>
    </row>
    <row r="1039" spans="1:14" x14ac:dyDescent="0.3">
      <c r="A1039" s="102" t="s">
        <v>414</v>
      </c>
      <c r="B1039" s="102" t="s">
        <v>2096</v>
      </c>
      <c r="C1039" s="107" t="s">
        <v>58</v>
      </c>
      <c r="D1039" s="102">
        <v>6</v>
      </c>
      <c r="E1039" s="111">
        <v>1368.35</v>
      </c>
      <c r="F1039" s="112">
        <v>1882.08</v>
      </c>
      <c r="G1039" s="112">
        <v>3031.11</v>
      </c>
      <c r="H1039" s="112">
        <v>46059.03</v>
      </c>
      <c r="I1039" s="113">
        <v>52340.57</v>
      </c>
      <c r="J1039"/>
      <c r="K1039"/>
      <c r="L1039"/>
      <c r="M1039"/>
      <c r="N1039"/>
    </row>
    <row r="1040" spans="1:14" x14ac:dyDescent="0.3">
      <c r="A1040" s="102" t="s">
        <v>59</v>
      </c>
      <c r="B1040" s="102" t="s">
        <v>2483</v>
      </c>
      <c r="C1040" s="107" t="s">
        <v>58</v>
      </c>
      <c r="D1040" s="102">
        <v>2</v>
      </c>
      <c r="E1040" s="111">
        <v>0</v>
      </c>
      <c r="F1040" s="112">
        <v>0</v>
      </c>
      <c r="G1040" s="112">
        <v>3792</v>
      </c>
      <c r="H1040" s="112">
        <v>114394.07</v>
      </c>
      <c r="I1040" s="113">
        <v>118186.07</v>
      </c>
      <c r="J1040"/>
      <c r="K1040"/>
      <c r="L1040"/>
      <c r="M1040"/>
      <c r="N1040"/>
    </row>
    <row r="1041" spans="1:14" x14ac:dyDescent="0.3">
      <c r="A1041" s="102" t="s">
        <v>415</v>
      </c>
      <c r="B1041" s="102" t="s">
        <v>2484</v>
      </c>
      <c r="C1041" s="107" t="s">
        <v>58</v>
      </c>
      <c r="D1041" s="102">
        <v>4</v>
      </c>
      <c r="E1041" s="111">
        <v>0</v>
      </c>
      <c r="F1041" s="112">
        <v>0</v>
      </c>
      <c r="G1041" s="112">
        <v>0</v>
      </c>
      <c r="H1041" s="112">
        <v>114394.07</v>
      </c>
      <c r="I1041" s="113">
        <v>114394.07</v>
      </c>
      <c r="J1041"/>
      <c r="K1041"/>
      <c r="L1041"/>
      <c r="M1041"/>
      <c r="N1041"/>
    </row>
    <row r="1042" spans="1:14" x14ac:dyDescent="0.3">
      <c r="A1042" s="102" t="s">
        <v>416</v>
      </c>
      <c r="B1042" s="102" t="s">
        <v>2485</v>
      </c>
      <c r="C1042" s="107" t="s">
        <v>58</v>
      </c>
      <c r="D1042" s="102">
        <v>4</v>
      </c>
      <c r="E1042" s="111">
        <v>0</v>
      </c>
      <c r="F1042" s="112">
        <v>0</v>
      </c>
      <c r="G1042" s="112">
        <v>0</v>
      </c>
      <c r="H1042" s="112">
        <v>0</v>
      </c>
      <c r="I1042" s="113">
        <v>0</v>
      </c>
      <c r="J1042"/>
      <c r="K1042"/>
      <c r="L1042"/>
      <c r="M1042"/>
      <c r="N1042"/>
    </row>
    <row r="1043" spans="1:14" x14ac:dyDescent="0.3">
      <c r="A1043" s="102" t="s">
        <v>417</v>
      </c>
      <c r="B1043" s="102" t="s">
        <v>2217</v>
      </c>
      <c r="C1043" s="107" t="s">
        <v>58</v>
      </c>
      <c r="D1043" s="102">
        <v>4</v>
      </c>
      <c r="E1043" s="111">
        <v>0</v>
      </c>
      <c r="F1043" s="112">
        <v>0</v>
      </c>
      <c r="G1043" s="112">
        <v>3792</v>
      </c>
      <c r="H1043" s="112">
        <v>0</v>
      </c>
      <c r="I1043" s="113">
        <v>3792</v>
      </c>
      <c r="J1043"/>
      <c r="K1043"/>
      <c r="L1043"/>
      <c r="M1043"/>
      <c r="N1043"/>
    </row>
    <row r="1044" spans="1:14" x14ac:dyDescent="0.3">
      <c r="A1044" s="102" t="s">
        <v>62</v>
      </c>
      <c r="B1044" s="102" t="s">
        <v>418</v>
      </c>
      <c r="C1044" s="107" t="s">
        <v>58</v>
      </c>
      <c r="D1044" s="102">
        <v>2</v>
      </c>
      <c r="E1044" s="111">
        <v>17473.509999999998</v>
      </c>
      <c r="F1044" s="112">
        <v>60615.29</v>
      </c>
      <c r="G1044" s="112">
        <v>13803.87</v>
      </c>
      <c r="H1044" s="112">
        <v>165552.64000000001</v>
      </c>
      <c r="I1044" s="113">
        <v>257445.31</v>
      </c>
      <c r="J1044"/>
      <c r="K1044"/>
      <c r="L1044"/>
      <c r="M1044"/>
      <c r="N1044"/>
    </row>
    <row r="1045" spans="1:14" x14ac:dyDescent="0.3">
      <c r="A1045" s="102" t="s">
        <v>419</v>
      </c>
      <c r="B1045" s="102" t="s">
        <v>2486</v>
      </c>
      <c r="C1045" s="107" t="s">
        <v>58</v>
      </c>
      <c r="D1045" s="102">
        <v>4</v>
      </c>
      <c r="E1045" s="111">
        <v>0</v>
      </c>
      <c r="F1045" s="112">
        <v>0</v>
      </c>
      <c r="G1045" s="112">
        <v>0</v>
      </c>
      <c r="H1045" s="112">
        <v>0</v>
      </c>
      <c r="I1045" s="113">
        <v>0</v>
      </c>
      <c r="J1045"/>
      <c r="K1045"/>
      <c r="L1045"/>
      <c r="M1045"/>
      <c r="N1045"/>
    </row>
    <row r="1046" spans="1:14" x14ac:dyDescent="0.3">
      <c r="A1046" s="102" t="s">
        <v>420</v>
      </c>
      <c r="B1046" s="102" t="s">
        <v>2487</v>
      </c>
      <c r="C1046" s="107" t="s">
        <v>58</v>
      </c>
      <c r="D1046" s="102">
        <v>4</v>
      </c>
      <c r="E1046" s="111">
        <v>0</v>
      </c>
      <c r="F1046" s="112">
        <v>0</v>
      </c>
      <c r="G1046" s="112">
        <v>0</v>
      </c>
      <c r="H1046" s="112">
        <v>0</v>
      </c>
      <c r="I1046" s="113">
        <v>0</v>
      </c>
      <c r="J1046"/>
      <c r="K1046"/>
      <c r="L1046"/>
      <c r="M1046"/>
      <c r="N1046"/>
    </row>
    <row r="1047" spans="1:14" x14ac:dyDescent="0.3">
      <c r="A1047" s="102" t="s">
        <v>421</v>
      </c>
      <c r="B1047" s="102" t="s">
        <v>2488</v>
      </c>
      <c r="C1047" s="107" t="s">
        <v>58</v>
      </c>
      <c r="D1047" s="102">
        <v>4</v>
      </c>
      <c r="E1047" s="111">
        <v>16863.509999999998</v>
      </c>
      <c r="F1047" s="112">
        <v>56824.09</v>
      </c>
      <c r="G1047" s="112">
        <v>13803.87</v>
      </c>
      <c r="H1047" s="112">
        <v>97536.11</v>
      </c>
      <c r="I1047" s="113">
        <v>185027.58</v>
      </c>
      <c r="J1047"/>
      <c r="K1047"/>
      <c r="L1047"/>
      <c r="M1047"/>
      <c r="N1047"/>
    </row>
    <row r="1048" spans="1:14" x14ac:dyDescent="0.3">
      <c r="A1048" s="102" t="s">
        <v>422</v>
      </c>
      <c r="B1048" s="102" t="s">
        <v>2096</v>
      </c>
      <c r="C1048" s="107" t="s">
        <v>58</v>
      </c>
      <c r="D1048" s="102">
        <v>4</v>
      </c>
      <c r="E1048" s="111">
        <v>610</v>
      </c>
      <c r="F1048" s="112">
        <v>3791.2</v>
      </c>
      <c r="G1048" s="112">
        <v>0</v>
      </c>
      <c r="H1048" s="112">
        <v>68016.53</v>
      </c>
      <c r="I1048" s="113">
        <v>72417.73</v>
      </c>
      <c r="J1048"/>
      <c r="K1048"/>
      <c r="L1048"/>
      <c r="M1048"/>
      <c r="N1048"/>
    </row>
    <row r="1049" spans="1:14" x14ac:dyDescent="0.3">
      <c r="A1049" s="102" t="s">
        <v>69</v>
      </c>
      <c r="B1049" s="102" t="s">
        <v>2489</v>
      </c>
      <c r="C1049" s="107" t="s">
        <v>58</v>
      </c>
      <c r="D1049" s="102">
        <v>2</v>
      </c>
      <c r="E1049" s="111">
        <v>0</v>
      </c>
      <c r="F1049" s="112">
        <v>147833.22</v>
      </c>
      <c r="G1049" s="112">
        <v>24384.78</v>
      </c>
      <c r="H1049" s="112">
        <v>155108</v>
      </c>
      <c r="I1049" s="113">
        <v>327326</v>
      </c>
      <c r="J1049"/>
      <c r="K1049"/>
      <c r="L1049"/>
      <c r="M1049"/>
      <c r="N1049"/>
    </row>
    <row r="1050" spans="1:14" x14ac:dyDescent="0.3">
      <c r="A1050" s="102" t="s">
        <v>423</v>
      </c>
      <c r="B1050" s="102" t="s">
        <v>2369</v>
      </c>
      <c r="C1050" s="107" t="s">
        <v>58</v>
      </c>
      <c r="D1050" s="102">
        <v>4</v>
      </c>
      <c r="E1050" s="111">
        <v>0</v>
      </c>
      <c r="F1050" s="112">
        <v>61172.37</v>
      </c>
      <c r="G1050" s="112">
        <v>10090.26</v>
      </c>
      <c r="H1050" s="112">
        <v>51533.5</v>
      </c>
      <c r="I1050" s="113">
        <v>122796.13</v>
      </c>
      <c r="J1050"/>
      <c r="K1050"/>
      <c r="L1050"/>
      <c r="M1050"/>
      <c r="N1050"/>
    </row>
    <row r="1051" spans="1:14" x14ac:dyDescent="0.3">
      <c r="A1051" s="102" t="s">
        <v>424</v>
      </c>
      <c r="B1051" s="102" t="s">
        <v>2375</v>
      </c>
      <c r="C1051" s="107" t="s">
        <v>58</v>
      </c>
      <c r="D1051" s="102">
        <v>4</v>
      </c>
      <c r="E1051" s="111">
        <v>0</v>
      </c>
      <c r="F1051" s="112">
        <v>86660.85</v>
      </c>
      <c r="G1051" s="112">
        <v>14294.52</v>
      </c>
      <c r="H1051" s="112">
        <v>103574.5</v>
      </c>
      <c r="I1051" s="113">
        <v>204529.87</v>
      </c>
      <c r="J1051"/>
      <c r="K1051"/>
      <c r="L1051"/>
      <c r="M1051"/>
      <c r="N1051"/>
    </row>
    <row r="1052" spans="1:14" x14ac:dyDescent="0.3">
      <c r="A1052" s="102" t="s">
        <v>425</v>
      </c>
      <c r="B1052" s="102" t="s">
        <v>2096</v>
      </c>
      <c r="C1052" s="107" t="s">
        <v>58</v>
      </c>
      <c r="D1052" s="102">
        <v>4</v>
      </c>
      <c r="E1052" s="111">
        <v>0</v>
      </c>
      <c r="F1052" s="112">
        <v>0</v>
      </c>
      <c r="G1052" s="112">
        <v>0</v>
      </c>
      <c r="H1052" s="112">
        <v>0</v>
      </c>
      <c r="I1052" s="113">
        <v>0</v>
      </c>
      <c r="J1052"/>
      <c r="K1052"/>
      <c r="L1052"/>
      <c r="M1052"/>
      <c r="N1052"/>
    </row>
    <row r="1053" spans="1:14" x14ac:dyDescent="0.3">
      <c r="A1053" s="102" t="s">
        <v>55</v>
      </c>
      <c r="B1053" s="102" t="s">
        <v>1433</v>
      </c>
      <c r="C1053" s="107" t="s">
        <v>55</v>
      </c>
      <c r="D1053" s="102">
        <v>1</v>
      </c>
      <c r="E1053" s="111">
        <v>281612.43</v>
      </c>
      <c r="F1053" s="112">
        <v>1703539.29</v>
      </c>
      <c r="G1053" s="112">
        <v>569750.71</v>
      </c>
      <c r="H1053" s="112">
        <v>7233655.9800000004</v>
      </c>
      <c r="I1053" s="113">
        <v>9788558.4100000001</v>
      </c>
      <c r="J1053"/>
      <c r="K1053"/>
      <c r="L1053"/>
      <c r="M1053"/>
      <c r="N1053"/>
    </row>
    <row r="1054" spans="1:14" x14ac:dyDescent="0.3">
      <c r="A1054" s="102" t="s">
        <v>61</v>
      </c>
      <c r="B1054" s="102" t="s">
        <v>1434</v>
      </c>
      <c r="C1054" s="107" t="s">
        <v>55</v>
      </c>
      <c r="D1054" s="102">
        <v>2</v>
      </c>
      <c r="E1054" s="111">
        <v>250878.56</v>
      </c>
      <c r="F1054" s="112">
        <v>1473640.66</v>
      </c>
      <c r="G1054" s="112">
        <v>486192.19</v>
      </c>
      <c r="H1054" s="112">
        <v>5236709.5599999996</v>
      </c>
      <c r="I1054" s="113">
        <v>7447420.9700000007</v>
      </c>
      <c r="J1054"/>
      <c r="K1054"/>
      <c r="L1054"/>
      <c r="M1054"/>
      <c r="N1054"/>
    </row>
    <row r="1055" spans="1:14" x14ac:dyDescent="0.3">
      <c r="A1055" s="102" t="s">
        <v>1435</v>
      </c>
      <c r="B1055" s="102" t="s">
        <v>2490</v>
      </c>
      <c r="C1055" s="107" t="s">
        <v>55</v>
      </c>
      <c r="D1055" s="102">
        <v>4</v>
      </c>
      <c r="E1055" s="111">
        <v>293.97000000000003</v>
      </c>
      <c r="F1055" s="112">
        <v>0</v>
      </c>
      <c r="G1055" s="112">
        <v>278.60000000000002</v>
      </c>
      <c r="H1055" s="112">
        <v>19179.060000000001</v>
      </c>
      <c r="I1055" s="113">
        <v>19751.63</v>
      </c>
      <c r="J1055"/>
      <c r="K1055"/>
      <c r="L1055"/>
      <c r="M1055"/>
      <c r="N1055"/>
    </row>
    <row r="1056" spans="1:14" x14ac:dyDescent="0.3">
      <c r="A1056" s="102" t="s">
        <v>1995</v>
      </c>
      <c r="B1056" s="102" t="s">
        <v>2035</v>
      </c>
      <c r="C1056" s="107" t="s">
        <v>55</v>
      </c>
      <c r="D1056" s="102">
        <v>6</v>
      </c>
      <c r="E1056" s="111">
        <v>0</v>
      </c>
      <c r="F1056" s="112">
        <v>0</v>
      </c>
      <c r="G1056" s="112">
        <v>0</v>
      </c>
      <c r="H1056" s="112">
        <v>0</v>
      </c>
      <c r="I1056" s="113">
        <v>0</v>
      </c>
      <c r="J1056"/>
      <c r="K1056"/>
      <c r="L1056"/>
      <c r="M1056"/>
      <c r="N1056"/>
    </row>
    <row r="1057" spans="1:14" x14ac:dyDescent="0.3">
      <c r="A1057" s="102" t="s">
        <v>1436</v>
      </c>
      <c r="B1057" s="102" t="s">
        <v>2491</v>
      </c>
      <c r="C1057" s="107" t="s">
        <v>55</v>
      </c>
      <c r="D1057" s="102">
        <v>6</v>
      </c>
      <c r="E1057" s="111">
        <v>293.97000000000003</v>
      </c>
      <c r="F1057" s="112">
        <v>0</v>
      </c>
      <c r="G1057" s="112">
        <v>278.60000000000002</v>
      </c>
      <c r="H1057" s="112">
        <v>19179.060000000001</v>
      </c>
      <c r="I1057" s="113">
        <v>19751.63</v>
      </c>
      <c r="J1057"/>
      <c r="K1057"/>
      <c r="L1057"/>
      <c r="M1057"/>
      <c r="N1057"/>
    </row>
    <row r="1058" spans="1:14" x14ac:dyDescent="0.3">
      <c r="A1058" s="102" t="s">
        <v>1437</v>
      </c>
      <c r="B1058" s="102" t="s">
        <v>2492</v>
      </c>
      <c r="C1058" s="107" t="s">
        <v>55</v>
      </c>
      <c r="D1058" s="102">
        <v>6</v>
      </c>
      <c r="E1058" s="111">
        <v>0</v>
      </c>
      <c r="F1058" s="112">
        <v>0</v>
      </c>
      <c r="G1058" s="112">
        <v>0</v>
      </c>
      <c r="H1058" s="112">
        <v>0</v>
      </c>
      <c r="I1058" s="113">
        <v>0</v>
      </c>
      <c r="J1058"/>
      <c r="K1058"/>
      <c r="L1058"/>
      <c r="M1058"/>
      <c r="N1058"/>
    </row>
    <row r="1059" spans="1:14" x14ac:dyDescent="0.3">
      <c r="A1059" s="102" t="s">
        <v>1438</v>
      </c>
      <c r="B1059" s="102" t="s">
        <v>2015</v>
      </c>
      <c r="C1059" s="107" t="s">
        <v>55</v>
      </c>
      <c r="D1059" s="102">
        <v>4</v>
      </c>
      <c r="E1059" s="111">
        <v>0</v>
      </c>
      <c r="F1059" s="112">
        <v>0</v>
      </c>
      <c r="G1059" s="112">
        <v>0</v>
      </c>
      <c r="H1059" s="112">
        <v>0</v>
      </c>
      <c r="I1059" s="113">
        <v>0</v>
      </c>
      <c r="J1059"/>
      <c r="K1059"/>
      <c r="L1059"/>
      <c r="M1059"/>
      <c r="N1059"/>
    </row>
    <row r="1060" spans="1:14" x14ac:dyDescent="0.3">
      <c r="A1060" s="102" t="s">
        <v>1439</v>
      </c>
      <c r="B1060" s="102" t="s">
        <v>2493</v>
      </c>
      <c r="C1060" s="107" t="s">
        <v>55</v>
      </c>
      <c r="D1060" s="102">
        <v>6</v>
      </c>
      <c r="E1060" s="111">
        <v>0</v>
      </c>
      <c r="F1060" s="112">
        <v>0</v>
      </c>
      <c r="G1060" s="112">
        <v>0</v>
      </c>
      <c r="H1060" s="112">
        <v>0</v>
      </c>
      <c r="I1060" s="113">
        <v>0</v>
      </c>
      <c r="J1060"/>
      <c r="K1060"/>
      <c r="L1060"/>
      <c r="M1060"/>
      <c r="N1060"/>
    </row>
    <row r="1061" spans="1:14" x14ac:dyDescent="0.3">
      <c r="A1061" s="102" t="s">
        <v>1440</v>
      </c>
      <c r="B1061" s="102" t="s">
        <v>2342</v>
      </c>
      <c r="C1061" s="107" t="s">
        <v>55</v>
      </c>
      <c r="D1061" s="102">
        <v>6</v>
      </c>
      <c r="E1061" s="111">
        <v>0</v>
      </c>
      <c r="F1061" s="112">
        <v>0</v>
      </c>
      <c r="G1061" s="112">
        <v>0</v>
      </c>
      <c r="H1061" s="112">
        <v>0</v>
      </c>
      <c r="I1061" s="113">
        <v>0</v>
      </c>
      <c r="J1061"/>
      <c r="K1061"/>
      <c r="L1061"/>
      <c r="M1061"/>
      <c r="N1061"/>
    </row>
    <row r="1062" spans="1:14" x14ac:dyDescent="0.3">
      <c r="A1062" s="102" t="s">
        <v>1441</v>
      </c>
      <c r="B1062" s="102" t="s">
        <v>2494</v>
      </c>
      <c r="C1062" s="107" t="s">
        <v>55</v>
      </c>
      <c r="D1062" s="102">
        <v>4</v>
      </c>
      <c r="E1062" s="111">
        <v>12611.73</v>
      </c>
      <c r="F1062" s="112">
        <v>72737.100000000006</v>
      </c>
      <c r="G1062" s="112">
        <v>14892.67</v>
      </c>
      <c r="H1062" s="112">
        <v>1164513.8400000001</v>
      </c>
      <c r="I1062" s="113">
        <v>1264755.3400000001</v>
      </c>
      <c r="J1062"/>
      <c r="K1062"/>
      <c r="L1062"/>
      <c r="M1062"/>
      <c r="N1062"/>
    </row>
    <row r="1063" spans="1:14" x14ac:dyDescent="0.3">
      <c r="A1063" s="102" t="s">
        <v>1442</v>
      </c>
      <c r="B1063" s="102" t="s">
        <v>2495</v>
      </c>
      <c r="C1063" s="107" t="s">
        <v>55</v>
      </c>
      <c r="D1063" s="102">
        <v>6</v>
      </c>
      <c r="E1063" s="111">
        <v>0</v>
      </c>
      <c r="F1063" s="112">
        <v>0</v>
      </c>
      <c r="G1063" s="112">
        <v>14892.67</v>
      </c>
      <c r="H1063" s="112">
        <v>0</v>
      </c>
      <c r="I1063" s="113">
        <v>14892.67</v>
      </c>
      <c r="J1063"/>
      <c r="K1063"/>
      <c r="L1063"/>
      <c r="M1063"/>
      <c r="N1063"/>
    </row>
    <row r="1064" spans="1:14" x14ac:dyDescent="0.3">
      <c r="A1064" s="102" t="s">
        <v>1443</v>
      </c>
      <c r="B1064" s="102" t="s">
        <v>2201</v>
      </c>
      <c r="C1064" s="107" t="s">
        <v>55</v>
      </c>
      <c r="D1064" s="102">
        <v>6</v>
      </c>
      <c r="E1064" s="111">
        <v>12000.71</v>
      </c>
      <c r="F1064" s="112">
        <v>71431.679999999993</v>
      </c>
      <c r="G1064" s="112">
        <v>0</v>
      </c>
      <c r="H1064" s="112">
        <v>256520.88</v>
      </c>
      <c r="I1064" s="113">
        <v>339953.27</v>
      </c>
      <c r="J1064"/>
      <c r="K1064"/>
      <c r="L1064"/>
      <c r="M1064"/>
      <c r="N1064"/>
    </row>
    <row r="1065" spans="1:14" x14ac:dyDescent="0.3">
      <c r="A1065" s="102" t="s">
        <v>1444</v>
      </c>
      <c r="B1065" s="102" t="s">
        <v>2202</v>
      </c>
      <c r="C1065" s="107" t="s">
        <v>55</v>
      </c>
      <c r="D1065" s="102">
        <v>6</v>
      </c>
      <c r="E1065" s="111">
        <v>310</v>
      </c>
      <c r="F1065" s="112">
        <v>0</v>
      </c>
      <c r="G1065" s="112">
        <v>0</v>
      </c>
      <c r="H1065" s="112">
        <v>907077.38</v>
      </c>
      <c r="I1065" s="113">
        <v>907387.38</v>
      </c>
      <c r="J1065"/>
      <c r="K1065"/>
      <c r="L1065"/>
      <c r="M1065"/>
      <c r="N1065"/>
    </row>
    <row r="1066" spans="1:14" x14ac:dyDescent="0.3">
      <c r="A1066" s="102" t="s">
        <v>1445</v>
      </c>
      <c r="B1066" s="102" t="s">
        <v>2091</v>
      </c>
      <c r="C1066" s="107" t="s">
        <v>55</v>
      </c>
      <c r="D1066" s="102">
        <v>6</v>
      </c>
      <c r="E1066" s="111">
        <v>301.02</v>
      </c>
      <c r="F1066" s="112">
        <v>1305.42</v>
      </c>
      <c r="G1066" s="112">
        <v>0</v>
      </c>
      <c r="H1066" s="112">
        <v>915.58</v>
      </c>
      <c r="I1066" s="113">
        <v>2522.02</v>
      </c>
      <c r="J1066"/>
      <c r="K1066"/>
      <c r="L1066"/>
      <c r="M1066"/>
      <c r="N1066"/>
    </row>
    <row r="1067" spans="1:14" x14ac:dyDescent="0.3">
      <c r="A1067" s="102" t="s">
        <v>1446</v>
      </c>
      <c r="B1067" s="102" t="s">
        <v>2496</v>
      </c>
      <c r="C1067" s="107" t="s">
        <v>55</v>
      </c>
      <c r="D1067" s="102">
        <v>4</v>
      </c>
      <c r="E1067" s="111">
        <v>237889.03</v>
      </c>
      <c r="F1067" s="112">
        <v>1400903.56</v>
      </c>
      <c r="G1067" s="112">
        <v>471020.92</v>
      </c>
      <c r="H1067" s="112">
        <v>3965083.61</v>
      </c>
      <c r="I1067" s="113">
        <v>6074897.1200000001</v>
      </c>
      <c r="J1067"/>
      <c r="K1067"/>
      <c r="L1067"/>
      <c r="M1067"/>
      <c r="N1067"/>
    </row>
    <row r="1068" spans="1:14" x14ac:dyDescent="0.3">
      <c r="A1068" s="102" t="s">
        <v>1447</v>
      </c>
      <c r="B1068" s="102" t="s">
        <v>2204</v>
      </c>
      <c r="C1068" s="107" t="s">
        <v>55</v>
      </c>
      <c r="D1068" s="102">
        <v>6</v>
      </c>
      <c r="E1068" s="111">
        <v>0</v>
      </c>
      <c r="F1068" s="112">
        <v>41175.589999999997</v>
      </c>
      <c r="G1068" s="112">
        <v>4200.43</v>
      </c>
      <c r="H1068" s="112">
        <v>537462.79</v>
      </c>
      <c r="I1068" s="113">
        <v>582838.81000000006</v>
      </c>
      <c r="J1068"/>
      <c r="K1068"/>
      <c r="L1068"/>
      <c r="M1068"/>
      <c r="N1068"/>
    </row>
    <row r="1069" spans="1:14" x14ac:dyDescent="0.3">
      <c r="A1069" s="102" t="s">
        <v>1448</v>
      </c>
      <c r="B1069" s="102" t="s">
        <v>2205</v>
      </c>
      <c r="C1069" s="107" t="s">
        <v>55</v>
      </c>
      <c r="D1069" s="102">
        <v>6</v>
      </c>
      <c r="E1069" s="111">
        <v>66814.179999999993</v>
      </c>
      <c r="F1069" s="112">
        <v>202138.04</v>
      </c>
      <c r="G1069" s="112">
        <v>236132.15</v>
      </c>
      <c r="H1069" s="112">
        <v>830642.61</v>
      </c>
      <c r="I1069" s="113">
        <v>1335726.98</v>
      </c>
      <c r="J1069"/>
      <c r="K1069"/>
      <c r="L1069"/>
      <c r="M1069"/>
      <c r="N1069"/>
    </row>
    <row r="1070" spans="1:14" x14ac:dyDescent="0.3">
      <c r="A1070" s="102" t="s">
        <v>1449</v>
      </c>
      <c r="B1070" s="102" t="s">
        <v>2206</v>
      </c>
      <c r="C1070" s="107" t="s">
        <v>55</v>
      </c>
      <c r="D1070" s="102">
        <v>6</v>
      </c>
      <c r="E1070" s="111">
        <v>47338.41</v>
      </c>
      <c r="F1070" s="112">
        <v>959056.66</v>
      </c>
      <c r="G1070" s="112">
        <v>132371.78</v>
      </c>
      <c r="H1070" s="112">
        <v>1410121</v>
      </c>
      <c r="I1070" s="113">
        <v>2548887.85</v>
      </c>
      <c r="J1070"/>
      <c r="K1070"/>
      <c r="L1070"/>
      <c r="M1070"/>
      <c r="N1070"/>
    </row>
    <row r="1071" spans="1:14" x14ac:dyDescent="0.3">
      <c r="A1071" s="102" t="s">
        <v>1450</v>
      </c>
      <c r="B1071" s="102" t="s">
        <v>2207</v>
      </c>
      <c r="C1071" s="107" t="s">
        <v>55</v>
      </c>
      <c r="D1071" s="102">
        <v>6</v>
      </c>
      <c r="E1071" s="111">
        <v>91302.88</v>
      </c>
      <c r="F1071" s="112">
        <v>5786.36</v>
      </c>
      <c r="G1071" s="112">
        <v>93310.97</v>
      </c>
      <c r="H1071" s="112">
        <v>675714.84</v>
      </c>
      <c r="I1071" s="113">
        <v>866115.05</v>
      </c>
      <c r="J1071"/>
      <c r="K1071"/>
      <c r="L1071"/>
      <c r="M1071"/>
      <c r="N1071"/>
    </row>
    <row r="1072" spans="1:14" x14ac:dyDescent="0.3">
      <c r="A1072" s="102" t="s">
        <v>1451</v>
      </c>
      <c r="B1072" s="102" t="s">
        <v>2208</v>
      </c>
      <c r="C1072" s="107" t="s">
        <v>55</v>
      </c>
      <c r="D1072" s="102">
        <v>6</v>
      </c>
      <c r="E1072" s="111">
        <v>0</v>
      </c>
      <c r="F1072" s="112">
        <v>0</v>
      </c>
      <c r="G1072" s="112">
        <v>0</v>
      </c>
      <c r="H1072" s="112">
        <v>11574.46</v>
      </c>
      <c r="I1072" s="113">
        <v>11574.46</v>
      </c>
      <c r="J1072"/>
      <c r="K1072"/>
      <c r="L1072"/>
      <c r="M1072"/>
      <c r="N1072"/>
    </row>
    <row r="1073" spans="1:14" x14ac:dyDescent="0.3">
      <c r="A1073" s="102" t="s">
        <v>1452</v>
      </c>
      <c r="B1073" s="102" t="s">
        <v>2209</v>
      </c>
      <c r="C1073" s="107" t="s">
        <v>55</v>
      </c>
      <c r="D1073" s="102">
        <v>6</v>
      </c>
      <c r="E1073" s="111">
        <v>0</v>
      </c>
      <c r="F1073" s="112">
        <v>181030.51</v>
      </c>
      <c r="G1073" s="112">
        <v>0</v>
      </c>
      <c r="H1073" s="112">
        <v>355263.31</v>
      </c>
      <c r="I1073" s="113">
        <v>536293.81999999995</v>
      </c>
      <c r="J1073"/>
      <c r="K1073"/>
      <c r="L1073"/>
      <c r="M1073"/>
      <c r="N1073"/>
    </row>
    <row r="1074" spans="1:14" x14ac:dyDescent="0.3">
      <c r="A1074" s="102" t="s">
        <v>1453</v>
      </c>
      <c r="B1074" s="102" t="s">
        <v>2210</v>
      </c>
      <c r="C1074" s="107" t="s">
        <v>55</v>
      </c>
      <c r="D1074" s="102">
        <v>6</v>
      </c>
      <c r="E1074" s="111">
        <v>0</v>
      </c>
      <c r="F1074" s="112">
        <v>0</v>
      </c>
      <c r="G1074" s="112">
        <v>0</v>
      </c>
      <c r="H1074" s="112">
        <v>44410.37</v>
      </c>
      <c r="I1074" s="113">
        <v>44410.37</v>
      </c>
      <c r="J1074"/>
      <c r="K1074"/>
      <c r="L1074"/>
      <c r="M1074"/>
      <c r="N1074"/>
    </row>
    <row r="1075" spans="1:14" x14ac:dyDescent="0.3">
      <c r="A1075" s="102" t="s">
        <v>1454</v>
      </c>
      <c r="B1075" s="102" t="s">
        <v>2211</v>
      </c>
      <c r="C1075" s="107" t="s">
        <v>55</v>
      </c>
      <c r="D1075" s="102">
        <v>6</v>
      </c>
      <c r="E1075" s="111">
        <v>0</v>
      </c>
      <c r="F1075" s="112">
        <v>0</v>
      </c>
      <c r="G1075" s="112">
        <v>0</v>
      </c>
      <c r="H1075" s="112">
        <v>0</v>
      </c>
      <c r="I1075" s="113">
        <v>0</v>
      </c>
      <c r="J1075"/>
      <c r="K1075"/>
      <c r="L1075"/>
      <c r="M1075"/>
      <c r="N1075"/>
    </row>
    <row r="1076" spans="1:14" x14ac:dyDescent="0.3">
      <c r="A1076" s="102" t="s">
        <v>1455</v>
      </c>
      <c r="B1076" s="102" t="s">
        <v>2212</v>
      </c>
      <c r="C1076" s="107" t="s">
        <v>55</v>
      </c>
      <c r="D1076" s="102">
        <v>6</v>
      </c>
      <c r="E1076" s="111">
        <v>30467.91</v>
      </c>
      <c r="F1076" s="112">
        <v>0</v>
      </c>
      <c r="G1076" s="112">
        <v>1445.56</v>
      </c>
      <c r="H1076" s="112">
        <v>10007.129999999999</v>
      </c>
      <c r="I1076" s="113">
        <v>41920.6</v>
      </c>
      <c r="J1076"/>
      <c r="K1076"/>
      <c r="L1076"/>
      <c r="M1076"/>
      <c r="N1076"/>
    </row>
    <row r="1077" spans="1:14" x14ac:dyDescent="0.3">
      <c r="A1077" s="102" t="s">
        <v>1456</v>
      </c>
      <c r="B1077" s="102" t="s">
        <v>2213</v>
      </c>
      <c r="C1077" s="107" t="s">
        <v>55</v>
      </c>
      <c r="D1077" s="102">
        <v>6</v>
      </c>
      <c r="E1077" s="111">
        <v>0</v>
      </c>
      <c r="F1077" s="112">
        <v>0</v>
      </c>
      <c r="G1077" s="112">
        <v>117.33</v>
      </c>
      <c r="H1077" s="112">
        <v>0</v>
      </c>
      <c r="I1077" s="113">
        <v>117.33</v>
      </c>
      <c r="J1077"/>
      <c r="K1077"/>
      <c r="L1077"/>
      <c r="M1077"/>
      <c r="N1077"/>
    </row>
    <row r="1078" spans="1:14" x14ac:dyDescent="0.3">
      <c r="A1078" s="102" t="s">
        <v>1457</v>
      </c>
      <c r="B1078" s="102" t="s">
        <v>2497</v>
      </c>
      <c r="C1078" s="107" t="s">
        <v>55</v>
      </c>
      <c r="D1078" s="102">
        <v>6</v>
      </c>
      <c r="E1078" s="111">
        <v>1965.65</v>
      </c>
      <c r="F1078" s="112">
        <v>11716.4</v>
      </c>
      <c r="G1078" s="112">
        <v>3442.7</v>
      </c>
      <c r="H1078" s="112">
        <v>89887.1</v>
      </c>
      <c r="I1078" s="113">
        <v>107011.85</v>
      </c>
      <c r="J1078"/>
      <c r="K1078"/>
      <c r="L1078"/>
      <c r="M1078"/>
      <c r="N1078"/>
    </row>
    <row r="1079" spans="1:14" x14ac:dyDescent="0.3">
      <c r="A1079" s="102" t="s">
        <v>1458</v>
      </c>
      <c r="B1079" s="102" t="s">
        <v>2498</v>
      </c>
      <c r="C1079" s="107" t="s">
        <v>55</v>
      </c>
      <c r="D1079" s="102">
        <v>6</v>
      </c>
      <c r="E1079" s="111">
        <v>0</v>
      </c>
      <c r="F1079" s="112">
        <v>0</v>
      </c>
      <c r="G1079" s="112">
        <v>0</v>
      </c>
      <c r="H1079" s="112">
        <v>0</v>
      </c>
      <c r="I1079" s="113">
        <v>0</v>
      </c>
      <c r="J1079"/>
      <c r="K1079"/>
      <c r="L1079"/>
      <c r="M1079"/>
      <c r="N1079"/>
    </row>
    <row r="1080" spans="1:14" x14ac:dyDescent="0.3">
      <c r="A1080" s="102" t="s">
        <v>1459</v>
      </c>
      <c r="B1080" s="102" t="s">
        <v>2499</v>
      </c>
      <c r="C1080" s="107" t="s">
        <v>55</v>
      </c>
      <c r="D1080" s="102">
        <v>4</v>
      </c>
      <c r="E1080" s="111">
        <v>83.83</v>
      </c>
      <c r="F1080" s="112">
        <v>0</v>
      </c>
      <c r="G1080" s="112">
        <v>0</v>
      </c>
      <c r="H1080" s="112">
        <v>87933.05</v>
      </c>
      <c r="I1080" s="113">
        <v>88016.88</v>
      </c>
      <c r="J1080"/>
      <c r="K1080"/>
      <c r="L1080"/>
      <c r="M1080"/>
      <c r="N1080"/>
    </row>
    <row r="1081" spans="1:14" x14ac:dyDescent="0.3">
      <c r="A1081" s="102" t="s">
        <v>1460</v>
      </c>
      <c r="B1081" s="102" t="s">
        <v>2500</v>
      </c>
      <c r="C1081" s="107" t="s">
        <v>55</v>
      </c>
      <c r="D1081" s="102">
        <v>6</v>
      </c>
      <c r="E1081" s="111">
        <v>0</v>
      </c>
      <c r="F1081" s="112">
        <v>0</v>
      </c>
      <c r="G1081" s="112">
        <v>0</v>
      </c>
      <c r="H1081" s="112">
        <v>0</v>
      </c>
      <c r="I1081" s="113">
        <v>0</v>
      </c>
      <c r="J1081"/>
      <c r="K1081"/>
      <c r="L1081"/>
      <c r="M1081"/>
      <c r="N1081"/>
    </row>
    <row r="1082" spans="1:14" x14ac:dyDescent="0.3">
      <c r="A1082" s="102" t="s">
        <v>1461</v>
      </c>
      <c r="B1082" s="102" t="s">
        <v>2096</v>
      </c>
      <c r="C1082" s="107" t="s">
        <v>55</v>
      </c>
      <c r="D1082" s="102">
        <v>6</v>
      </c>
      <c r="E1082" s="111">
        <v>83.83</v>
      </c>
      <c r="F1082" s="112">
        <v>0</v>
      </c>
      <c r="G1082" s="112">
        <v>0</v>
      </c>
      <c r="H1082" s="112">
        <v>87933.05</v>
      </c>
      <c r="I1082" s="113">
        <v>88016.88</v>
      </c>
      <c r="J1082"/>
      <c r="K1082"/>
      <c r="L1082"/>
      <c r="M1082"/>
      <c r="N1082"/>
    </row>
    <row r="1083" spans="1:14" x14ac:dyDescent="0.3">
      <c r="A1083" s="102" t="s">
        <v>65</v>
      </c>
      <c r="B1083" s="102" t="s">
        <v>1462</v>
      </c>
      <c r="C1083" s="107" t="s">
        <v>55</v>
      </c>
      <c r="D1083" s="102">
        <v>2</v>
      </c>
      <c r="E1083" s="111">
        <v>0</v>
      </c>
      <c r="F1083" s="112">
        <v>11717.65</v>
      </c>
      <c r="G1083" s="112">
        <v>674.65</v>
      </c>
      <c r="H1083" s="112">
        <v>239872.29</v>
      </c>
      <c r="I1083" s="113">
        <v>252264.59</v>
      </c>
      <c r="J1083"/>
      <c r="K1083"/>
      <c r="L1083"/>
      <c r="M1083"/>
      <c r="N1083"/>
    </row>
    <row r="1084" spans="1:14" x14ac:dyDescent="0.3">
      <c r="A1084" s="102" t="s">
        <v>1463</v>
      </c>
      <c r="B1084" s="102" t="s">
        <v>2100</v>
      </c>
      <c r="C1084" s="107" t="s">
        <v>55</v>
      </c>
      <c r="D1084" s="102">
        <v>4</v>
      </c>
      <c r="E1084" s="111">
        <v>0</v>
      </c>
      <c r="F1084" s="112">
        <v>0</v>
      </c>
      <c r="G1084" s="112">
        <v>21.83</v>
      </c>
      <c r="H1084" s="112">
        <v>95823.79</v>
      </c>
      <c r="I1084" s="113">
        <v>95845.62</v>
      </c>
      <c r="J1084"/>
      <c r="K1084"/>
      <c r="L1084"/>
      <c r="M1084"/>
      <c r="N1084"/>
    </row>
    <row r="1085" spans="1:14" x14ac:dyDescent="0.3">
      <c r="A1085" s="102" t="s">
        <v>1464</v>
      </c>
      <c r="B1085" s="102" t="s">
        <v>2194</v>
      </c>
      <c r="C1085" s="107" t="s">
        <v>55</v>
      </c>
      <c r="D1085" s="102">
        <v>4</v>
      </c>
      <c r="E1085" s="111">
        <v>0</v>
      </c>
      <c r="F1085" s="112">
        <v>0</v>
      </c>
      <c r="G1085" s="112">
        <v>0</v>
      </c>
      <c r="H1085" s="112">
        <v>0</v>
      </c>
      <c r="I1085" s="113">
        <v>0</v>
      </c>
      <c r="J1085"/>
      <c r="K1085"/>
      <c r="L1085"/>
      <c r="M1085"/>
      <c r="N1085"/>
    </row>
    <row r="1086" spans="1:14" x14ac:dyDescent="0.3">
      <c r="A1086" s="102" t="s">
        <v>1465</v>
      </c>
      <c r="B1086" s="102" t="s">
        <v>2501</v>
      </c>
      <c r="C1086" s="107" t="s">
        <v>55</v>
      </c>
      <c r="D1086" s="102">
        <v>4</v>
      </c>
      <c r="E1086" s="111">
        <v>0</v>
      </c>
      <c r="F1086" s="112">
        <v>0</v>
      </c>
      <c r="G1086" s="112">
        <v>0</v>
      </c>
      <c r="H1086" s="112">
        <v>0</v>
      </c>
      <c r="I1086" s="113">
        <v>0</v>
      </c>
      <c r="J1086"/>
      <c r="K1086"/>
      <c r="L1086"/>
      <c r="M1086"/>
      <c r="N1086"/>
    </row>
    <row r="1087" spans="1:14" x14ac:dyDescent="0.3">
      <c r="A1087" s="102" t="s">
        <v>1466</v>
      </c>
      <c r="B1087" s="102" t="s">
        <v>2502</v>
      </c>
      <c r="C1087" s="107" t="s">
        <v>55</v>
      </c>
      <c r="D1087" s="102">
        <v>4</v>
      </c>
      <c r="E1087" s="111">
        <v>0</v>
      </c>
      <c r="F1087" s="112">
        <v>0</v>
      </c>
      <c r="G1087" s="112">
        <v>0</v>
      </c>
      <c r="H1087" s="112">
        <v>0</v>
      </c>
      <c r="I1087" s="113">
        <v>0</v>
      </c>
      <c r="J1087"/>
      <c r="K1087"/>
      <c r="L1087"/>
      <c r="M1087"/>
      <c r="N1087"/>
    </row>
    <row r="1088" spans="1:14" x14ac:dyDescent="0.3">
      <c r="A1088" s="102" t="s">
        <v>1467</v>
      </c>
      <c r="B1088" s="102" t="s">
        <v>2503</v>
      </c>
      <c r="C1088" s="107" t="s">
        <v>55</v>
      </c>
      <c r="D1088" s="102">
        <v>4</v>
      </c>
      <c r="E1088" s="111">
        <v>0</v>
      </c>
      <c r="F1088" s="112">
        <v>0</v>
      </c>
      <c r="G1088" s="112">
        <v>0</v>
      </c>
      <c r="H1088" s="112">
        <v>3360.66</v>
      </c>
      <c r="I1088" s="113">
        <v>3360.66</v>
      </c>
      <c r="J1088"/>
      <c r="K1088"/>
      <c r="L1088"/>
      <c r="M1088"/>
      <c r="N1088"/>
    </row>
    <row r="1089" spans="1:14" x14ac:dyDescent="0.3">
      <c r="A1089" s="102" t="s">
        <v>2667</v>
      </c>
      <c r="B1089" s="102" t="s">
        <v>2217</v>
      </c>
      <c r="C1089" s="107" t="s">
        <v>55</v>
      </c>
      <c r="D1089" s="102">
        <v>4</v>
      </c>
      <c r="E1089" s="111">
        <v>0</v>
      </c>
      <c r="F1089" s="112">
        <v>11717.65</v>
      </c>
      <c r="G1089" s="112">
        <v>652.82000000000005</v>
      </c>
      <c r="H1089" s="112">
        <v>140687.84</v>
      </c>
      <c r="I1089" s="113">
        <v>153058.31</v>
      </c>
      <c r="J1089"/>
      <c r="K1089"/>
      <c r="L1089"/>
      <c r="M1089"/>
      <c r="N1089"/>
    </row>
    <row r="1090" spans="1:14" x14ac:dyDescent="0.3">
      <c r="A1090" s="102" t="s">
        <v>70</v>
      </c>
      <c r="B1090" s="102" t="s">
        <v>1468</v>
      </c>
      <c r="C1090" s="107" t="s">
        <v>55</v>
      </c>
      <c r="D1090" s="102">
        <v>2</v>
      </c>
      <c r="E1090" s="111">
        <v>0</v>
      </c>
      <c r="F1090" s="112">
        <v>596.78</v>
      </c>
      <c r="G1090" s="112">
        <v>0</v>
      </c>
      <c r="H1090" s="112">
        <v>331619.90999999997</v>
      </c>
      <c r="I1090" s="113">
        <v>332216.69</v>
      </c>
      <c r="J1090"/>
      <c r="K1090"/>
      <c r="L1090"/>
      <c r="M1090"/>
      <c r="N1090"/>
    </row>
    <row r="1091" spans="1:14" x14ac:dyDescent="0.3">
      <c r="A1091" s="102" t="s">
        <v>1469</v>
      </c>
      <c r="B1091" s="102" t="s">
        <v>2437</v>
      </c>
      <c r="C1091" s="107" t="s">
        <v>55</v>
      </c>
      <c r="D1091" s="102">
        <v>4</v>
      </c>
      <c r="E1091" s="111">
        <v>0</v>
      </c>
      <c r="F1091" s="112">
        <v>0</v>
      </c>
      <c r="G1091" s="112">
        <v>0</v>
      </c>
      <c r="H1091" s="112">
        <v>0</v>
      </c>
      <c r="I1091" s="113">
        <v>0</v>
      </c>
      <c r="J1091"/>
      <c r="K1091"/>
      <c r="L1091"/>
      <c r="M1091"/>
      <c r="N1091"/>
    </row>
    <row r="1092" spans="1:14" x14ac:dyDescent="0.3">
      <c r="A1092" s="102" t="s">
        <v>1470</v>
      </c>
      <c r="B1092" s="102" t="s">
        <v>2438</v>
      </c>
      <c r="C1092" s="107" t="s">
        <v>55</v>
      </c>
      <c r="D1092" s="102">
        <v>4</v>
      </c>
      <c r="E1092" s="111">
        <v>0</v>
      </c>
      <c r="F1092" s="112">
        <v>0</v>
      </c>
      <c r="G1092" s="112">
        <v>0</v>
      </c>
      <c r="H1092" s="112">
        <v>0.05</v>
      </c>
      <c r="I1092" s="113">
        <v>0.05</v>
      </c>
      <c r="J1092"/>
      <c r="K1092"/>
      <c r="L1092"/>
      <c r="M1092"/>
      <c r="N1092"/>
    </row>
    <row r="1093" spans="1:14" x14ac:dyDescent="0.3">
      <c r="A1093" s="102" t="s">
        <v>1471</v>
      </c>
      <c r="B1093" s="102" t="s">
        <v>2439</v>
      </c>
      <c r="C1093" s="107" t="s">
        <v>55</v>
      </c>
      <c r="D1093" s="102">
        <v>6</v>
      </c>
      <c r="E1093" s="111">
        <v>0</v>
      </c>
      <c r="F1093" s="112">
        <v>0</v>
      </c>
      <c r="G1093" s="112">
        <v>0</v>
      </c>
      <c r="H1093" s="112">
        <v>0</v>
      </c>
      <c r="I1093" s="113">
        <v>0</v>
      </c>
      <c r="J1093"/>
      <c r="K1093"/>
      <c r="L1093"/>
      <c r="M1093"/>
      <c r="N1093"/>
    </row>
    <row r="1094" spans="1:14" x14ac:dyDescent="0.3">
      <c r="A1094" s="102" t="s">
        <v>1472</v>
      </c>
      <c r="B1094" s="102" t="s">
        <v>2440</v>
      </c>
      <c r="C1094" s="107" t="s">
        <v>55</v>
      </c>
      <c r="D1094" s="102">
        <v>6</v>
      </c>
      <c r="E1094" s="111">
        <v>0</v>
      </c>
      <c r="F1094" s="112">
        <v>0</v>
      </c>
      <c r="G1094" s="112">
        <v>0</v>
      </c>
      <c r="H1094" s="112">
        <v>0.05</v>
      </c>
      <c r="I1094" s="113">
        <v>0.05</v>
      </c>
      <c r="J1094"/>
      <c r="K1094"/>
      <c r="L1094"/>
      <c r="M1094"/>
      <c r="N1094"/>
    </row>
    <row r="1095" spans="1:14" x14ac:dyDescent="0.3">
      <c r="A1095" s="102" t="s">
        <v>1473</v>
      </c>
      <c r="B1095" s="102" t="s">
        <v>2217</v>
      </c>
      <c r="C1095" s="107" t="s">
        <v>55</v>
      </c>
      <c r="D1095" s="102">
        <v>6</v>
      </c>
      <c r="E1095" s="111">
        <v>0</v>
      </c>
      <c r="F1095" s="112">
        <v>0</v>
      </c>
      <c r="G1095" s="112">
        <v>0</v>
      </c>
      <c r="H1095" s="112">
        <v>0</v>
      </c>
      <c r="I1095" s="113">
        <v>0</v>
      </c>
      <c r="J1095"/>
      <c r="K1095"/>
      <c r="L1095"/>
      <c r="M1095"/>
      <c r="N1095"/>
    </row>
    <row r="1096" spans="1:14" x14ac:dyDescent="0.3">
      <c r="A1096" s="102" t="s">
        <v>1474</v>
      </c>
      <c r="B1096" s="102" t="s">
        <v>2504</v>
      </c>
      <c r="C1096" s="107" t="s">
        <v>55</v>
      </c>
      <c r="D1096" s="102">
        <v>4</v>
      </c>
      <c r="E1096" s="111">
        <v>0</v>
      </c>
      <c r="F1096" s="112">
        <v>596.78</v>
      </c>
      <c r="G1096" s="112">
        <v>0</v>
      </c>
      <c r="H1096" s="112">
        <v>329151.13</v>
      </c>
      <c r="I1096" s="113">
        <v>329747.90999999997</v>
      </c>
      <c r="J1096"/>
      <c r="K1096"/>
      <c r="L1096"/>
      <c r="M1096"/>
      <c r="N1096"/>
    </row>
    <row r="1097" spans="1:14" x14ac:dyDescent="0.3">
      <c r="A1097" s="102" t="s">
        <v>1475</v>
      </c>
      <c r="B1097" s="102" t="s">
        <v>2505</v>
      </c>
      <c r="C1097" s="107" t="s">
        <v>55</v>
      </c>
      <c r="D1097" s="102">
        <v>4</v>
      </c>
      <c r="E1097" s="111">
        <v>0</v>
      </c>
      <c r="F1097" s="112">
        <v>0</v>
      </c>
      <c r="G1097" s="112">
        <v>0</v>
      </c>
      <c r="H1097" s="112">
        <v>2468.73</v>
      </c>
      <c r="I1097" s="113">
        <v>2468.73</v>
      </c>
      <c r="J1097"/>
      <c r="K1097"/>
      <c r="L1097"/>
      <c r="M1097"/>
      <c r="N1097"/>
    </row>
    <row r="1098" spans="1:14" x14ac:dyDescent="0.3">
      <c r="A1098" s="102" t="s">
        <v>1476</v>
      </c>
      <c r="B1098" s="102" t="s">
        <v>2096</v>
      </c>
      <c r="C1098" s="107" t="s">
        <v>55</v>
      </c>
      <c r="D1098" s="102">
        <v>4</v>
      </c>
      <c r="E1098" s="111">
        <v>0</v>
      </c>
      <c r="F1098" s="112">
        <v>0</v>
      </c>
      <c r="G1098" s="112">
        <v>0</v>
      </c>
      <c r="H1098" s="112">
        <v>0</v>
      </c>
      <c r="I1098" s="113">
        <v>0</v>
      </c>
      <c r="J1098"/>
      <c r="K1098"/>
      <c r="L1098"/>
      <c r="M1098"/>
      <c r="N1098"/>
    </row>
    <row r="1099" spans="1:14" x14ac:dyDescent="0.3">
      <c r="A1099" s="102" t="s">
        <v>71</v>
      </c>
      <c r="B1099" s="102" t="s">
        <v>1477</v>
      </c>
      <c r="C1099" s="107" t="s">
        <v>55</v>
      </c>
      <c r="D1099" s="102">
        <v>2</v>
      </c>
      <c r="E1099" s="111">
        <v>4579.49</v>
      </c>
      <c r="F1099" s="112">
        <v>24485.46</v>
      </c>
      <c r="G1099" s="112">
        <v>22596.240000000002</v>
      </c>
      <c r="H1099" s="112">
        <v>143491.07</v>
      </c>
      <c r="I1099" s="113">
        <v>195152.26</v>
      </c>
      <c r="J1099"/>
      <c r="K1099"/>
      <c r="L1099"/>
      <c r="M1099"/>
      <c r="N1099"/>
    </row>
    <row r="1100" spans="1:14" x14ac:dyDescent="0.3">
      <c r="A1100" s="102" t="s">
        <v>1478</v>
      </c>
      <c r="B1100" s="102" t="s">
        <v>2506</v>
      </c>
      <c r="C1100" s="107" t="s">
        <v>55</v>
      </c>
      <c r="D1100" s="102">
        <v>4</v>
      </c>
      <c r="E1100" s="111">
        <v>0</v>
      </c>
      <c r="F1100" s="112">
        <v>0</v>
      </c>
      <c r="G1100" s="112">
        <v>0</v>
      </c>
      <c r="H1100" s="112">
        <v>14.7</v>
      </c>
      <c r="I1100" s="113">
        <v>14.7</v>
      </c>
      <c r="J1100"/>
      <c r="K1100"/>
      <c r="L1100"/>
      <c r="M1100"/>
      <c r="N1100"/>
    </row>
    <row r="1101" spans="1:14" x14ac:dyDescent="0.3">
      <c r="A1101" s="102" t="s">
        <v>1479</v>
      </c>
      <c r="B1101" s="102" t="s">
        <v>2468</v>
      </c>
      <c r="C1101" s="107" t="s">
        <v>55</v>
      </c>
      <c r="D1101" s="102">
        <v>4</v>
      </c>
      <c r="E1101" s="111">
        <v>4579.49</v>
      </c>
      <c r="F1101" s="112">
        <v>24485.46</v>
      </c>
      <c r="G1101" s="112">
        <v>22596.240000000002</v>
      </c>
      <c r="H1101" s="112">
        <v>143476.37</v>
      </c>
      <c r="I1101" s="113">
        <v>195137.56</v>
      </c>
      <c r="J1101"/>
      <c r="K1101"/>
      <c r="L1101"/>
      <c r="M1101"/>
      <c r="N1101"/>
    </row>
    <row r="1102" spans="1:14" x14ac:dyDescent="0.3">
      <c r="A1102" s="102" t="s">
        <v>1480</v>
      </c>
      <c r="B1102" s="102" t="s">
        <v>2507</v>
      </c>
      <c r="C1102" s="107" t="s">
        <v>55</v>
      </c>
      <c r="D1102" s="102">
        <v>6</v>
      </c>
      <c r="E1102" s="111">
        <v>4579.49</v>
      </c>
      <c r="F1102" s="112">
        <v>17809.330000000002</v>
      </c>
      <c r="G1102" s="112">
        <v>20855.77</v>
      </c>
      <c r="H1102" s="112">
        <v>91191.66</v>
      </c>
      <c r="I1102" s="113">
        <v>134436.25</v>
      </c>
      <c r="J1102"/>
      <c r="K1102"/>
      <c r="L1102"/>
      <c r="M1102"/>
      <c r="N1102"/>
    </row>
    <row r="1103" spans="1:14" x14ac:dyDescent="0.3">
      <c r="A1103" s="102" t="s">
        <v>1481</v>
      </c>
      <c r="B1103" s="102" t="s">
        <v>2508</v>
      </c>
      <c r="C1103" s="107" t="s">
        <v>55</v>
      </c>
      <c r="D1103" s="102">
        <v>6</v>
      </c>
      <c r="E1103" s="111">
        <v>0</v>
      </c>
      <c r="F1103" s="112">
        <v>6676.13</v>
      </c>
      <c r="G1103" s="112">
        <v>1740.47</v>
      </c>
      <c r="H1103" s="112">
        <v>52284.71</v>
      </c>
      <c r="I1103" s="113">
        <v>60701.31</v>
      </c>
      <c r="J1103"/>
      <c r="K1103"/>
      <c r="L1103"/>
      <c r="M1103"/>
      <c r="N1103"/>
    </row>
    <row r="1104" spans="1:14" x14ac:dyDescent="0.3">
      <c r="A1104" s="102" t="s">
        <v>72</v>
      </c>
      <c r="B1104" s="102" t="s">
        <v>1482</v>
      </c>
      <c r="C1104" s="107" t="s">
        <v>55</v>
      </c>
      <c r="D1104" s="102">
        <v>2</v>
      </c>
      <c r="E1104" s="111">
        <v>3268.85</v>
      </c>
      <c r="F1104" s="112">
        <v>1000.67</v>
      </c>
      <c r="G1104" s="112">
        <v>88.55</v>
      </c>
      <c r="H1104" s="112">
        <v>454047.86</v>
      </c>
      <c r="I1104" s="113">
        <v>458405.93</v>
      </c>
      <c r="J1104"/>
      <c r="K1104"/>
      <c r="L1104"/>
      <c r="M1104"/>
      <c r="N1104"/>
    </row>
    <row r="1105" spans="1:14" x14ac:dyDescent="0.3">
      <c r="A1105" s="102" t="s">
        <v>1483</v>
      </c>
      <c r="B1105" s="102" t="s">
        <v>2509</v>
      </c>
      <c r="C1105" s="107" t="s">
        <v>55</v>
      </c>
      <c r="D1105" s="102">
        <v>4</v>
      </c>
      <c r="E1105" s="111">
        <v>0</v>
      </c>
      <c r="F1105" s="112">
        <v>1000.67</v>
      </c>
      <c r="G1105" s="112">
        <v>88.55</v>
      </c>
      <c r="H1105" s="112">
        <v>42390.83</v>
      </c>
      <c r="I1105" s="113">
        <v>43480.05</v>
      </c>
      <c r="J1105"/>
      <c r="K1105"/>
      <c r="L1105"/>
      <c r="M1105"/>
      <c r="N1105"/>
    </row>
    <row r="1106" spans="1:14" x14ac:dyDescent="0.3">
      <c r="A1106" s="102" t="s">
        <v>1484</v>
      </c>
      <c r="B1106" s="102" t="s">
        <v>2510</v>
      </c>
      <c r="C1106" s="107" t="s">
        <v>55</v>
      </c>
      <c r="D1106" s="102">
        <v>4</v>
      </c>
      <c r="E1106" s="111">
        <v>3268.85</v>
      </c>
      <c r="F1106" s="112">
        <v>0</v>
      </c>
      <c r="G1106" s="112">
        <v>0</v>
      </c>
      <c r="H1106" s="112">
        <v>22441.79</v>
      </c>
      <c r="I1106" s="113">
        <v>25710.639999999999</v>
      </c>
      <c r="J1106"/>
      <c r="K1106"/>
      <c r="L1106"/>
      <c r="M1106"/>
      <c r="N1106"/>
    </row>
    <row r="1107" spans="1:14" x14ac:dyDescent="0.3">
      <c r="A1107" s="102" t="s">
        <v>1485</v>
      </c>
      <c r="B1107" s="102" t="s">
        <v>2096</v>
      </c>
      <c r="C1107" s="107" t="s">
        <v>55</v>
      </c>
      <c r="D1107" s="102">
        <v>4</v>
      </c>
      <c r="E1107" s="111">
        <v>0</v>
      </c>
      <c r="F1107" s="112">
        <v>0</v>
      </c>
      <c r="G1107" s="112">
        <v>0</v>
      </c>
      <c r="H1107" s="112">
        <v>389215.24</v>
      </c>
      <c r="I1107" s="113">
        <v>389215.24</v>
      </c>
      <c r="J1107"/>
      <c r="K1107"/>
      <c r="L1107"/>
      <c r="M1107"/>
      <c r="N1107"/>
    </row>
    <row r="1108" spans="1:14" x14ac:dyDescent="0.3">
      <c r="A1108" s="102" t="s">
        <v>73</v>
      </c>
      <c r="B1108" s="102" t="s">
        <v>1486</v>
      </c>
      <c r="C1108" s="107" t="s">
        <v>55</v>
      </c>
      <c r="D1108" s="102">
        <v>2</v>
      </c>
      <c r="E1108" s="111">
        <v>22885.53</v>
      </c>
      <c r="F1108" s="112">
        <v>192098.07</v>
      </c>
      <c r="G1108" s="112">
        <v>60199.08</v>
      </c>
      <c r="H1108" s="112">
        <v>827915.29</v>
      </c>
      <c r="I1108" s="113">
        <v>1103097.97</v>
      </c>
      <c r="J1108"/>
      <c r="K1108"/>
      <c r="L1108"/>
      <c r="M1108"/>
      <c r="N1108"/>
    </row>
    <row r="1109" spans="1:14" x14ac:dyDescent="0.3">
      <c r="A1109" s="102" t="s">
        <v>1487</v>
      </c>
      <c r="B1109" s="102" t="s">
        <v>2511</v>
      </c>
      <c r="C1109" s="107" t="s">
        <v>55</v>
      </c>
      <c r="D1109" s="102">
        <v>4</v>
      </c>
      <c r="E1109" s="111">
        <v>0</v>
      </c>
      <c r="F1109" s="112">
        <v>0</v>
      </c>
      <c r="G1109" s="112">
        <v>0</v>
      </c>
      <c r="H1109" s="112">
        <v>0</v>
      </c>
      <c r="I1109" s="113">
        <v>0</v>
      </c>
      <c r="J1109"/>
      <c r="K1109"/>
      <c r="L1109"/>
      <c r="M1109"/>
      <c r="N1109"/>
    </row>
    <row r="1110" spans="1:14" x14ac:dyDescent="0.3">
      <c r="A1110" s="102" t="s">
        <v>1488</v>
      </c>
      <c r="B1110" s="102" t="s">
        <v>2512</v>
      </c>
      <c r="C1110" s="107" t="s">
        <v>55</v>
      </c>
      <c r="D1110" s="102">
        <v>4</v>
      </c>
      <c r="E1110" s="111">
        <v>0</v>
      </c>
      <c r="F1110" s="112">
        <v>0</v>
      </c>
      <c r="G1110" s="112">
        <v>0</v>
      </c>
      <c r="H1110" s="112">
        <v>0</v>
      </c>
      <c r="I1110" s="113">
        <v>0</v>
      </c>
      <c r="J1110"/>
      <c r="K1110"/>
      <c r="L1110"/>
      <c r="M1110"/>
      <c r="N1110"/>
    </row>
    <row r="1111" spans="1:14" x14ac:dyDescent="0.3">
      <c r="A1111" s="102" t="s">
        <v>1489</v>
      </c>
      <c r="B1111" s="102" t="s">
        <v>2242</v>
      </c>
      <c r="C1111" s="107" t="s">
        <v>55</v>
      </c>
      <c r="D1111" s="102">
        <v>4</v>
      </c>
      <c r="E1111" s="111">
        <v>0</v>
      </c>
      <c r="F1111" s="112">
        <v>0</v>
      </c>
      <c r="G1111" s="112">
        <v>815.2</v>
      </c>
      <c r="H1111" s="112">
        <v>40369.39</v>
      </c>
      <c r="I1111" s="113">
        <v>41184.589999999997</v>
      </c>
      <c r="J1111"/>
      <c r="K1111"/>
      <c r="L1111"/>
      <c r="M1111"/>
      <c r="N1111"/>
    </row>
    <row r="1112" spans="1:14" x14ac:dyDescent="0.3">
      <c r="A1112" s="102" t="s">
        <v>1490</v>
      </c>
      <c r="B1112" s="102" t="s">
        <v>2513</v>
      </c>
      <c r="C1112" s="107" t="s">
        <v>55</v>
      </c>
      <c r="D1112" s="102">
        <v>4</v>
      </c>
      <c r="E1112" s="111">
        <v>22753.54</v>
      </c>
      <c r="F1112" s="112">
        <v>184927.12</v>
      </c>
      <c r="G1112" s="112">
        <v>56412.82</v>
      </c>
      <c r="H1112" s="112">
        <v>769899.09</v>
      </c>
      <c r="I1112" s="113">
        <v>1033992.57</v>
      </c>
      <c r="J1112"/>
      <c r="K1112"/>
      <c r="L1112"/>
      <c r="M1112"/>
      <c r="N1112"/>
    </row>
    <row r="1113" spans="1:14" x14ac:dyDescent="0.3">
      <c r="A1113" s="102" t="s">
        <v>1491</v>
      </c>
      <c r="B1113" s="102" t="s">
        <v>2514</v>
      </c>
      <c r="C1113" s="107" t="s">
        <v>55</v>
      </c>
      <c r="D1113" s="102">
        <v>6</v>
      </c>
      <c r="E1113" s="111">
        <v>0</v>
      </c>
      <c r="F1113" s="112">
        <v>55103.53</v>
      </c>
      <c r="G1113" s="112">
        <v>1149.71</v>
      </c>
      <c r="H1113" s="112">
        <v>31654.54</v>
      </c>
      <c r="I1113" s="113">
        <v>87907.78</v>
      </c>
      <c r="J1113"/>
      <c r="K1113"/>
      <c r="L1113"/>
      <c r="M1113"/>
      <c r="N1113"/>
    </row>
    <row r="1114" spans="1:14" x14ac:dyDescent="0.3">
      <c r="A1114" s="102" t="s">
        <v>1492</v>
      </c>
      <c r="B1114" s="102" t="s">
        <v>2515</v>
      </c>
      <c r="C1114" s="107" t="s">
        <v>55</v>
      </c>
      <c r="D1114" s="102">
        <v>6</v>
      </c>
      <c r="E1114" s="111">
        <v>9182.7900000000009</v>
      </c>
      <c r="F1114" s="112">
        <v>49269.3</v>
      </c>
      <c r="G1114" s="112">
        <v>39072.14</v>
      </c>
      <c r="H1114" s="112">
        <v>490309.88</v>
      </c>
      <c r="I1114" s="113">
        <v>587834.11</v>
      </c>
      <c r="J1114"/>
      <c r="K1114"/>
      <c r="L1114"/>
      <c r="M1114"/>
      <c r="N1114"/>
    </row>
    <row r="1115" spans="1:14" x14ac:dyDescent="0.3">
      <c r="A1115" s="102" t="s">
        <v>1493</v>
      </c>
      <c r="B1115" s="102" t="s">
        <v>2516</v>
      </c>
      <c r="C1115" s="107" t="s">
        <v>55</v>
      </c>
      <c r="D1115" s="102">
        <v>6</v>
      </c>
      <c r="E1115" s="111">
        <v>0</v>
      </c>
      <c r="F1115" s="112">
        <v>0</v>
      </c>
      <c r="G1115" s="112">
        <v>0</v>
      </c>
      <c r="H1115" s="112">
        <v>0</v>
      </c>
      <c r="I1115" s="113">
        <v>0</v>
      </c>
      <c r="J1115"/>
      <c r="K1115"/>
      <c r="L1115"/>
      <c r="M1115"/>
      <c r="N1115"/>
    </row>
    <row r="1116" spans="1:14" x14ac:dyDescent="0.3">
      <c r="A1116" s="102" t="s">
        <v>1494</v>
      </c>
      <c r="B1116" s="102" t="s">
        <v>2517</v>
      </c>
      <c r="C1116" s="107" t="s">
        <v>55</v>
      </c>
      <c r="D1116" s="102">
        <v>6</v>
      </c>
      <c r="E1116" s="111">
        <v>13570.75</v>
      </c>
      <c r="F1116" s="112">
        <v>80554.289999999994</v>
      </c>
      <c r="G1116" s="112">
        <v>16190.97</v>
      </c>
      <c r="H1116" s="112">
        <v>247934.67</v>
      </c>
      <c r="I1116" s="113">
        <v>358250.68</v>
      </c>
      <c r="J1116"/>
      <c r="K1116"/>
      <c r="L1116"/>
      <c r="M1116"/>
      <c r="N1116"/>
    </row>
    <row r="1117" spans="1:14" x14ac:dyDescent="0.3">
      <c r="A1117" s="102" t="s">
        <v>1495</v>
      </c>
      <c r="B1117" s="102" t="s">
        <v>2096</v>
      </c>
      <c r="C1117" s="107" t="s">
        <v>55</v>
      </c>
      <c r="D1117" s="102">
        <v>4</v>
      </c>
      <c r="E1117" s="111">
        <v>131.99</v>
      </c>
      <c r="F1117" s="112">
        <v>7170.95</v>
      </c>
      <c r="G1117" s="112">
        <v>2971.06</v>
      </c>
      <c r="H1117" s="112">
        <v>17646.810000000001</v>
      </c>
      <c r="I1117" s="113">
        <v>27920.81</v>
      </c>
      <c r="J1117"/>
      <c r="K1117"/>
      <c r="L1117"/>
      <c r="M1117"/>
      <c r="N1117"/>
    </row>
    <row r="1118" spans="1:14" x14ac:dyDescent="0.3">
      <c r="A1118" s="102" t="s">
        <v>1496</v>
      </c>
      <c r="B1118" s="102" t="s">
        <v>2518</v>
      </c>
      <c r="C1118" s="107" t="s">
        <v>55</v>
      </c>
      <c r="D1118" s="102">
        <v>2</v>
      </c>
      <c r="E1118" s="111">
        <v>0</v>
      </c>
      <c r="F1118" s="112">
        <v>0</v>
      </c>
      <c r="G1118" s="112">
        <v>0</v>
      </c>
      <c r="H1118" s="112">
        <v>0</v>
      </c>
      <c r="I1118" s="113">
        <v>0</v>
      </c>
      <c r="J1118"/>
      <c r="K1118"/>
      <c r="L1118"/>
      <c r="M1118"/>
      <c r="N1118"/>
    </row>
    <row r="1119" spans="1:14" x14ac:dyDescent="0.3">
      <c r="A1119" s="102" t="s">
        <v>56</v>
      </c>
      <c r="B1119" s="102" t="s">
        <v>1497</v>
      </c>
      <c r="C1119" s="107" t="s">
        <v>56</v>
      </c>
      <c r="D1119" s="102">
        <v>1</v>
      </c>
      <c r="E1119" s="111">
        <v>0</v>
      </c>
      <c r="F1119" s="112">
        <v>9948170.3800000008</v>
      </c>
      <c r="G1119" s="112">
        <v>905704.66</v>
      </c>
      <c r="H1119" s="112">
        <v>44681844.090000004</v>
      </c>
      <c r="I1119" s="113">
        <v>55535719.130000003</v>
      </c>
      <c r="J1119"/>
      <c r="K1119"/>
      <c r="L1119"/>
      <c r="M1119"/>
      <c r="N1119"/>
    </row>
    <row r="1120" spans="1:14" x14ac:dyDescent="0.3">
      <c r="A1120" s="102" t="s">
        <v>1498</v>
      </c>
      <c r="B1120" s="102" t="s">
        <v>1499</v>
      </c>
      <c r="C1120" s="107" t="s">
        <v>56</v>
      </c>
      <c r="D1120" s="102">
        <v>2</v>
      </c>
      <c r="E1120" s="111">
        <v>0</v>
      </c>
      <c r="F1120" s="112">
        <v>0</v>
      </c>
      <c r="G1120" s="112">
        <v>0</v>
      </c>
      <c r="H1120" s="112">
        <v>0</v>
      </c>
      <c r="I1120" s="113">
        <v>0</v>
      </c>
      <c r="J1120"/>
      <c r="K1120"/>
      <c r="L1120"/>
      <c r="M1120"/>
      <c r="N1120"/>
    </row>
    <row r="1121" spans="1:14" x14ac:dyDescent="0.3">
      <c r="A1121" s="102" t="s">
        <v>1500</v>
      </c>
      <c r="B1121" s="102" t="s">
        <v>2519</v>
      </c>
      <c r="C1121" s="107" t="s">
        <v>56</v>
      </c>
      <c r="D1121" s="102">
        <v>4</v>
      </c>
      <c r="E1121" s="111">
        <v>0</v>
      </c>
      <c r="F1121" s="112">
        <v>0</v>
      </c>
      <c r="G1121" s="112">
        <v>0</v>
      </c>
      <c r="H1121" s="112">
        <v>0</v>
      </c>
      <c r="I1121" s="113">
        <v>0</v>
      </c>
      <c r="J1121"/>
      <c r="K1121"/>
      <c r="L1121"/>
      <c r="M1121"/>
      <c r="N1121"/>
    </row>
    <row r="1122" spans="1:14" x14ac:dyDescent="0.3">
      <c r="A1122" s="102" t="s">
        <v>1501</v>
      </c>
      <c r="B1122" s="102" t="s">
        <v>1502</v>
      </c>
      <c r="C1122" s="107" t="s">
        <v>56</v>
      </c>
      <c r="D1122" s="102">
        <v>2</v>
      </c>
      <c r="E1122" s="111">
        <v>0</v>
      </c>
      <c r="F1122" s="112">
        <v>9948170.3800000008</v>
      </c>
      <c r="G1122" s="112">
        <v>905704.66</v>
      </c>
      <c r="H1122" s="112">
        <v>44681844.090000004</v>
      </c>
      <c r="I1122" s="113">
        <v>55535719.130000003</v>
      </c>
      <c r="J1122"/>
      <c r="K1122"/>
      <c r="L1122"/>
      <c r="M1122"/>
      <c r="N1122"/>
    </row>
    <row r="1123" spans="1:14" x14ac:dyDescent="0.3">
      <c r="A1123" s="102" t="s">
        <v>1503</v>
      </c>
      <c r="B1123" s="102" t="s">
        <v>2501</v>
      </c>
      <c r="C1123" s="107" t="s">
        <v>56</v>
      </c>
      <c r="D1123" s="102">
        <v>4</v>
      </c>
      <c r="E1123" s="111">
        <v>0</v>
      </c>
      <c r="F1123" s="112">
        <v>0</v>
      </c>
      <c r="G1123" s="112">
        <v>0</v>
      </c>
      <c r="H1123" s="112">
        <v>0</v>
      </c>
      <c r="I1123" s="113">
        <v>0</v>
      </c>
      <c r="J1123"/>
      <c r="K1123"/>
      <c r="L1123"/>
      <c r="M1123"/>
      <c r="N1123"/>
    </row>
    <row r="1124" spans="1:14" x14ac:dyDescent="0.3">
      <c r="A1124" s="102" t="s">
        <v>1504</v>
      </c>
      <c r="B1124" s="102" t="s">
        <v>2520</v>
      </c>
      <c r="C1124" s="107" t="s">
        <v>56</v>
      </c>
      <c r="D1124" s="102">
        <v>6</v>
      </c>
      <c r="E1124" s="111">
        <v>0</v>
      </c>
      <c r="F1124" s="112">
        <v>0</v>
      </c>
      <c r="G1124" s="112">
        <v>0</v>
      </c>
      <c r="H1124" s="112">
        <v>0</v>
      </c>
      <c r="I1124" s="113">
        <v>0</v>
      </c>
      <c r="J1124"/>
      <c r="K1124"/>
      <c r="L1124"/>
      <c r="M1124"/>
      <c r="N1124"/>
    </row>
    <row r="1125" spans="1:14" x14ac:dyDescent="0.3">
      <c r="A1125" s="102" t="s">
        <v>1505</v>
      </c>
      <c r="B1125" s="102" t="s">
        <v>2521</v>
      </c>
      <c r="C1125" s="107" t="s">
        <v>56</v>
      </c>
      <c r="D1125" s="102">
        <v>6</v>
      </c>
      <c r="E1125" s="111">
        <v>0</v>
      </c>
      <c r="F1125" s="112">
        <v>0</v>
      </c>
      <c r="G1125" s="112">
        <v>0</v>
      </c>
      <c r="H1125" s="112">
        <v>0</v>
      </c>
      <c r="I1125" s="113">
        <v>0</v>
      </c>
      <c r="J1125"/>
      <c r="K1125"/>
      <c r="L1125"/>
      <c r="M1125"/>
      <c r="N1125"/>
    </row>
    <row r="1126" spans="1:14" x14ac:dyDescent="0.3">
      <c r="A1126" s="102" t="s">
        <v>1506</v>
      </c>
      <c r="B1126" s="102" t="s">
        <v>2522</v>
      </c>
      <c r="C1126" s="107" t="s">
        <v>56</v>
      </c>
      <c r="D1126" s="102">
        <v>4</v>
      </c>
      <c r="E1126" s="111">
        <v>0</v>
      </c>
      <c r="F1126" s="112">
        <v>0</v>
      </c>
      <c r="G1126" s="112">
        <v>0</v>
      </c>
      <c r="H1126" s="112">
        <v>551563.5</v>
      </c>
      <c r="I1126" s="113">
        <v>551563.5</v>
      </c>
      <c r="J1126"/>
      <c r="K1126"/>
      <c r="L1126"/>
      <c r="M1126"/>
      <c r="N1126"/>
    </row>
    <row r="1127" spans="1:14" x14ac:dyDescent="0.3">
      <c r="A1127" s="102" t="s">
        <v>1507</v>
      </c>
      <c r="B1127" s="102" t="s">
        <v>2523</v>
      </c>
      <c r="C1127" s="107" t="s">
        <v>56</v>
      </c>
      <c r="D1127" s="102">
        <v>6</v>
      </c>
      <c r="E1127" s="111">
        <v>0</v>
      </c>
      <c r="F1127" s="112">
        <v>0</v>
      </c>
      <c r="G1127" s="112">
        <v>0</v>
      </c>
      <c r="H1127" s="112">
        <v>0</v>
      </c>
      <c r="I1127" s="113">
        <v>0</v>
      </c>
      <c r="J1127"/>
      <c r="K1127"/>
      <c r="L1127"/>
      <c r="M1127"/>
      <c r="N1127"/>
    </row>
    <row r="1128" spans="1:14" x14ac:dyDescent="0.3">
      <c r="A1128" s="102" t="s">
        <v>1508</v>
      </c>
      <c r="B1128" s="102" t="s">
        <v>2524</v>
      </c>
      <c r="C1128" s="107" t="s">
        <v>56</v>
      </c>
      <c r="D1128" s="102">
        <v>6</v>
      </c>
      <c r="E1128" s="111">
        <v>0</v>
      </c>
      <c r="F1128" s="112">
        <v>0</v>
      </c>
      <c r="G1128" s="112">
        <v>0</v>
      </c>
      <c r="H1128" s="112">
        <v>0</v>
      </c>
      <c r="I1128" s="113">
        <v>0</v>
      </c>
      <c r="J1128"/>
      <c r="K1128"/>
      <c r="L1128"/>
      <c r="M1128"/>
      <c r="N1128"/>
    </row>
    <row r="1129" spans="1:14" x14ac:dyDescent="0.3">
      <c r="A1129" s="102" t="s">
        <v>1509</v>
      </c>
      <c r="B1129" s="102" t="s">
        <v>2525</v>
      </c>
      <c r="C1129" s="107" t="s">
        <v>56</v>
      </c>
      <c r="D1129" s="102">
        <v>6</v>
      </c>
      <c r="E1129" s="111">
        <v>0</v>
      </c>
      <c r="F1129" s="112">
        <v>0</v>
      </c>
      <c r="G1129" s="112">
        <v>0</v>
      </c>
      <c r="H1129" s="112">
        <v>0</v>
      </c>
      <c r="I1129" s="113">
        <v>0</v>
      </c>
      <c r="J1129"/>
      <c r="K1129"/>
      <c r="L1129"/>
      <c r="M1129"/>
      <c r="N1129"/>
    </row>
    <row r="1130" spans="1:14" x14ac:dyDescent="0.3">
      <c r="A1130" s="102" t="s">
        <v>1510</v>
      </c>
      <c r="B1130" s="102" t="s">
        <v>2217</v>
      </c>
      <c r="C1130" s="107" t="s">
        <v>56</v>
      </c>
      <c r="D1130" s="102">
        <v>6</v>
      </c>
      <c r="E1130" s="111">
        <v>0</v>
      </c>
      <c r="F1130" s="112">
        <v>0</v>
      </c>
      <c r="G1130" s="112">
        <v>0</v>
      </c>
      <c r="H1130" s="112">
        <v>551563.5</v>
      </c>
      <c r="I1130" s="113">
        <v>551563.5</v>
      </c>
      <c r="J1130"/>
      <c r="K1130"/>
      <c r="L1130"/>
      <c r="M1130"/>
      <c r="N1130"/>
    </row>
    <row r="1131" spans="1:14" x14ac:dyDescent="0.3">
      <c r="A1131" s="102" t="s">
        <v>1511</v>
      </c>
      <c r="B1131" s="102" t="s">
        <v>2503</v>
      </c>
      <c r="C1131" s="107" t="s">
        <v>56</v>
      </c>
      <c r="D1131" s="102">
        <v>4</v>
      </c>
      <c r="E1131" s="111">
        <v>0</v>
      </c>
      <c r="F1131" s="112">
        <v>0</v>
      </c>
      <c r="G1131" s="112">
        <v>0</v>
      </c>
      <c r="H1131" s="112">
        <v>0</v>
      </c>
      <c r="I1131" s="113">
        <v>0</v>
      </c>
      <c r="J1131"/>
      <c r="K1131"/>
      <c r="L1131"/>
      <c r="M1131"/>
      <c r="N1131"/>
    </row>
    <row r="1132" spans="1:14" x14ac:dyDescent="0.3">
      <c r="A1132" s="102" t="s">
        <v>1512</v>
      </c>
      <c r="B1132" s="102" t="s">
        <v>2526</v>
      </c>
      <c r="C1132" s="107" t="s">
        <v>56</v>
      </c>
      <c r="D1132" s="102">
        <v>6</v>
      </c>
      <c r="E1132" s="111">
        <v>0</v>
      </c>
      <c r="F1132" s="112">
        <v>0</v>
      </c>
      <c r="G1132" s="112">
        <v>0</v>
      </c>
      <c r="H1132" s="112">
        <v>0</v>
      </c>
      <c r="I1132" s="113">
        <v>0</v>
      </c>
      <c r="J1132"/>
      <c r="K1132"/>
      <c r="L1132"/>
      <c r="M1132"/>
      <c r="N1132"/>
    </row>
    <row r="1133" spans="1:14" x14ac:dyDescent="0.3">
      <c r="A1133" s="102" t="s">
        <v>1513</v>
      </c>
      <c r="B1133" s="102" t="s">
        <v>2527</v>
      </c>
      <c r="C1133" s="107" t="s">
        <v>56</v>
      </c>
      <c r="D1133" s="102">
        <v>6</v>
      </c>
      <c r="E1133" s="111">
        <v>0</v>
      </c>
      <c r="F1133" s="112">
        <v>0</v>
      </c>
      <c r="G1133" s="112">
        <v>0</v>
      </c>
      <c r="H1133" s="112">
        <v>0</v>
      </c>
      <c r="I1133" s="113">
        <v>0</v>
      </c>
      <c r="J1133"/>
      <c r="K1133"/>
      <c r="L1133"/>
      <c r="M1133"/>
      <c r="N1133"/>
    </row>
    <row r="1134" spans="1:14" x14ac:dyDescent="0.3">
      <c r="A1134" s="102" t="s">
        <v>1514</v>
      </c>
      <c r="B1134" s="102" t="s">
        <v>2528</v>
      </c>
      <c r="C1134" s="107" t="s">
        <v>56</v>
      </c>
      <c r="D1134" s="102">
        <v>6</v>
      </c>
      <c r="E1134" s="111">
        <v>0</v>
      </c>
      <c r="F1134" s="112">
        <v>0</v>
      </c>
      <c r="G1134" s="112">
        <v>0</v>
      </c>
      <c r="H1134" s="112">
        <v>0</v>
      </c>
      <c r="I1134" s="113">
        <v>0</v>
      </c>
      <c r="J1134"/>
      <c r="K1134"/>
      <c r="L1134"/>
      <c r="M1134"/>
      <c r="N1134"/>
    </row>
    <row r="1135" spans="1:14" x14ac:dyDescent="0.3">
      <c r="A1135" s="102" t="s">
        <v>1515</v>
      </c>
      <c r="B1135" s="102" t="s">
        <v>2529</v>
      </c>
      <c r="C1135" s="107" t="s">
        <v>56</v>
      </c>
      <c r="D1135" s="102">
        <v>4</v>
      </c>
      <c r="E1135" s="111">
        <v>0</v>
      </c>
      <c r="F1135" s="112">
        <v>9948170.3800000008</v>
      </c>
      <c r="G1135" s="112">
        <v>905704.66</v>
      </c>
      <c r="H1135" s="112">
        <v>41121927.460000001</v>
      </c>
      <c r="I1135" s="113">
        <v>51975802.5</v>
      </c>
      <c r="J1135"/>
      <c r="K1135"/>
      <c r="L1135"/>
      <c r="M1135"/>
      <c r="N1135"/>
    </row>
    <row r="1136" spans="1:14" x14ac:dyDescent="0.3">
      <c r="A1136" s="102" t="s">
        <v>1516</v>
      </c>
      <c r="B1136" s="102" t="s">
        <v>2204</v>
      </c>
      <c r="C1136" s="107" t="s">
        <v>56</v>
      </c>
      <c r="D1136" s="102">
        <v>6</v>
      </c>
      <c r="E1136" s="111">
        <v>0</v>
      </c>
      <c r="F1136" s="112">
        <v>40000</v>
      </c>
      <c r="G1136" s="112">
        <v>0</v>
      </c>
      <c r="H1136" s="112">
        <v>1407197.19</v>
      </c>
      <c r="I1136" s="113">
        <v>1447197.19</v>
      </c>
      <c r="J1136"/>
      <c r="K1136"/>
      <c r="L1136"/>
      <c r="M1136"/>
      <c r="N1136"/>
    </row>
    <row r="1137" spans="1:14" x14ac:dyDescent="0.3">
      <c r="A1137" s="102" t="s">
        <v>1517</v>
      </c>
      <c r="B1137" s="102" t="s">
        <v>2205</v>
      </c>
      <c r="C1137" s="107" t="s">
        <v>56</v>
      </c>
      <c r="D1137" s="102">
        <v>6</v>
      </c>
      <c r="E1137" s="111">
        <v>0</v>
      </c>
      <c r="F1137" s="112">
        <v>9274345.3800000008</v>
      </c>
      <c r="G1137" s="112">
        <v>905704.66</v>
      </c>
      <c r="H1137" s="112">
        <v>39240963.869999997</v>
      </c>
      <c r="I1137" s="113">
        <v>49421013.909999996</v>
      </c>
      <c r="J1137"/>
      <c r="K1137"/>
      <c r="L1137"/>
      <c r="M1137"/>
      <c r="N1137"/>
    </row>
    <row r="1138" spans="1:14" x14ac:dyDescent="0.3">
      <c r="A1138" s="102" t="s">
        <v>1518</v>
      </c>
      <c r="B1138" s="102" t="s">
        <v>2206</v>
      </c>
      <c r="C1138" s="107" t="s">
        <v>56</v>
      </c>
      <c r="D1138" s="102">
        <v>6</v>
      </c>
      <c r="E1138" s="111">
        <v>0</v>
      </c>
      <c r="F1138" s="112">
        <v>633825</v>
      </c>
      <c r="G1138" s="112">
        <v>0</v>
      </c>
      <c r="H1138" s="112">
        <v>457003</v>
      </c>
      <c r="I1138" s="113">
        <v>1090828</v>
      </c>
      <c r="J1138"/>
      <c r="K1138"/>
      <c r="L1138"/>
      <c r="M1138"/>
      <c r="N1138"/>
    </row>
    <row r="1139" spans="1:14" x14ac:dyDescent="0.3">
      <c r="A1139" s="102" t="s">
        <v>1519</v>
      </c>
      <c r="B1139" s="102" t="s">
        <v>2207</v>
      </c>
      <c r="C1139" s="107" t="s">
        <v>56</v>
      </c>
      <c r="D1139" s="102">
        <v>6</v>
      </c>
      <c r="E1139" s="111">
        <v>0</v>
      </c>
      <c r="F1139" s="112">
        <v>0</v>
      </c>
      <c r="G1139" s="112">
        <v>0</v>
      </c>
      <c r="H1139" s="112">
        <v>0</v>
      </c>
      <c r="I1139" s="113">
        <v>0</v>
      </c>
      <c r="J1139"/>
      <c r="K1139"/>
      <c r="L1139"/>
      <c r="M1139"/>
      <c r="N1139"/>
    </row>
    <row r="1140" spans="1:14" x14ac:dyDescent="0.3">
      <c r="A1140" s="102" t="s">
        <v>1520</v>
      </c>
      <c r="B1140" s="102" t="s">
        <v>2208</v>
      </c>
      <c r="C1140" s="107" t="s">
        <v>56</v>
      </c>
      <c r="D1140" s="102">
        <v>6</v>
      </c>
      <c r="E1140" s="111">
        <v>0</v>
      </c>
      <c r="F1140" s="112">
        <v>0</v>
      </c>
      <c r="G1140" s="112">
        <v>0</v>
      </c>
      <c r="H1140" s="112">
        <v>0</v>
      </c>
      <c r="I1140" s="113">
        <v>0</v>
      </c>
      <c r="J1140"/>
      <c r="K1140"/>
      <c r="L1140"/>
      <c r="M1140"/>
      <c r="N1140"/>
    </row>
    <row r="1141" spans="1:14" x14ac:dyDescent="0.3">
      <c r="A1141" s="102" t="s">
        <v>1521</v>
      </c>
      <c r="B1141" s="102" t="s">
        <v>2209</v>
      </c>
      <c r="C1141" s="107" t="s">
        <v>56</v>
      </c>
      <c r="D1141" s="102">
        <v>6</v>
      </c>
      <c r="E1141" s="111">
        <v>0</v>
      </c>
      <c r="F1141" s="112">
        <v>0</v>
      </c>
      <c r="G1141" s="112">
        <v>0</v>
      </c>
      <c r="H1141" s="112">
        <v>0</v>
      </c>
      <c r="I1141" s="113">
        <v>0</v>
      </c>
      <c r="J1141"/>
      <c r="K1141"/>
      <c r="L1141"/>
      <c r="M1141"/>
      <c r="N1141"/>
    </row>
    <row r="1142" spans="1:14" x14ac:dyDescent="0.3">
      <c r="A1142" s="102" t="s">
        <v>1522</v>
      </c>
      <c r="B1142" s="102" t="s">
        <v>2210</v>
      </c>
      <c r="C1142" s="107" t="s">
        <v>56</v>
      </c>
      <c r="D1142" s="102">
        <v>6</v>
      </c>
      <c r="E1142" s="111">
        <v>0</v>
      </c>
      <c r="F1142" s="112">
        <v>0</v>
      </c>
      <c r="G1142" s="112">
        <v>0</v>
      </c>
      <c r="H1142" s="112">
        <v>16763.400000000001</v>
      </c>
      <c r="I1142" s="113">
        <v>16763.400000000001</v>
      </c>
      <c r="J1142"/>
      <c r="K1142"/>
      <c r="L1142"/>
      <c r="M1142"/>
      <c r="N1142"/>
    </row>
    <row r="1143" spans="1:14" x14ac:dyDescent="0.3">
      <c r="A1143" s="102" t="s">
        <v>1523</v>
      </c>
      <c r="B1143" s="102" t="s">
        <v>2211</v>
      </c>
      <c r="C1143" s="107" t="s">
        <v>56</v>
      </c>
      <c r="D1143" s="102">
        <v>6</v>
      </c>
      <c r="E1143" s="111">
        <v>0</v>
      </c>
      <c r="F1143" s="112">
        <v>0</v>
      </c>
      <c r="G1143" s="112">
        <v>0</v>
      </c>
      <c r="H1143" s="112">
        <v>0</v>
      </c>
      <c r="I1143" s="113">
        <v>0</v>
      </c>
      <c r="J1143"/>
      <c r="K1143"/>
      <c r="L1143"/>
      <c r="M1143"/>
      <c r="N1143"/>
    </row>
    <row r="1144" spans="1:14" x14ac:dyDescent="0.3">
      <c r="A1144" s="102" t="s">
        <v>1524</v>
      </c>
      <c r="B1144" s="102" t="s">
        <v>2530</v>
      </c>
      <c r="C1144" s="107" t="s">
        <v>56</v>
      </c>
      <c r="D1144" s="102">
        <v>4</v>
      </c>
      <c r="E1144" s="111">
        <v>0</v>
      </c>
      <c r="F1144" s="112">
        <v>0</v>
      </c>
      <c r="G1144" s="112">
        <v>0</v>
      </c>
      <c r="H1144" s="112">
        <v>3008353.13</v>
      </c>
      <c r="I1144" s="113">
        <v>3008353.13</v>
      </c>
      <c r="J1144"/>
      <c r="K1144"/>
      <c r="L1144"/>
      <c r="M1144"/>
      <c r="N1144"/>
    </row>
    <row r="1145" spans="1:14" x14ac:dyDescent="0.3">
      <c r="A1145" s="102" t="s">
        <v>1525</v>
      </c>
      <c r="B1145" s="102" t="s">
        <v>2531</v>
      </c>
      <c r="C1145" s="107" t="s">
        <v>56</v>
      </c>
      <c r="D1145" s="102">
        <v>6</v>
      </c>
      <c r="E1145" s="111">
        <v>0</v>
      </c>
      <c r="F1145" s="112">
        <v>0</v>
      </c>
      <c r="G1145" s="112">
        <v>0</v>
      </c>
      <c r="H1145" s="112">
        <v>3008353.13</v>
      </c>
      <c r="I1145" s="113">
        <v>3008353.13</v>
      </c>
      <c r="J1145"/>
      <c r="K1145"/>
      <c r="L1145"/>
      <c r="M1145"/>
      <c r="N1145"/>
    </row>
    <row r="1146" spans="1:14" x14ac:dyDescent="0.3">
      <c r="A1146" s="102" t="s">
        <v>1526</v>
      </c>
      <c r="B1146" s="102" t="s">
        <v>2532</v>
      </c>
      <c r="C1146" s="107" t="s">
        <v>56</v>
      </c>
      <c r="D1146" s="102">
        <v>6</v>
      </c>
      <c r="E1146" s="111">
        <v>0</v>
      </c>
      <c r="F1146" s="112">
        <v>0</v>
      </c>
      <c r="G1146" s="112">
        <v>0</v>
      </c>
      <c r="H1146" s="112">
        <v>0</v>
      </c>
      <c r="I1146" s="113">
        <v>0</v>
      </c>
      <c r="J1146"/>
      <c r="K1146"/>
      <c r="L1146"/>
      <c r="M1146"/>
      <c r="N1146"/>
    </row>
    <row r="1147" spans="1:14" x14ac:dyDescent="0.3">
      <c r="A1147" s="102" t="s">
        <v>1527</v>
      </c>
      <c r="B1147" s="102" t="s">
        <v>2533</v>
      </c>
      <c r="C1147" s="107" t="s">
        <v>56</v>
      </c>
      <c r="D1147" s="102">
        <v>6</v>
      </c>
      <c r="E1147" s="111">
        <v>0</v>
      </c>
      <c r="F1147" s="112">
        <v>0</v>
      </c>
      <c r="G1147" s="112">
        <v>0</v>
      </c>
      <c r="H1147" s="112">
        <v>0</v>
      </c>
      <c r="I1147" s="113">
        <v>0</v>
      </c>
      <c r="J1147"/>
      <c r="K1147"/>
      <c r="L1147"/>
      <c r="M1147"/>
      <c r="N1147"/>
    </row>
    <row r="1148" spans="1:14" x14ac:dyDescent="0.3">
      <c r="A1148" s="102" t="s">
        <v>1528</v>
      </c>
      <c r="B1148" s="102" t="s">
        <v>1529</v>
      </c>
      <c r="C1148" s="107" t="s">
        <v>1528</v>
      </c>
      <c r="D1148" s="102">
        <v>1</v>
      </c>
      <c r="E1148" s="111">
        <v>82032738.819999993</v>
      </c>
      <c r="F1148" s="112">
        <v>601601930.37</v>
      </c>
      <c r="G1148" s="112">
        <v>97633307.480000004</v>
      </c>
      <c r="H1148" s="112">
        <v>1012961356.27</v>
      </c>
      <c r="I1148" s="113">
        <v>1794229332.9399998</v>
      </c>
      <c r="J1148"/>
      <c r="K1148"/>
      <c r="L1148"/>
      <c r="M1148"/>
      <c r="N1148"/>
    </row>
    <row r="1149" spans="1:14" x14ac:dyDescent="0.3">
      <c r="A1149" s="102" t="s">
        <v>1530</v>
      </c>
      <c r="B1149" s="102" t="s">
        <v>1531</v>
      </c>
      <c r="C1149" s="107" t="s">
        <v>1528</v>
      </c>
      <c r="D1149" s="102">
        <v>2</v>
      </c>
      <c r="E1149" s="111">
        <v>6772785.1799999997</v>
      </c>
      <c r="F1149" s="112">
        <v>17729164.010000002</v>
      </c>
      <c r="G1149" s="112">
        <v>7373114.4000000004</v>
      </c>
      <c r="H1149" s="112">
        <v>47627618.32</v>
      </c>
      <c r="I1149" s="113">
        <v>79502681.909999996</v>
      </c>
      <c r="J1149"/>
      <c r="K1149"/>
      <c r="L1149"/>
      <c r="M1149"/>
      <c r="N1149"/>
    </row>
    <row r="1150" spans="1:14" x14ac:dyDescent="0.3">
      <c r="A1150" s="102" t="s">
        <v>1532</v>
      </c>
      <c r="B1150" s="102" t="s">
        <v>2534</v>
      </c>
      <c r="C1150" s="107" t="s">
        <v>1528</v>
      </c>
      <c r="D1150" s="102">
        <v>4</v>
      </c>
      <c r="E1150" s="111">
        <v>0</v>
      </c>
      <c r="F1150" s="112">
        <v>153022.54</v>
      </c>
      <c r="G1150" s="112">
        <v>0</v>
      </c>
      <c r="H1150" s="112">
        <v>1105178.67</v>
      </c>
      <c r="I1150" s="113">
        <v>1258201.21</v>
      </c>
      <c r="J1150"/>
      <c r="K1150"/>
      <c r="L1150"/>
      <c r="M1150"/>
      <c r="N1150"/>
    </row>
    <row r="1151" spans="1:14" x14ac:dyDescent="0.3">
      <c r="A1151" s="102" t="s">
        <v>1533</v>
      </c>
      <c r="B1151" s="102" t="s">
        <v>2535</v>
      </c>
      <c r="C1151" s="107" t="s">
        <v>1528</v>
      </c>
      <c r="D1151" s="102">
        <v>6</v>
      </c>
      <c r="E1151" s="111">
        <v>0</v>
      </c>
      <c r="F1151" s="112">
        <v>0</v>
      </c>
      <c r="G1151" s="112">
        <v>0</v>
      </c>
      <c r="H1151" s="112">
        <v>0</v>
      </c>
      <c r="I1151" s="113">
        <v>0</v>
      </c>
      <c r="J1151"/>
      <c r="K1151"/>
      <c r="L1151"/>
      <c r="M1151"/>
      <c r="N1151"/>
    </row>
    <row r="1152" spans="1:14" x14ac:dyDescent="0.3">
      <c r="A1152" s="102" t="s">
        <v>1534</v>
      </c>
      <c r="B1152" s="102" t="s">
        <v>2536</v>
      </c>
      <c r="C1152" s="107" t="s">
        <v>1528</v>
      </c>
      <c r="D1152" s="102">
        <v>6</v>
      </c>
      <c r="E1152" s="111">
        <v>0</v>
      </c>
      <c r="F1152" s="112">
        <v>0</v>
      </c>
      <c r="G1152" s="112">
        <v>0</v>
      </c>
      <c r="H1152" s="112">
        <v>0</v>
      </c>
      <c r="I1152" s="113">
        <v>0</v>
      </c>
      <c r="J1152"/>
      <c r="K1152"/>
      <c r="L1152"/>
      <c r="M1152"/>
      <c r="N1152"/>
    </row>
    <row r="1153" spans="1:14" x14ac:dyDescent="0.3">
      <c r="A1153" s="102" t="s">
        <v>2003</v>
      </c>
      <c r="B1153" s="102" t="s">
        <v>2537</v>
      </c>
      <c r="C1153" s="107" t="s">
        <v>1528</v>
      </c>
      <c r="D1153" s="102">
        <v>6</v>
      </c>
      <c r="E1153" s="111">
        <v>0</v>
      </c>
      <c r="F1153" s="112">
        <v>0</v>
      </c>
      <c r="G1153" s="112">
        <v>0</v>
      </c>
      <c r="H1153" s="112">
        <v>1105178.67</v>
      </c>
      <c r="I1153" s="113">
        <v>1105178.67</v>
      </c>
      <c r="J1153"/>
      <c r="K1153"/>
      <c r="L1153"/>
      <c r="M1153"/>
      <c r="N1153"/>
    </row>
    <row r="1154" spans="1:14" x14ac:dyDescent="0.3">
      <c r="A1154" s="102" t="s">
        <v>2002</v>
      </c>
      <c r="B1154" s="102" t="s">
        <v>2538</v>
      </c>
      <c r="C1154" s="107" t="s">
        <v>1528</v>
      </c>
      <c r="D1154" s="102">
        <v>6</v>
      </c>
      <c r="E1154" s="111">
        <v>0</v>
      </c>
      <c r="F1154" s="112">
        <v>0</v>
      </c>
      <c r="G1154" s="112">
        <v>0</v>
      </c>
      <c r="H1154" s="112">
        <v>0</v>
      </c>
      <c r="I1154" s="113">
        <v>0</v>
      </c>
      <c r="J1154"/>
      <c r="K1154"/>
      <c r="L1154"/>
      <c r="M1154"/>
      <c r="N1154"/>
    </row>
    <row r="1155" spans="1:14" x14ac:dyDescent="0.3">
      <c r="A1155" s="102" t="s">
        <v>2001</v>
      </c>
      <c r="B1155" s="102" t="s">
        <v>2539</v>
      </c>
      <c r="C1155" s="107" t="s">
        <v>1528</v>
      </c>
      <c r="D1155" s="102">
        <v>6</v>
      </c>
      <c r="E1155" s="111">
        <v>0</v>
      </c>
      <c r="F1155" s="112">
        <v>0</v>
      </c>
      <c r="G1155" s="112">
        <v>0</v>
      </c>
      <c r="H1155" s="112">
        <v>0</v>
      </c>
      <c r="I1155" s="113">
        <v>0</v>
      </c>
      <c r="J1155"/>
      <c r="K1155"/>
      <c r="L1155"/>
      <c r="M1155"/>
      <c r="N1155"/>
    </row>
    <row r="1156" spans="1:14" x14ac:dyDescent="0.3">
      <c r="A1156" s="102" t="s">
        <v>1535</v>
      </c>
      <c r="B1156" s="102" t="s">
        <v>2096</v>
      </c>
      <c r="C1156" s="107" t="s">
        <v>1528</v>
      </c>
      <c r="D1156" s="102">
        <v>6</v>
      </c>
      <c r="E1156" s="111">
        <v>0</v>
      </c>
      <c r="F1156" s="112">
        <v>153022.54</v>
      </c>
      <c r="G1156" s="112">
        <v>0</v>
      </c>
      <c r="H1156" s="112">
        <v>0</v>
      </c>
      <c r="I1156" s="113">
        <v>153022.54</v>
      </c>
      <c r="J1156"/>
      <c r="K1156"/>
      <c r="L1156"/>
      <c r="M1156"/>
      <c r="N1156"/>
    </row>
    <row r="1157" spans="1:14" x14ac:dyDescent="0.3">
      <c r="A1157" s="102" t="s">
        <v>1536</v>
      </c>
      <c r="B1157" s="102" t="s">
        <v>2540</v>
      </c>
      <c r="C1157" s="107" t="s">
        <v>1528</v>
      </c>
      <c r="D1157" s="102">
        <v>4</v>
      </c>
      <c r="E1157" s="111">
        <v>0</v>
      </c>
      <c r="F1157" s="112">
        <v>316515.78999999998</v>
      </c>
      <c r="G1157" s="112">
        <v>0</v>
      </c>
      <c r="H1157" s="112">
        <v>11973270.960000001</v>
      </c>
      <c r="I1157" s="113">
        <v>12289786.75</v>
      </c>
      <c r="J1157"/>
      <c r="K1157"/>
      <c r="L1157"/>
      <c r="M1157"/>
      <c r="N1157"/>
    </row>
    <row r="1158" spans="1:14" x14ac:dyDescent="0.3">
      <c r="A1158" s="102" t="s">
        <v>1537</v>
      </c>
      <c r="B1158" s="102" t="s">
        <v>2541</v>
      </c>
      <c r="C1158" s="107" t="s">
        <v>1528</v>
      </c>
      <c r="D1158" s="102">
        <v>6</v>
      </c>
      <c r="E1158" s="111">
        <v>0</v>
      </c>
      <c r="F1158" s="112">
        <v>0</v>
      </c>
      <c r="G1158" s="112">
        <v>0</v>
      </c>
      <c r="H1158" s="112">
        <v>0</v>
      </c>
      <c r="I1158" s="113">
        <v>0</v>
      </c>
      <c r="J1158"/>
      <c r="K1158"/>
      <c r="L1158"/>
      <c r="M1158"/>
      <c r="N1158"/>
    </row>
    <row r="1159" spans="1:14" x14ac:dyDescent="0.3">
      <c r="A1159" s="102" t="s">
        <v>1538</v>
      </c>
      <c r="B1159" s="102" t="s">
        <v>2542</v>
      </c>
      <c r="C1159" s="107" t="s">
        <v>1528</v>
      </c>
      <c r="D1159" s="102">
        <v>6</v>
      </c>
      <c r="E1159" s="111">
        <v>0</v>
      </c>
      <c r="F1159" s="112">
        <v>0</v>
      </c>
      <c r="G1159" s="112">
        <v>0</v>
      </c>
      <c r="H1159" s="112">
        <v>0</v>
      </c>
      <c r="I1159" s="113">
        <v>0</v>
      </c>
      <c r="J1159"/>
      <c r="K1159"/>
      <c r="L1159"/>
      <c r="M1159"/>
      <c r="N1159"/>
    </row>
    <row r="1160" spans="1:14" x14ac:dyDescent="0.3">
      <c r="A1160" s="102" t="s">
        <v>1539</v>
      </c>
      <c r="B1160" s="102" t="s">
        <v>2543</v>
      </c>
      <c r="C1160" s="107" t="s">
        <v>1528</v>
      </c>
      <c r="D1160" s="102">
        <v>6</v>
      </c>
      <c r="E1160" s="111">
        <v>0</v>
      </c>
      <c r="F1160" s="112">
        <v>0</v>
      </c>
      <c r="G1160" s="112">
        <v>0</v>
      </c>
      <c r="H1160" s="112">
        <v>0</v>
      </c>
      <c r="I1160" s="113">
        <v>0</v>
      </c>
      <c r="J1160"/>
      <c r="K1160"/>
      <c r="L1160"/>
      <c r="M1160"/>
      <c r="N1160"/>
    </row>
    <row r="1161" spans="1:14" x14ac:dyDescent="0.3">
      <c r="A1161" s="102" t="s">
        <v>1540</v>
      </c>
      <c r="B1161" s="102" t="s">
        <v>2544</v>
      </c>
      <c r="C1161" s="107" t="s">
        <v>1528</v>
      </c>
      <c r="D1161" s="102">
        <v>6</v>
      </c>
      <c r="E1161" s="111">
        <v>0</v>
      </c>
      <c r="F1161" s="112">
        <v>316515.78999999998</v>
      </c>
      <c r="G1161" s="112">
        <v>0</v>
      </c>
      <c r="H1161" s="112">
        <v>0</v>
      </c>
      <c r="I1161" s="113">
        <v>316515.78999999998</v>
      </c>
      <c r="J1161"/>
      <c r="K1161"/>
      <c r="L1161"/>
      <c r="M1161"/>
      <c r="N1161"/>
    </row>
    <row r="1162" spans="1:14" x14ac:dyDescent="0.3">
      <c r="A1162" s="102" t="s">
        <v>1541</v>
      </c>
      <c r="B1162" s="102" t="s">
        <v>2204</v>
      </c>
      <c r="C1162" s="107" t="s">
        <v>1528</v>
      </c>
      <c r="D1162" s="102">
        <v>6</v>
      </c>
      <c r="E1162" s="111">
        <v>0</v>
      </c>
      <c r="F1162" s="112">
        <v>0</v>
      </c>
      <c r="G1162" s="112">
        <v>0</v>
      </c>
      <c r="H1162" s="112">
        <v>0</v>
      </c>
      <c r="I1162" s="113">
        <v>0</v>
      </c>
      <c r="J1162"/>
      <c r="K1162"/>
      <c r="L1162"/>
      <c r="M1162"/>
      <c r="N1162"/>
    </row>
    <row r="1163" spans="1:14" x14ac:dyDescent="0.3">
      <c r="A1163" s="102" t="s">
        <v>1542</v>
      </c>
      <c r="B1163" s="102" t="s">
        <v>2205</v>
      </c>
      <c r="C1163" s="107" t="s">
        <v>1528</v>
      </c>
      <c r="D1163" s="102">
        <v>6</v>
      </c>
      <c r="E1163" s="111">
        <v>0</v>
      </c>
      <c r="F1163" s="112">
        <v>0</v>
      </c>
      <c r="G1163" s="112">
        <v>0</v>
      </c>
      <c r="H1163" s="112">
        <v>0</v>
      </c>
      <c r="I1163" s="113">
        <v>0</v>
      </c>
      <c r="J1163"/>
      <c r="K1163"/>
      <c r="L1163"/>
      <c r="M1163"/>
      <c r="N1163"/>
    </row>
    <row r="1164" spans="1:14" x14ac:dyDescent="0.3">
      <c r="A1164" s="102" t="s">
        <v>1543</v>
      </c>
      <c r="B1164" s="102" t="s">
        <v>2206</v>
      </c>
      <c r="C1164" s="107" t="s">
        <v>1528</v>
      </c>
      <c r="D1164" s="102">
        <v>6</v>
      </c>
      <c r="E1164" s="111">
        <v>0</v>
      </c>
      <c r="F1164" s="112">
        <v>0</v>
      </c>
      <c r="G1164" s="112">
        <v>0</v>
      </c>
      <c r="H1164" s="112">
        <v>11973270.960000001</v>
      </c>
      <c r="I1164" s="113">
        <v>11973270.960000001</v>
      </c>
      <c r="J1164"/>
      <c r="K1164"/>
      <c r="L1164"/>
      <c r="M1164"/>
      <c r="N1164"/>
    </row>
    <row r="1165" spans="1:14" x14ac:dyDescent="0.3">
      <c r="A1165" s="102" t="s">
        <v>1544</v>
      </c>
      <c r="B1165" s="102" t="s">
        <v>2207</v>
      </c>
      <c r="C1165" s="107" t="s">
        <v>1528</v>
      </c>
      <c r="D1165" s="102">
        <v>6</v>
      </c>
      <c r="E1165" s="111">
        <v>0</v>
      </c>
      <c r="F1165" s="112">
        <v>0</v>
      </c>
      <c r="G1165" s="112">
        <v>0</v>
      </c>
      <c r="H1165" s="112">
        <v>0</v>
      </c>
      <c r="I1165" s="113">
        <v>0</v>
      </c>
      <c r="J1165"/>
      <c r="K1165"/>
      <c r="L1165"/>
      <c r="M1165"/>
      <c r="N1165"/>
    </row>
    <row r="1166" spans="1:14" x14ac:dyDescent="0.3">
      <c r="A1166" s="102" t="s">
        <v>1545</v>
      </c>
      <c r="B1166" s="102" t="s">
        <v>2208</v>
      </c>
      <c r="C1166" s="107" t="s">
        <v>1528</v>
      </c>
      <c r="D1166" s="102">
        <v>6</v>
      </c>
      <c r="E1166" s="111">
        <v>0</v>
      </c>
      <c r="F1166" s="112">
        <v>0</v>
      </c>
      <c r="G1166" s="112">
        <v>0</v>
      </c>
      <c r="H1166" s="112">
        <v>0</v>
      </c>
      <c r="I1166" s="113">
        <v>0</v>
      </c>
      <c r="J1166"/>
      <c r="K1166"/>
      <c r="L1166"/>
      <c r="M1166"/>
      <c r="N1166"/>
    </row>
    <row r="1167" spans="1:14" x14ac:dyDescent="0.3">
      <c r="A1167" s="102" t="s">
        <v>1546</v>
      </c>
      <c r="B1167" s="102" t="s">
        <v>2209</v>
      </c>
      <c r="C1167" s="107" t="s">
        <v>1528</v>
      </c>
      <c r="D1167" s="102">
        <v>6</v>
      </c>
      <c r="E1167" s="111">
        <v>0</v>
      </c>
      <c r="F1167" s="112">
        <v>0</v>
      </c>
      <c r="G1167" s="112">
        <v>0</v>
      </c>
      <c r="H1167" s="112">
        <v>0</v>
      </c>
      <c r="I1167" s="113">
        <v>0</v>
      </c>
      <c r="J1167"/>
      <c r="K1167"/>
      <c r="L1167"/>
      <c r="M1167"/>
      <c r="N1167"/>
    </row>
    <row r="1168" spans="1:14" x14ac:dyDescent="0.3">
      <c r="A1168" s="102" t="s">
        <v>1547</v>
      </c>
      <c r="B1168" s="102" t="s">
        <v>2210</v>
      </c>
      <c r="C1168" s="107" t="s">
        <v>1528</v>
      </c>
      <c r="D1168" s="102">
        <v>6</v>
      </c>
      <c r="E1168" s="111">
        <v>0</v>
      </c>
      <c r="F1168" s="112">
        <v>0</v>
      </c>
      <c r="G1168" s="112">
        <v>0</v>
      </c>
      <c r="H1168" s="112">
        <v>0</v>
      </c>
      <c r="I1168" s="113">
        <v>0</v>
      </c>
      <c r="J1168"/>
      <c r="K1168"/>
      <c r="L1168"/>
      <c r="M1168"/>
      <c r="N1168"/>
    </row>
    <row r="1169" spans="1:14" x14ac:dyDescent="0.3">
      <c r="A1169" s="102" t="s">
        <v>1548</v>
      </c>
      <c r="B1169" s="102" t="s">
        <v>2211</v>
      </c>
      <c r="C1169" s="107" t="s">
        <v>1528</v>
      </c>
      <c r="D1169" s="102">
        <v>6</v>
      </c>
      <c r="E1169" s="111">
        <v>0</v>
      </c>
      <c r="F1169" s="112">
        <v>0</v>
      </c>
      <c r="G1169" s="112">
        <v>0</v>
      </c>
      <c r="H1169" s="112">
        <v>0</v>
      </c>
      <c r="I1169" s="113">
        <v>0</v>
      </c>
      <c r="J1169"/>
      <c r="K1169"/>
      <c r="L1169"/>
      <c r="M1169"/>
      <c r="N1169"/>
    </row>
    <row r="1170" spans="1:14" x14ac:dyDescent="0.3">
      <c r="A1170" s="102" t="s">
        <v>1549</v>
      </c>
      <c r="B1170" s="102" t="s">
        <v>2212</v>
      </c>
      <c r="C1170" s="107" t="s">
        <v>1528</v>
      </c>
      <c r="D1170" s="102">
        <v>6</v>
      </c>
      <c r="E1170" s="111">
        <v>0</v>
      </c>
      <c r="F1170" s="112">
        <v>0</v>
      </c>
      <c r="G1170" s="112">
        <v>0</v>
      </c>
      <c r="H1170" s="112">
        <v>0</v>
      </c>
      <c r="I1170" s="113">
        <v>0</v>
      </c>
      <c r="J1170"/>
      <c r="K1170"/>
      <c r="L1170"/>
      <c r="M1170"/>
      <c r="N1170"/>
    </row>
    <row r="1171" spans="1:14" x14ac:dyDescent="0.3">
      <c r="A1171" s="102" t="s">
        <v>1550</v>
      </c>
      <c r="B1171" s="102" t="s">
        <v>2213</v>
      </c>
      <c r="C1171" s="107" t="s">
        <v>1528</v>
      </c>
      <c r="D1171" s="102">
        <v>6</v>
      </c>
      <c r="E1171" s="111">
        <v>0</v>
      </c>
      <c r="F1171" s="112">
        <v>0</v>
      </c>
      <c r="G1171" s="112">
        <v>0</v>
      </c>
      <c r="H1171" s="112">
        <v>0</v>
      </c>
      <c r="I1171" s="113">
        <v>0</v>
      </c>
      <c r="J1171"/>
      <c r="K1171"/>
      <c r="L1171"/>
      <c r="M1171"/>
      <c r="N1171"/>
    </row>
    <row r="1172" spans="1:14" x14ac:dyDescent="0.3">
      <c r="A1172" s="102" t="s">
        <v>1551</v>
      </c>
      <c r="B1172" s="102" t="s">
        <v>2545</v>
      </c>
      <c r="C1172" s="107" t="s">
        <v>1528</v>
      </c>
      <c r="D1172" s="102">
        <v>6</v>
      </c>
      <c r="E1172" s="111">
        <v>0</v>
      </c>
      <c r="F1172" s="112">
        <v>0</v>
      </c>
      <c r="G1172" s="112">
        <v>0</v>
      </c>
      <c r="H1172" s="112">
        <v>0</v>
      </c>
      <c r="I1172" s="113">
        <v>0</v>
      </c>
      <c r="J1172"/>
      <c r="K1172"/>
      <c r="L1172"/>
      <c r="M1172"/>
      <c r="N1172"/>
    </row>
    <row r="1173" spans="1:14" x14ac:dyDescent="0.3">
      <c r="A1173" s="102" t="s">
        <v>1552</v>
      </c>
      <c r="B1173" s="102" t="s">
        <v>2546</v>
      </c>
      <c r="C1173" s="107" t="s">
        <v>1528</v>
      </c>
      <c r="D1173" s="102">
        <v>6</v>
      </c>
      <c r="E1173" s="111">
        <v>0</v>
      </c>
      <c r="F1173" s="112">
        <v>0</v>
      </c>
      <c r="G1173" s="112">
        <v>0</v>
      </c>
      <c r="H1173" s="112">
        <v>0</v>
      </c>
      <c r="I1173" s="113">
        <v>0</v>
      </c>
      <c r="J1173"/>
      <c r="K1173"/>
      <c r="L1173"/>
      <c r="M1173"/>
      <c r="N1173"/>
    </row>
    <row r="1174" spans="1:14" x14ac:dyDescent="0.3">
      <c r="A1174" s="102" t="s">
        <v>1553</v>
      </c>
      <c r="B1174" s="102" t="s">
        <v>2020</v>
      </c>
      <c r="C1174" s="107" t="s">
        <v>1528</v>
      </c>
      <c r="D1174" s="102">
        <v>6</v>
      </c>
      <c r="E1174" s="111">
        <v>0</v>
      </c>
      <c r="F1174" s="112">
        <v>0</v>
      </c>
      <c r="G1174" s="112">
        <v>0</v>
      </c>
      <c r="H1174" s="112">
        <v>0</v>
      </c>
      <c r="I1174" s="113">
        <v>0</v>
      </c>
      <c r="J1174"/>
      <c r="K1174"/>
      <c r="L1174"/>
      <c r="M1174"/>
      <c r="N1174"/>
    </row>
    <row r="1175" spans="1:14" x14ac:dyDescent="0.3">
      <c r="A1175" s="102" t="s">
        <v>1554</v>
      </c>
      <c r="B1175" s="102" t="s">
        <v>2547</v>
      </c>
      <c r="C1175" s="107" t="s">
        <v>1528</v>
      </c>
      <c r="D1175" s="102">
        <v>4</v>
      </c>
      <c r="E1175" s="111">
        <v>27268.11</v>
      </c>
      <c r="F1175" s="112">
        <v>1488500.38</v>
      </c>
      <c r="G1175" s="112">
        <v>1708315.32</v>
      </c>
      <c r="H1175" s="112">
        <v>7869148.5099999998</v>
      </c>
      <c r="I1175" s="113">
        <v>11093232.32</v>
      </c>
      <c r="J1175"/>
      <c r="K1175"/>
      <c r="L1175"/>
      <c r="M1175"/>
      <c r="N1175"/>
    </row>
    <row r="1176" spans="1:14" x14ac:dyDescent="0.3">
      <c r="A1176" s="102" t="s">
        <v>1555</v>
      </c>
      <c r="B1176" s="102" t="s">
        <v>2018</v>
      </c>
      <c r="C1176" s="107" t="s">
        <v>1528</v>
      </c>
      <c r="D1176" s="102">
        <v>6</v>
      </c>
      <c r="E1176" s="111">
        <v>0</v>
      </c>
      <c r="F1176" s="112">
        <v>0</v>
      </c>
      <c r="G1176" s="112">
        <v>0</v>
      </c>
      <c r="H1176" s="112">
        <v>8849.33</v>
      </c>
      <c r="I1176" s="113">
        <v>8849.33</v>
      </c>
      <c r="J1176"/>
      <c r="K1176"/>
      <c r="L1176"/>
      <c r="M1176"/>
      <c r="N1176"/>
    </row>
    <row r="1177" spans="1:14" x14ac:dyDescent="0.3">
      <c r="A1177" s="102" t="s">
        <v>1556</v>
      </c>
      <c r="B1177" s="102" t="s">
        <v>2100</v>
      </c>
      <c r="C1177" s="107" t="s">
        <v>1528</v>
      </c>
      <c r="D1177" s="102">
        <v>6</v>
      </c>
      <c r="E1177" s="111">
        <v>27268.11</v>
      </c>
      <c r="F1177" s="112">
        <v>1184506.99</v>
      </c>
      <c r="G1177" s="112">
        <v>1669355.93</v>
      </c>
      <c r="H1177" s="112">
        <v>7215146.2800000003</v>
      </c>
      <c r="I1177" s="113">
        <v>10096277.310000001</v>
      </c>
      <c r="J1177"/>
      <c r="K1177"/>
      <c r="L1177"/>
      <c r="M1177"/>
      <c r="N1177"/>
    </row>
    <row r="1178" spans="1:14" x14ac:dyDescent="0.3">
      <c r="A1178" s="102" t="s">
        <v>1557</v>
      </c>
      <c r="B1178" s="102" t="s">
        <v>2194</v>
      </c>
      <c r="C1178" s="107" t="s">
        <v>1528</v>
      </c>
      <c r="D1178" s="102">
        <v>6</v>
      </c>
      <c r="E1178" s="111">
        <v>0</v>
      </c>
      <c r="F1178" s="112">
        <v>0</v>
      </c>
      <c r="G1178" s="112">
        <v>0</v>
      </c>
      <c r="H1178" s="112">
        <v>0</v>
      </c>
      <c r="I1178" s="113">
        <v>0</v>
      </c>
      <c r="J1178"/>
      <c r="K1178"/>
      <c r="L1178"/>
      <c r="M1178"/>
      <c r="N1178"/>
    </row>
    <row r="1179" spans="1:14" x14ac:dyDescent="0.3">
      <c r="A1179" s="102" t="s">
        <v>1558</v>
      </c>
      <c r="B1179" s="102" t="s">
        <v>2019</v>
      </c>
      <c r="C1179" s="107" t="s">
        <v>1528</v>
      </c>
      <c r="D1179" s="102">
        <v>6</v>
      </c>
      <c r="E1179" s="111">
        <v>0</v>
      </c>
      <c r="F1179" s="112">
        <v>303840.39</v>
      </c>
      <c r="G1179" s="112">
        <v>38959.39</v>
      </c>
      <c r="H1179" s="112">
        <v>634431.1</v>
      </c>
      <c r="I1179" s="113">
        <v>977230.88</v>
      </c>
      <c r="J1179"/>
      <c r="K1179"/>
      <c r="L1179"/>
      <c r="M1179"/>
      <c r="N1179"/>
    </row>
    <row r="1180" spans="1:14" x14ac:dyDescent="0.3">
      <c r="A1180" s="102" t="s">
        <v>1559</v>
      </c>
      <c r="B1180" s="102" t="s">
        <v>2250</v>
      </c>
      <c r="C1180" s="107" t="s">
        <v>1528</v>
      </c>
      <c r="D1180" s="102">
        <v>6</v>
      </c>
      <c r="E1180" s="111">
        <v>0</v>
      </c>
      <c r="F1180" s="112">
        <v>0</v>
      </c>
      <c r="G1180" s="112">
        <v>0</v>
      </c>
      <c r="H1180" s="112">
        <v>0</v>
      </c>
      <c r="I1180" s="113">
        <v>0</v>
      </c>
      <c r="J1180"/>
      <c r="K1180"/>
      <c r="L1180"/>
      <c r="M1180"/>
      <c r="N1180"/>
    </row>
    <row r="1181" spans="1:14" x14ac:dyDescent="0.3">
      <c r="A1181" s="102" t="s">
        <v>1560</v>
      </c>
      <c r="B1181" s="102" t="s">
        <v>2020</v>
      </c>
      <c r="C1181" s="107" t="s">
        <v>1528</v>
      </c>
      <c r="D1181" s="102">
        <v>6</v>
      </c>
      <c r="E1181" s="111">
        <v>0</v>
      </c>
      <c r="F1181" s="112">
        <v>153</v>
      </c>
      <c r="G1181" s="112">
        <v>0</v>
      </c>
      <c r="H1181" s="112">
        <v>10721.8</v>
      </c>
      <c r="I1181" s="113">
        <v>10874.8</v>
      </c>
      <c r="J1181"/>
      <c r="K1181"/>
      <c r="L1181"/>
      <c r="M1181"/>
      <c r="N1181"/>
    </row>
    <row r="1182" spans="1:14" x14ac:dyDescent="0.3">
      <c r="A1182" s="102" t="s">
        <v>1561</v>
      </c>
      <c r="B1182" s="102" t="s">
        <v>2548</v>
      </c>
      <c r="C1182" s="107" t="s">
        <v>1528</v>
      </c>
      <c r="D1182" s="102">
        <v>4</v>
      </c>
      <c r="E1182" s="111">
        <v>0</v>
      </c>
      <c r="F1182" s="112">
        <v>0</v>
      </c>
      <c r="G1182" s="112">
        <v>0</v>
      </c>
      <c r="H1182" s="112">
        <v>0</v>
      </c>
      <c r="I1182" s="113">
        <v>0</v>
      </c>
      <c r="J1182"/>
      <c r="K1182"/>
      <c r="L1182"/>
      <c r="M1182"/>
      <c r="N1182"/>
    </row>
    <row r="1183" spans="1:14" x14ac:dyDescent="0.3">
      <c r="A1183" s="102" t="s">
        <v>1562</v>
      </c>
      <c r="B1183" s="102" t="s">
        <v>2045</v>
      </c>
      <c r="C1183" s="107" t="s">
        <v>1528</v>
      </c>
      <c r="D1183" s="102">
        <v>6</v>
      </c>
      <c r="E1183" s="111">
        <v>0</v>
      </c>
      <c r="F1183" s="112">
        <v>0</v>
      </c>
      <c r="G1183" s="112">
        <v>0</v>
      </c>
      <c r="H1183" s="112">
        <v>0</v>
      </c>
      <c r="I1183" s="113">
        <v>0</v>
      </c>
      <c r="J1183"/>
      <c r="K1183"/>
      <c r="L1183"/>
      <c r="M1183"/>
      <c r="N1183"/>
    </row>
    <row r="1184" spans="1:14" x14ac:dyDescent="0.3">
      <c r="A1184" s="102" t="s">
        <v>1563</v>
      </c>
      <c r="B1184" s="102" t="s">
        <v>2046</v>
      </c>
      <c r="C1184" s="107" t="s">
        <v>1528</v>
      </c>
      <c r="D1184" s="102">
        <v>6</v>
      </c>
      <c r="E1184" s="111">
        <v>0</v>
      </c>
      <c r="F1184" s="112">
        <v>0</v>
      </c>
      <c r="G1184" s="112">
        <v>0</v>
      </c>
      <c r="H1184" s="112">
        <v>0</v>
      </c>
      <c r="I1184" s="113">
        <v>0</v>
      </c>
      <c r="J1184"/>
      <c r="K1184"/>
      <c r="L1184"/>
      <c r="M1184"/>
      <c r="N1184"/>
    </row>
    <row r="1185" spans="1:14" x14ac:dyDescent="0.3">
      <c r="A1185" s="102" t="s">
        <v>1564</v>
      </c>
      <c r="B1185" s="102" t="s">
        <v>2549</v>
      </c>
      <c r="C1185" s="107" t="s">
        <v>1528</v>
      </c>
      <c r="D1185" s="102">
        <v>4</v>
      </c>
      <c r="E1185" s="111">
        <v>103708.8</v>
      </c>
      <c r="F1185" s="112">
        <v>0</v>
      </c>
      <c r="G1185" s="112">
        <v>0</v>
      </c>
      <c r="H1185" s="112">
        <v>0</v>
      </c>
      <c r="I1185" s="113">
        <v>103708.8</v>
      </c>
      <c r="J1185"/>
      <c r="K1185"/>
      <c r="L1185"/>
      <c r="M1185"/>
      <c r="N1185"/>
    </row>
    <row r="1186" spans="1:14" x14ac:dyDescent="0.3">
      <c r="A1186" s="102" t="s">
        <v>1565</v>
      </c>
      <c r="B1186" s="102" t="s">
        <v>2018</v>
      </c>
      <c r="C1186" s="107" t="s">
        <v>1528</v>
      </c>
      <c r="D1186" s="102">
        <v>6</v>
      </c>
      <c r="E1186" s="111">
        <v>0</v>
      </c>
      <c r="F1186" s="112">
        <v>0</v>
      </c>
      <c r="G1186" s="112">
        <v>0</v>
      </c>
      <c r="H1186" s="112">
        <v>0</v>
      </c>
      <c r="I1186" s="113">
        <v>0</v>
      </c>
      <c r="J1186"/>
      <c r="K1186"/>
      <c r="L1186"/>
      <c r="M1186"/>
      <c r="N1186"/>
    </row>
    <row r="1187" spans="1:14" x14ac:dyDescent="0.3">
      <c r="A1187" s="102" t="s">
        <v>1566</v>
      </c>
      <c r="B1187" s="102" t="s">
        <v>2100</v>
      </c>
      <c r="C1187" s="107" t="s">
        <v>1528</v>
      </c>
      <c r="D1187" s="102">
        <v>6</v>
      </c>
      <c r="E1187" s="111">
        <v>103708.8</v>
      </c>
      <c r="F1187" s="112">
        <v>0</v>
      </c>
      <c r="G1187" s="112">
        <v>0</v>
      </c>
      <c r="H1187" s="112">
        <v>0</v>
      </c>
      <c r="I1187" s="113">
        <v>103708.8</v>
      </c>
      <c r="J1187"/>
      <c r="K1187"/>
      <c r="L1187"/>
      <c r="M1187"/>
      <c r="N1187"/>
    </row>
    <row r="1188" spans="1:14" x14ac:dyDescent="0.3">
      <c r="A1188" s="102" t="s">
        <v>1567</v>
      </c>
      <c r="B1188" s="102" t="s">
        <v>2194</v>
      </c>
      <c r="C1188" s="107" t="s">
        <v>1528</v>
      </c>
      <c r="D1188" s="102">
        <v>6</v>
      </c>
      <c r="E1188" s="111">
        <v>0</v>
      </c>
      <c r="F1188" s="112">
        <v>0</v>
      </c>
      <c r="G1188" s="112">
        <v>0</v>
      </c>
      <c r="H1188" s="112">
        <v>0</v>
      </c>
      <c r="I1188" s="113">
        <v>0</v>
      </c>
      <c r="J1188"/>
      <c r="K1188"/>
      <c r="L1188"/>
      <c r="M1188"/>
      <c r="N1188"/>
    </row>
    <row r="1189" spans="1:14" x14ac:dyDescent="0.3">
      <c r="A1189" s="102" t="s">
        <v>1568</v>
      </c>
      <c r="B1189" s="102" t="s">
        <v>2019</v>
      </c>
      <c r="C1189" s="107" t="s">
        <v>1528</v>
      </c>
      <c r="D1189" s="102">
        <v>6</v>
      </c>
      <c r="E1189" s="111">
        <v>0</v>
      </c>
      <c r="F1189" s="112">
        <v>0</v>
      </c>
      <c r="G1189" s="112">
        <v>0</v>
      </c>
      <c r="H1189" s="112">
        <v>0</v>
      </c>
      <c r="I1189" s="113">
        <v>0</v>
      </c>
      <c r="J1189"/>
      <c r="K1189"/>
      <c r="L1189"/>
      <c r="M1189"/>
      <c r="N1189"/>
    </row>
    <row r="1190" spans="1:14" x14ac:dyDescent="0.3">
      <c r="A1190" s="102" t="s">
        <v>1569</v>
      </c>
      <c r="B1190" s="102" t="s">
        <v>2250</v>
      </c>
      <c r="C1190" s="107" t="s">
        <v>1528</v>
      </c>
      <c r="D1190" s="102">
        <v>6</v>
      </c>
      <c r="E1190" s="111">
        <v>0</v>
      </c>
      <c r="F1190" s="112">
        <v>0</v>
      </c>
      <c r="G1190" s="112">
        <v>0</v>
      </c>
      <c r="H1190" s="112">
        <v>0</v>
      </c>
      <c r="I1190" s="113">
        <v>0</v>
      </c>
      <c r="J1190"/>
      <c r="K1190"/>
      <c r="L1190"/>
      <c r="M1190"/>
      <c r="N1190"/>
    </row>
    <row r="1191" spans="1:14" x14ac:dyDescent="0.3">
      <c r="A1191" s="102" t="s">
        <v>1570</v>
      </c>
      <c r="B1191" s="102" t="s">
        <v>2020</v>
      </c>
      <c r="C1191" s="107" t="s">
        <v>1528</v>
      </c>
      <c r="D1191" s="102">
        <v>6</v>
      </c>
      <c r="E1191" s="111">
        <v>0</v>
      </c>
      <c r="F1191" s="112">
        <v>0</v>
      </c>
      <c r="G1191" s="112">
        <v>0</v>
      </c>
      <c r="H1191" s="112">
        <v>0</v>
      </c>
      <c r="I1191" s="113">
        <v>0</v>
      </c>
      <c r="J1191"/>
      <c r="K1191"/>
      <c r="L1191"/>
      <c r="M1191"/>
      <c r="N1191"/>
    </row>
    <row r="1192" spans="1:14" x14ac:dyDescent="0.3">
      <c r="A1192" s="102" t="s">
        <v>1571</v>
      </c>
      <c r="B1192" s="102" t="s">
        <v>2216</v>
      </c>
      <c r="C1192" s="107" t="s">
        <v>1528</v>
      </c>
      <c r="D1192" s="102">
        <v>6</v>
      </c>
      <c r="E1192" s="111">
        <v>0</v>
      </c>
      <c r="F1192" s="112">
        <v>0</v>
      </c>
      <c r="G1192" s="112">
        <v>0</v>
      </c>
      <c r="H1192" s="112">
        <v>0</v>
      </c>
      <c r="I1192" s="113">
        <v>0</v>
      </c>
      <c r="J1192"/>
      <c r="K1192"/>
      <c r="L1192"/>
      <c r="M1192"/>
      <c r="N1192"/>
    </row>
    <row r="1193" spans="1:14" x14ac:dyDescent="0.3">
      <c r="A1193" s="102" t="s">
        <v>1572</v>
      </c>
      <c r="B1193" s="102" t="s">
        <v>2550</v>
      </c>
      <c r="C1193" s="107" t="s">
        <v>1528</v>
      </c>
      <c r="D1193" s="102">
        <v>4</v>
      </c>
      <c r="E1193" s="111">
        <v>1209732.1200000001</v>
      </c>
      <c r="F1193" s="112">
        <v>3188414.79</v>
      </c>
      <c r="G1193" s="112">
        <v>1684682.16</v>
      </c>
      <c r="H1193" s="112">
        <v>6794463.2999999998</v>
      </c>
      <c r="I1193" s="113">
        <v>12877292.369999999</v>
      </c>
      <c r="J1193"/>
      <c r="K1193"/>
      <c r="L1193"/>
      <c r="M1193"/>
      <c r="N1193"/>
    </row>
    <row r="1194" spans="1:14" x14ac:dyDescent="0.3">
      <c r="A1194" s="102" t="s">
        <v>1573</v>
      </c>
      <c r="B1194" s="102" t="s">
        <v>2551</v>
      </c>
      <c r="C1194" s="107" t="s">
        <v>1528</v>
      </c>
      <c r="D1194" s="102">
        <v>6</v>
      </c>
      <c r="E1194" s="111">
        <v>0</v>
      </c>
      <c r="F1194" s="112">
        <v>2750</v>
      </c>
      <c r="G1194" s="112">
        <v>27968.080000000002</v>
      </c>
      <c r="H1194" s="112">
        <v>930179</v>
      </c>
      <c r="I1194" s="113">
        <v>960897.08</v>
      </c>
      <c r="J1194"/>
      <c r="K1194"/>
      <c r="L1194"/>
      <c r="M1194"/>
      <c r="N1194"/>
    </row>
    <row r="1195" spans="1:14" x14ac:dyDescent="0.3">
      <c r="A1195" s="102" t="s">
        <v>1574</v>
      </c>
      <c r="B1195" s="102" t="s">
        <v>2552</v>
      </c>
      <c r="C1195" s="107" t="s">
        <v>1528</v>
      </c>
      <c r="D1195" s="102">
        <v>6</v>
      </c>
      <c r="E1195" s="111">
        <v>116039.62</v>
      </c>
      <c r="F1195" s="112">
        <v>909950.71</v>
      </c>
      <c r="G1195" s="112">
        <v>821881.11</v>
      </c>
      <c r="H1195" s="112">
        <v>742672.59</v>
      </c>
      <c r="I1195" s="113">
        <v>2590544.0300000003</v>
      </c>
      <c r="J1195"/>
      <c r="K1195"/>
      <c r="L1195"/>
      <c r="M1195"/>
      <c r="N1195"/>
    </row>
    <row r="1196" spans="1:14" x14ac:dyDescent="0.3">
      <c r="A1196" s="102" t="s">
        <v>1575</v>
      </c>
      <c r="B1196" s="102" t="s">
        <v>426</v>
      </c>
      <c r="C1196" s="107" t="s">
        <v>1528</v>
      </c>
      <c r="D1196" s="102">
        <v>6</v>
      </c>
      <c r="E1196" s="111">
        <v>336436.93</v>
      </c>
      <c r="F1196" s="112">
        <v>2050485.17</v>
      </c>
      <c r="G1196" s="112">
        <v>654448.34</v>
      </c>
      <c r="H1196" s="112">
        <v>5082594.71</v>
      </c>
      <c r="I1196" s="113">
        <v>8123965.1500000004</v>
      </c>
      <c r="J1196"/>
      <c r="K1196"/>
      <c r="L1196"/>
      <c r="M1196"/>
      <c r="N1196"/>
    </row>
    <row r="1197" spans="1:14" x14ac:dyDescent="0.3">
      <c r="A1197" s="102" t="s">
        <v>1576</v>
      </c>
      <c r="B1197" s="102" t="s">
        <v>2450</v>
      </c>
      <c r="C1197" s="107" t="s">
        <v>1528</v>
      </c>
      <c r="D1197" s="102">
        <v>6</v>
      </c>
      <c r="E1197" s="111">
        <v>293753.3</v>
      </c>
      <c r="F1197" s="112">
        <v>163550.1</v>
      </c>
      <c r="G1197" s="112">
        <v>180384.63</v>
      </c>
      <c r="H1197" s="112">
        <v>0</v>
      </c>
      <c r="I1197" s="113">
        <v>637688.03</v>
      </c>
      <c r="J1197"/>
      <c r="K1197"/>
      <c r="L1197"/>
      <c r="M1197"/>
      <c r="N1197"/>
    </row>
    <row r="1198" spans="1:14" x14ac:dyDescent="0.3">
      <c r="A1198" s="102" t="s">
        <v>1577</v>
      </c>
      <c r="B1198" s="102" t="s">
        <v>2553</v>
      </c>
      <c r="C1198" s="107" t="s">
        <v>1528</v>
      </c>
      <c r="D1198" s="102">
        <v>6</v>
      </c>
      <c r="E1198" s="111">
        <v>0</v>
      </c>
      <c r="F1198" s="112">
        <v>0</v>
      </c>
      <c r="G1198" s="112">
        <v>0</v>
      </c>
      <c r="H1198" s="112">
        <v>0</v>
      </c>
      <c r="I1198" s="113">
        <v>0</v>
      </c>
      <c r="J1198"/>
      <c r="K1198"/>
      <c r="L1198"/>
      <c r="M1198"/>
      <c r="N1198"/>
    </row>
    <row r="1199" spans="1:14" x14ac:dyDescent="0.3">
      <c r="A1199" s="102" t="s">
        <v>1578</v>
      </c>
      <c r="B1199" s="102" t="s">
        <v>2209</v>
      </c>
      <c r="C1199" s="107" t="s">
        <v>1528</v>
      </c>
      <c r="D1199" s="102">
        <v>6</v>
      </c>
      <c r="E1199" s="111">
        <v>0</v>
      </c>
      <c r="F1199" s="112">
        <v>61678.81</v>
      </c>
      <c r="G1199" s="112">
        <v>0</v>
      </c>
      <c r="H1199" s="112">
        <v>0</v>
      </c>
      <c r="I1199" s="113">
        <v>61678.81</v>
      </c>
      <c r="J1199"/>
      <c r="K1199"/>
      <c r="L1199"/>
      <c r="M1199"/>
      <c r="N1199"/>
    </row>
    <row r="1200" spans="1:14" x14ac:dyDescent="0.3">
      <c r="A1200" s="102" t="s">
        <v>1579</v>
      </c>
      <c r="B1200" s="102" t="s">
        <v>2210</v>
      </c>
      <c r="C1200" s="107" t="s">
        <v>1528</v>
      </c>
      <c r="D1200" s="102">
        <v>6</v>
      </c>
      <c r="E1200" s="111">
        <v>0</v>
      </c>
      <c r="F1200" s="112">
        <v>0</v>
      </c>
      <c r="G1200" s="112">
        <v>0</v>
      </c>
      <c r="H1200" s="112">
        <v>39017</v>
      </c>
      <c r="I1200" s="113">
        <v>39017</v>
      </c>
      <c r="J1200"/>
      <c r="K1200"/>
      <c r="L1200"/>
      <c r="M1200"/>
      <c r="N1200"/>
    </row>
    <row r="1201" spans="1:14" x14ac:dyDescent="0.3">
      <c r="A1201" s="102" t="s">
        <v>1580</v>
      </c>
      <c r="B1201" s="102" t="s">
        <v>2211</v>
      </c>
      <c r="C1201" s="107" t="s">
        <v>1528</v>
      </c>
      <c r="D1201" s="102">
        <v>6</v>
      </c>
      <c r="E1201" s="111">
        <v>0</v>
      </c>
      <c r="F1201" s="112">
        <v>0</v>
      </c>
      <c r="G1201" s="112">
        <v>0</v>
      </c>
      <c r="H1201" s="112">
        <v>0</v>
      </c>
      <c r="I1201" s="113">
        <v>0</v>
      </c>
      <c r="J1201"/>
      <c r="K1201"/>
      <c r="L1201"/>
      <c r="M1201"/>
      <c r="N1201"/>
    </row>
    <row r="1202" spans="1:14" x14ac:dyDescent="0.3">
      <c r="A1202" s="102" t="s">
        <v>1581</v>
      </c>
      <c r="B1202" s="102" t="s">
        <v>2554</v>
      </c>
      <c r="C1202" s="107" t="s">
        <v>1528</v>
      </c>
      <c r="D1202" s="102">
        <v>6</v>
      </c>
      <c r="E1202" s="111">
        <v>463502.27</v>
      </c>
      <c r="F1202" s="112">
        <v>0</v>
      </c>
      <c r="G1202" s="112">
        <v>0</v>
      </c>
      <c r="H1202" s="112">
        <v>0</v>
      </c>
      <c r="I1202" s="113">
        <v>463502.27</v>
      </c>
      <c r="J1202"/>
      <c r="K1202"/>
      <c r="L1202"/>
      <c r="M1202"/>
      <c r="N1202"/>
    </row>
    <row r="1203" spans="1:14" x14ac:dyDescent="0.3">
      <c r="A1203" s="102" t="s">
        <v>1582</v>
      </c>
      <c r="B1203" s="102" t="s">
        <v>2555</v>
      </c>
      <c r="C1203" s="107" t="s">
        <v>1528</v>
      </c>
      <c r="D1203" s="102">
        <v>6</v>
      </c>
      <c r="E1203" s="111">
        <v>0</v>
      </c>
      <c r="F1203" s="112">
        <v>0</v>
      </c>
      <c r="G1203" s="112">
        <v>0</v>
      </c>
      <c r="H1203" s="112">
        <v>0</v>
      </c>
      <c r="I1203" s="113">
        <v>0</v>
      </c>
      <c r="J1203"/>
      <c r="K1203"/>
      <c r="L1203"/>
      <c r="M1203"/>
      <c r="N1203"/>
    </row>
    <row r="1204" spans="1:14" x14ac:dyDescent="0.3">
      <c r="A1204" s="102" t="s">
        <v>1583</v>
      </c>
      <c r="B1204" s="102" t="s">
        <v>2018</v>
      </c>
      <c r="C1204" s="107" t="s">
        <v>1528</v>
      </c>
      <c r="D1204" s="102">
        <v>6</v>
      </c>
      <c r="E1204" s="111">
        <v>0</v>
      </c>
      <c r="F1204" s="112">
        <v>0</v>
      </c>
      <c r="G1204" s="112">
        <v>0</v>
      </c>
      <c r="H1204" s="112">
        <v>0</v>
      </c>
      <c r="I1204" s="113">
        <v>0</v>
      </c>
      <c r="J1204"/>
      <c r="K1204"/>
      <c r="L1204"/>
      <c r="M1204"/>
      <c r="N1204"/>
    </row>
    <row r="1205" spans="1:14" x14ac:dyDescent="0.3">
      <c r="A1205" s="102" t="s">
        <v>1584</v>
      </c>
      <c r="B1205" s="102" t="s">
        <v>2019</v>
      </c>
      <c r="C1205" s="107" t="s">
        <v>1528</v>
      </c>
      <c r="D1205" s="102">
        <v>6</v>
      </c>
      <c r="E1205" s="111">
        <v>0</v>
      </c>
      <c r="F1205" s="112">
        <v>0</v>
      </c>
      <c r="G1205" s="112">
        <v>0</v>
      </c>
      <c r="H1205" s="112">
        <v>0</v>
      </c>
      <c r="I1205" s="113">
        <v>0</v>
      </c>
      <c r="J1205"/>
      <c r="K1205"/>
      <c r="L1205"/>
      <c r="M1205"/>
      <c r="N1205"/>
    </row>
    <row r="1206" spans="1:14" x14ac:dyDescent="0.3">
      <c r="A1206" s="102" t="s">
        <v>1585</v>
      </c>
      <c r="B1206" s="102" t="s">
        <v>2020</v>
      </c>
      <c r="C1206" s="107" t="s">
        <v>1528</v>
      </c>
      <c r="D1206" s="102">
        <v>6</v>
      </c>
      <c r="E1206" s="111">
        <v>0</v>
      </c>
      <c r="F1206" s="112">
        <v>0</v>
      </c>
      <c r="G1206" s="112">
        <v>0</v>
      </c>
      <c r="H1206" s="112">
        <v>0</v>
      </c>
      <c r="I1206" s="113">
        <v>0</v>
      </c>
      <c r="J1206"/>
      <c r="K1206"/>
      <c r="L1206"/>
      <c r="M1206"/>
      <c r="N1206"/>
    </row>
    <row r="1207" spans="1:14" x14ac:dyDescent="0.3">
      <c r="A1207" s="102" t="s">
        <v>2668</v>
      </c>
      <c r="B1207" s="102" t="s">
        <v>2669</v>
      </c>
      <c r="C1207" s="107" t="s">
        <v>1528</v>
      </c>
      <c r="D1207" s="102">
        <v>4</v>
      </c>
      <c r="E1207" s="111">
        <v>0</v>
      </c>
      <c r="F1207" s="112">
        <v>0</v>
      </c>
      <c r="G1207" s="112">
        <v>0</v>
      </c>
      <c r="H1207" s="112">
        <v>0</v>
      </c>
      <c r="I1207" s="113">
        <v>0</v>
      </c>
      <c r="J1207"/>
      <c r="K1207"/>
      <c r="L1207"/>
      <c r="M1207"/>
      <c r="N1207"/>
    </row>
    <row r="1208" spans="1:14" x14ac:dyDescent="0.3">
      <c r="A1208" s="102" t="s">
        <v>2670</v>
      </c>
      <c r="B1208" s="102" t="s">
        <v>2671</v>
      </c>
      <c r="C1208" s="107" t="s">
        <v>1528</v>
      </c>
      <c r="D1208" s="102">
        <v>6</v>
      </c>
      <c r="E1208" s="111">
        <v>0</v>
      </c>
      <c r="F1208" s="112">
        <v>0</v>
      </c>
      <c r="G1208" s="112">
        <v>0</v>
      </c>
      <c r="H1208" s="112">
        <v>0</v>
      </c>
      <c r="I1208" s="113">
        <v>0</v>
      </c>
      <c r="J1208"/>
      <c r="K1208"/>
      <c r="L1208"/>
      <c r="M1208"/>
      <c r="N1208"/>
    </row>
    <row r="1209" spans="1:14" x14ac:dyDescent="0.3">
      <c r="A1209" s="102" t="s">
        <v>2672</v>
      </c>
      <c r="B1209" s="102" t="s">
        <v>2673</v>
      </c>
      <c r="C1209" s="107" t="s">
        <v>1528</v>
      </c>
      <c r="D1209" s="102">
        <v>6</v>
      </c>
      <c r="E1209" s="111">
        <v>0</v>
      </c>
      <c r="F1209" s="112">
        <v>0</v>
      </c>
      <c r="G1209" s="112">
        <v>0</v>
      </c>
      <c r="H1209" s="112">
        <v>0</v>
      </c>
      <c r="I1209" s="113">
        <v>0</v>
      </c>
      <c r="J1209"/>
      <c r="K1209"/>
      <c r="L1209"/>
      <c r="M1209"/>
      <c r="N1209"/>
    </row>
    <row r="1210" spans="1:14" x14ac:dyDescent="0.3">
      <c r="A1210" s="102" t="s">
        <v>1586</v>
      </c>
      <c r="B1210" s="102" t="s">
        <v>2556</v>
      </c>
      <c r="C1210" s="107" t="s">
        <v>1528</v>
      </c>
      <c r="D1210" s="102">
        <v>4</v>
      </c>
      <c r="E1210" s="111">
        <v>197107.7</v>
      </c>
      <c r="F1210" s="112">
        <v>870795.75</v>
      </c>
      <c r="G1210" s="112">
        <v>354330.7</v>
      </c>
      <c r="H1210" s="112">
        <v>3324869.28</v>
      </c>
      <c r="I1210" s="113">
        <v>4747103.43</v>
      </c>
      <c r="J1210"/>
      <c r="K1210"/>
      <c r="L1210"/>
      <c r="M1210"/>
      <c r="N1210"/>
    </row>
    <row r="1211" spans="1:14" x14ac:dyDescent="0.3">
      <c r="A1211" s="102" t="s">
        <v>1587</v>
      </c>
      <c r="B1211" s="102" t="s">
        <v>2204</v>
      </c>
      <c r="C1211" s="107" t="s">
        <v>1528</v>
      </c>
      <c r="D1211" s="102">
        <v>6</v>
      </c>
      <c r="E1211" s="111">
        <v>0</v>
      </c>
      <c r="F1211" s="112">
        <v>4593.6400000000003</v>
      </c>
      <c r="G1211" s="112">
        <v>9712.41</v>
      </c>
      <c r="H1211" s="112">
        <v>162306.62</v>
      </c>
      <c r="I1211" s="113">
        <v>176612.67</v>
      </c>
      <c r="J1211"/>
      <c r="K1211"/>
      <c r="L1211"/>
      <c r="M1211"/>
      <c r="N1211"/>
    </row>
    <row r="1212" spans="1:14" x14ac:dyDescent="0.3">
      <c r="A1212" s="102" t="s">
        <v>1588</v>
      </c>
      <c r="B1212" s="102" t="s">
        <v>2205</v>
      </c>
      <c r="C1212" s="107" t="s">
        <v>1528</v>
      </c>
      <c r="D1212" s="102">
        <v>6</v>
      </c>
      <c r="E1212" s="111">
        <v>21986.25</v>
      </c>
      <c r="F1212" s="112">
        <v>512906.45</v>
      </c>
      <c r="G1212" s="112">
        <v>171914.57</v>
      </c>
      <c r="H1212" s="112">
        <v>1095263.23</v>
      </c>
      <c r="I1212" s="113">
        <v>1802070.5</v>
      </c>
      <c r="J1212"/>
      <c r="K1212"/>
      <c r="L1212"/>
      <c r="M1212"/>
      <c r="N1212"/>
    </row>
    <row r="1213" spans="1:14" x14ac:dyDescent="0.3">
      <c r="A1213" s="102" t="s">
        <v>1589</v>
      </c>
      <c r="B1213" s="102" t="s">
        <v>2206</v>
      </c>
      <c r="C1213" s="107" t="s">
        <v>1528</v>
      </c>
      <c r="D1213" s="102">
        <v>6</v>
      </c>
      <c r="E1213" s="111">
        <v>51551.19</v>
      </c>
      <c r="F1213" s="112">
        <v>307553.37</v>
      </c>
      <c r="G1213" s="112">
        <v>113514.1</v>
      </c>
      <c r="H1213" s="112">
        <v>977960.27</v>
      </c>
      <c r="I1213" s="113">
        <v>1450578.9300000002</v>
      </c>
      <c r="J1213"/>
      <c r="K1213"/>
      <c r="L1213"/>
      <c r="M1213"/>
      <c r="N1213"/>
    </row>
    <row r="1214" spans="1:14" x14ac:dyDescent="0.3">
      <c r="A1214" s="102" t="s">
        <v>1590</v>
      </c>
      <c r="B1214" s="102" t="s">
        <v>2207</v>
      </c>
      <c r="C1214" s="107" t="s">
        <v>1528</v>
      </c>
      <c r="D1214" s="102">
        <v>6</v>
      </c>
      <c r="E1214" s="111">
        <v>60338.17</v>
      </c>
      <c r="F1214" s="112">
        <v>35732.78</v>
      </c>
      <c r="G1214" s="112">
        <v>59022.879999999997</v>
      </c>
      <c r="H1214" s="112">
        <v>1066380.21</v>
      </c>
      <c r="I1214" s="113">
        <v>1221474.04</v>
      </c>
      <c r="J1214"/>
      <c r="K1214"/>
      <c r="L1214"/>
      <c r="M1214"/>
      <c r="N1214"/>
    </row>
    <row r="1215" spans="1:14" x14ac:dyDescent="0.3">
      <c r="A1215" s="102" t="s">
        <v>1591</v>
      </c>
      <c r="B1215" s="102" t="s">
        <v>2208</v>
      </c>
      <c r="C1215" s="107" t="s">
        <v>1528</v>
      </c>
      <c r="D1215" s="102">
        <v>6</v>
      </c>
      <c r="E1215" s="111">
        <v>0</v>
      </c>
      <c r="F1215" s="112">
        <v>0</v>
      </c>
      <c r="G1215" s="112">
        <v>0</v>
      </c>
      <c r="H1215" s="112">
        <v>1.25</v>
      </c>
      <c r="I1215" s="113">
        <v>1.25</v>
      </c>
      <c r="J1215"/>
      <c r="K1215"/>
      <c r="L1215"/>
      <c r="M1215"/>
      <c r="N1215"/>
    </row>
    <row r="1216" spans="1:14" x14ac:dyDescent="0.3">
      <c r="A1216" s="102" t="s">
        <v>1592</v>
      </c>
      <c r="B1216" s="102" t="s">
        <v>2209</v>
      </c>
      <c r="C1216" s="107" t="s">
        <v>1528</v>
      </c>
      <c r="D1216" s="102">
        <v>6</v>
      </c>
      <c r="E1216" s="111">
        <v>0</v>
      </c>
      <c r="F1216" s="112">
        <v>10009.51</v>
      </c>
      <c r="G1216" s="112">
        <v>0</v>
      </c>
      <c r="H1216" s="112">
        <v>11646.13</v>
      </c>
      <c r="I1216" s="113">
        <v>21655.64</v>
      </c>
      <c r="J1216"/>
      <c r="K1216"/>
      <c r="L1216"/>
      <c r="M1216"/>
      <c r="N1216"/>
    </row>
    <row r="1217" spans="1:14" x14ac:dyDescent="0.3">
      <c r="A1217" s="102" t="s">
        <v>1593</v>
      </c>
      <c r="B1217" s="102" t="s">
        <v>2210</v>
      </c>
      <c r="C1217" s="107" t="s">
        <v>1528</v>
      </c>
      <c r="D1217" s="102">
        <v>6</v>
      </c>
      <c r="E1217" s="111">
        <v>0</v>
      </c>
      <c r="F1217" s="112">
        <v>0</v>
      </c>
      <c r="G1217" s="112">
        <v>0</v>
      </c>
      <c r="H1217" s="112">
        <v>6017.94</v>
      </c>
      <c r="I1217" s="113">
        <v>6017.94</v>
      </c>
      <c r="J1217"/>
      <c r="K1217"/>
      <c r="L1217"/>
      <c r="M1217"/>
      <c r="N1217"/>
    </row>
    <row r="1218" spans="1:14" x14ac:dyDescent="0.3">
      <c r="A1218" s="102" t="s">
        <v>1594</v>
      </c>
      <c r="B1218" s="102" t="s">
        <v>2211</v>
      </c>
      <c r="C1218" s="107" t="s">
        <v>1528</v>
      </c>
      <c r="D1218" s="102">
        <v>6</v>
      </c>
      <c r="E1218" s="111">
        <v>0</v>
      </c>
      <c r="F1218" s="112">
        <v>0</v>
      </c>
      <c r="G1218" s="112">
        <v>0</v>
      </c>
      <c r="H1218" s="112">
        <v>0</v>
      </c>
      <c r="I1218" s="113">
        <v>0</v>
      </c>
      <c r="J1218"/>
      <c r="K1218"/>
      <c r="L1218"/>
      <c r="M1218"/>
      <c r="N1218"/>
    </row>
    <row r="1219" spans="1:14" x14ac:dyDescent="0.3">
      <c r="A1219" s="102" t="s">
        <v>1595</v>
      </c>
      <c r="B1219" s="102" t="s">
        <v>2212</v>
      </c>
      <c r="C1219" s="107" t="s">
        <v>1528</v>
      </c>
      <c r="D1219" s="102">
        <v>6</v>
      </c>
      <c r="E1219" s="111">
        <v>63232.09</v>
      </c>
      <c r="F1219" s="112">
        <v>0</v>
      </c>
      <c r="G1219" s="112">
        <v>0.14000000000000001</v>
      </c>
      <c r="H1219" s="112">
        <v>5164.17</v>
      </c>
      <c r="I1219" s="113">
        <v>68396.399999999994</v>
      </c>
      <c r="J1219"/>
      <c r="K1219"/>
      <c r="L1219"/>
      <c r="M1219"/>
      <c r="N1219"/>
    </row>
    <row r="1220" spans="1:14" x14ac:dyDescent="0.3">
      <c r="A1220" s="102" t="s">
        <v>1596</v>
      </c>
      <c r="B1220" s="102" t="s">
        <v>2213</v>
      </c>
      <c r="C1220" s="107" t="s">
        <v>1528</v>
      </c>
      <c r="D1220" s="102">
        <v>6</v>
      </c>
      <c r="E1220" s="111">
        <v>0</v>
      </c>
      <c r="F1220" s="112">
        <v>0</v>
      </c>
      <c r="G1220" s="112">
        <v>166.6</v>
      </c>
      <c r="H1220" s="112">
        <v>129.46</v>
      </c>
      <c r="I1220" s="113">
        <v>296.06</v>
      </c>
      <c r="J1220"/>
      <c r="K1220"/>
      <c r="L1220"/>
      <c r="M1220"/>
      <c r="N1220"/>
    </row>
    <row r="1221" spans="1:14" x14ac:dyDescent="0.3">
      <c r="A1221" s="102" t="s">
        <v>1597</v>
      </c>
      <c r="B1221" s="102" t="s">
        <v>2096</v>
      </c>
      <c r="C1221" s="107" t="s">
        <v>1528</v>
      </c>
      <c r="D1221" s="102">
        <v>6</v>
      </c>
      <c r="E1221" s="111">
        <v>0</v>
      </c>
      <c r="F1221" s="112">
        <v>0</v>
      </c>
      <c r="G1221" s="112">
        <v>0</v>
      </c>
      <c r="H1221" s="112">
        <v>0</v>
      </c>
      <c r="I1221" s="113">
        <v>0</v>
      </c>
      <c r="J1221"/>
      <c r="K1221"/>
      <c r="L1221"/>
      <c r="M1221"/>
      <c r="N1221"/>
    </row>
    <row r="1222" spans="1:14" x14ac:dyDescent="0.3">
      <c r="A1222" s="102" t="s">
        <v>1598</v>
      </c>
      <c r="B1222" s="102" t="s">
        <v>2557</v>
      </c>
      <c r="C1222" s="107" t="s">
        <v>1528</v>
      </c>
      <c r="D1222" s="102">
        <v>4</v>
      </c>
      <c r="E1222" s="111">
        <v>0</v>
      </c>
      <c r="F1222" s="112">
        <v>0</v>
      </c>
      <c r="G1222" s="112">
        <v>0</v>
      </c>
      <c r="H1222" s="112">
        <v>2686060.37</v>
      </c>
      <c r="I1222" s="113">
        <v>2686060.37</v>
      </c>
      <c r="J1222"/>
      <c r="K1222"/>
      <c r="L1222"/>
      <c r="M1222"/>
      <c r="N1222"/>
    </row>
    <row r="1223" spans="1:14" x14ac:dyDescent="0.3">
      <c r="A1223" s="102" t="s">
        <v>1599</v>
      </c>
      <c r="B1223" s="102" t="s">
        <v>2558</v>
      </c>
      <c r="C1223" s="107" t="s">
        <v>1528</v>
      </c>
      <c r="D1223" s="102">
        <v>6</v>
      </c>
      <c r="E1223" s="111">
        <v>0</v>
      </c>
      <c r="F1223" s="112">
        <v>0</v>
      </c>
      <c r="G1223" s="112">
        <v>0</v>
      </c>
      <c r="H1223" s="112">
        <v>2243041.5</v>
      </c>
      <c r="I1223" s="113">
        <v>2243041.5</v>
      </c>
      <c r="J1223"/>
      <c r="K1223"/>
      <c r="L1223"/>
      <c r="M1223"/>
      <c r="N1223"/>
    </row>
    <row r="1224" spans="1:14" x14ac:dyDescent="0.3">
      <c r="A1224" s="102" t="s">
        <v>1600</v>
      </c>
      <c r="B1224" s="102" t="s">
        <v>2559</v>
      </c>
      <c r="C1224" s="107" t="s">
        <v>1528</v>
      </c>
      <c r="D1224" s="102">
        <v>6</v>
      </c>
      <c r="E1224" s="111">
        <v>0</v>
      </c>
      <c r="F1224" s="112">
        <v>0</v>
      </c>
      <c r="G1224" s="112">
        <v>0</v>
      </c>
      <c r="H1224" s="112">
        <v>104077.7</v>
      </c>
      <c r="I1224" s="113">
        <v>104077.7</v>
      </c>
      <c r="J1224"/>
      <c r="K1224"/>
      <c r="L1224"/>
      <c r="M1224"/>
      <c r="N1224"/>
    </row>
    <row r="1225" spans="1:14" x14ac:dyDescent="0.3">
      <c r="A1225" s="102" t="s">
        <v>1601</v>
      </c>
      <c r="B1225" s="102" t="s">
        <v>2560</v>
      </c>
      <c r="C1225" s="107" t="s">
        <v>1528</v>
      </c>
      <c r="D1225" s="102">
        <v>6</v>
      </c>
      <c r="E1225" s="111">
        <v>0</v>
      </c>
      <c r="F1225" s="112">
        <v>0</v>
      </c>
      <c r="G1225" s="112">
        <v>0</v>
      </c>
      <c r="H1225" s="112">
        <v>338941.17</v>
      </c>
      <c r="I1225" s="113">
        <v>338941.17</v>
      </c>
      <c r="J1225"/>
      <c r="K1225"/>
      <c r="L1225"/>
      <c r="M1225"/>
      <c r="N1225"/>
    </row>
    <row r="1226" spans="1:14" x14ac:dyDescent="0.3">
      <c r="A1226" s="102" t="s">
        <v>1999</v>
      </c>
      <c r="B1226" s="102" t="s">
        <v>2561</v>
      </c>
      <c r="C1226" s="107" t="s">
        <v>1528</v>
      </c>
      <c r="D1226" s="102">
        <v>4</v>
      </c>
      <c r="E1226" s="111">
        <v>0</v>
      </c>
      <c r="F1226" s="112">
        <v>0</v>
      </c>
      <c r="G1226" s="112">
        <v>0</v>
      </c>
      <c r="H1226" s="112">
        <v>0</v>
      </c>
      <c r="I1226" s="113">
        <v>0</v>
      </c>
      <c r="J1226"/>
      <c r="K1226"/>
      <c r="L1226"/>
      <c r="M1226"/>
      <c r="N1226"/>
    </row>
    <row r="1227" spans="1:14" x14ac:dyDescent="0.3">
      <c r="A1227" s="102" t="s">
        <v>1996</v>
      </c>
      <c r="B1227" s="102" t="s">
        <v>2562</v>
      </c>
      <c r="C1227" s="107" t="s">
        <v>1528</v>
      </c>
      <c r="D1227" s="102">
        <v>6</v>
      </c>
      <c r="E1227" s="111">
        <v>0</v>
      </c>
      <c r="F1227" s="112">
        <v>0</v>
      </c>
      <c r="G1227" s="112">
        <v>0</v>
      </c>
      <c r="H1227" s="112">
        <v>0</v>
      </c>
      <c r="I1227" s="113">
        <v>0</v>
      </c>
      <c r="J1227"/>
      <c r="K1227"/>
      <c r="L1227"/>
      <c r="M1227"/>
      <c r="N1227"/>
    </row>
    <row r="1228" spans="1:14" x14ac:dyDescent="0.3">
      <c r="A1228" s="102" t="s">
        <v>2000</v>
      </c>
      <c r="B1228" s="102" t="s">
        <v>2563</v>
      </c>
      <c r="C1228" s="107" t="s">
        <v>1528</v>
      </c>
      <c r="D1228" s="102">
        <v>6</v>
      </c>
      <c r="E1228" s="111">
        <v>0</v>
      </c>
      <c r="F1228" s="112">
        <v>0</v>
      </c>
      <c r="G1228" s="112">
        <v>0</v>
      </c>
      <c r="H1228" s="112">
        <v>0</v>
      </c>
      <c r="I1228" s="113">
        <v>0</v>
      </c>
      <c r="J1228"/>
      <c r="K1228"/>
      <c r="L1228"/>
      <c r="M1228"/>
      <c r="N1228"/>
    </row>
    <row r="1229" spans="1:14" x14ac:dyDescent="0.3">
      <c r="A1229" s="102" t="s">
        <v>1997</v>
      </c>
      <c r="B1229" s="102" t="s">
        <v>2564</v>
      </c>
      <c r="C1229" s="107" t="s">
        <v>1528</v>
      </c>
      <c r="D1229" s="102">
        <v>6</v>
      </c>
      <c r="E1229" s="111">
        <v>0</v>
      </c>
      <c r="F1229" s="112">
        <v>0</v>
      </c>
      <c r="G1229" s="112">
        <v>0</v>
      </c>
      <c r="H1229" s="112">
        <v>0</v>
      </c>
      <c r="I1229" s="113">
        <v>0</v>
      </c>
      <c r="J1229"/>
      <c r="K1229"/>
      <c r="L1229"/>
      <c r="M1229"/>
      <c r="N1229"/>
    </row>
    <row r="1230" spans="1:14" x14ac:dyDescent="0.3">
      <c r="A1230" s="102" t="s">
        <v>1998</v>
      </c>
      <c r="B1230" s="102" t="s">
        <v>2565</v>
      </c>
      <c r="C1230" s="107" t="s">
        <v>1528</v>
      </c>
      <c r="D1230" s="102">
        <v>6</v>
      </c>
      <c r="E1230" s="111">
        <v>0</v>
      </c>
      <c r="F1230" s="112">
        <v>0</v>
      </c>
      <c r="G1230" s="112">
        <v>0</v>
      </c>
      <c r="H1230" s="112">
        <v>0</v>
      </c>
      <c r="I1230" s="113">
        <v>0</v>
      </c>
      <c r="J1230"/>
      <c r="K1230"/>
      <c r="L1230"/>
      <c r="M1230"/>
      <c r="N1230"/>
    </row>
    <row r="1231" spans="1:14" x14ac:dyDescent="0.3">
      <c r="A1231" s="102" t="s">
        <v>1745</v>
      </c>
      <c r="B1231" s="102" t="s">
        <v>2566</v>
      </c>
      <c r="C1231" s="107" t="s">
        <v>1528</v>
      </c>
      <c r="D1231" s="102">
        <v>4</v>
      </c>
      <c r="E1231" s="111">
        <v>0</v>
      </c>
      <c r="F1231" s="112">
        <v>0</v>
      </c>
      <c r="G1231" s="112">
        <v>0</v>
      </c>
      <c r="H1231" s="112">
        <v>0</v>
      </c>
      <c r="I1231" s="113">
        <v>0</v>
      </c>
      <c r="J1231"/>
      <c r="K1231"/>
      <c r="L1231"/>
      <c r="M1231"/>
      <c r="N1231"/>
    </row>
    <row r="1232" spans="1:14" x14ac:dyDescent="0.3">
      <c r="A1232" s="102" t="s">
        <v>1746</v>
      </c>
      <c r="B1232" s="102" t="s">
        <v>2567</v>
      </c>
      <c r="C1232" s="107" t="s">
        <v>1528</v>
      </c>
      <c r="D1232" s="102">
        <v>6</v>
      </c>
      <c r="E1232" s="111">
        <v>0</v>
      </c>
      <c r="F1232" s="112">
        <v>0</v>
      </c>
      <c r="G1232" s="112">
        <v>0</v>
      </c>
      <c r="H1232" s="112">
        <v>0</v>
      </c>
      <c r="I1232" s="113">
        <v>0</v>
      </c>
      <c r="J1232"/>
      <c r="K1232"/>
      <c r="L1232"/>
      <c r="M1232"/>
      <c r="N1232"/>
    </row>
    <row r="1233" spans="1:14" x14ac:dyDescent="0.3">
      <c r="A1233" s="102" t="s">
        <v>1747</v>
      </c>
      <c r="B1233" s="102" t="s">
        <v>2568</v>
      </c>
      <c r="C1233" s="107" t="s">
        <v>1528</v>
      </c>
      <c r="D1233" s="102">
        <v>6</v>
      </c>
      <c r="E1233" s="111">
        <v>0</v>
      </c>
      <c r="F1233" s="112">
        <v>0</v>
      </c>
      <c r="G1233" s="112">
        <v>0</v>
      </c>
      <c r="H1233" s="112">
        <v>0</v>
      </c>
      <c r="I1233" s="113">
        <v>0</v>
      </c>
      <c r="J1233"/>
      <c r="K1233"/>
      <c r="L1233"/>
      <c r="M1233"/>
      <c r="N1233"/>
    </row>
    <row r="1234" spans="1:14" x14ac:dyDescent="0.3">
      <c r="A1234" s="102" t="s">
        <v>1748</v>
      </c>
      <c r="B1234" s="102" t="s">
        <v>2569</v>
      </c>
      <c r="C1234" s="107" t="s">
        <v>1528</v>
      </c>
      <c r="D1234" s="102">
        <v>4</v>
      </c>
      <c r="E1234" s="111">
        <v>0</v>
      </c>
      <c r="F1234" s="112">
        <v>0</v>
      </c>
      <c r="G1234" s="112">
        <v>0</v>
      </c>
      <c r="H1234" s="112">
        <v>0</v>
      </c>
      <c r="I1234" s="113">
        <v>0</v>
      </c>
      <c r="J1234"/>
      <c r="K1234"/>
      <c r="L1234"/>
      <c r="M1234"/>
      <c r="N1234"/>
    </row>
    <row r="1235" spans="1:14" x14ac:dyDescent="0.3">
      <c r="A1235" s="102" t="s">
        <v>1749</v>
      </c>
      <c r="B1235" s="102" t="s">
        <v>2562</v>
      </c>
      <c r="C1235" s="107" t="s">
        <v>1528</v>
      </c>
      <c r="D1235" s="102">
        <v>6</v>
      </c>
      <c r="E1235" s="111">
        <v>0</v>
      </c>
      <c r="F1235" s="112">
        <v>0</v>
      </c>
      <c r="G1235" s="112">
        <v>0</v>
      </c>
      <c r="H1235" s="112">
        <v>0</v>
      </c>
      <c r="I1235" s="113">
        <v>0</v>
      </c>
      <c r="J1235"/>
      <c r="K1235"/>
      <c r="L1235"/>
      <c r="M1235"/>
      <c r="N1235"/>
    </row>
    <row r="1236" spans="1:14" x14ac:dyDescent="0.3">
      <c r="A1236" s="102" t="s">
        <v>1750</v>
      </c>
      <c r="B1236" s="102" t="s">
        <v>2563</v>
      </c>
      <c r="C1236" s="107" t="s">
        <v>1528</v>
      </c>
      <c r="D1236" s="102">
        <v>6</v>
      </c>
      <c r="E1236" s="111">
        <v>0</v>
      </c>
      <c r="F1236" s="112">
        <v>0</v>
      </c>
      <c r="G1236" s="112">
        <v>0</v>
      </c>
      <c r="H1236" s="112">
        <v>0</v>
      </c>
      <c r="I1236" s="113">
        <v>0</v>
      </c>
      <c r="J1236"/>
      <c r="K1236"/>
      <c r="L1236"/>
      <c r="M1236"/>
      <c r="N1236"/>
    </row>
    <row r="1237" spans="1:14" x14ac:dyDescent="0.3">
      <c r="A1237" s="102" t="s">
        <v>1751</v>
      </c>
      <c r="B1237" s="102" t="s">
        <v>2206</v>
      </c>
      <c r="C1237" s="107" t="s">
        <v>1528</v>
      </c>
      <c r="D1237" s="102">
        <v>6</v>
      </c>
      <c r="E1237" s="111">
        <v>0</v>
      </c>
      <c r="F1237" s="112">
        <v>0</v>
      </c>
      <c r="G1237" s="112">
        <v>0</v>
      </c>
      <c r="H1237" s="112">
        <v>0</v>
      </c>
      <c r="I1237" s="113">
        <v>0</v>
      </c>
      <c r="J1237"/>
      <c r="K1237"/>
      <c r="L1237"/>
      <c r="M1237"/>
      <c r="N1237"/>
    </row>
    <row r="1238" spans="1:14" x14ac:dyDescent="0.3">
      <c r="A1238" s="102" t="s">
        <v>1752</v>
      </c>
      <c r="B1238" s="102" t="s">
        <v>2565</v>
      </c>
      <c r="C1238" s="107" t="s">
        <v>1528</v>
      </c>
      <c r="D1238" s="102">
        <v>6</v>
      </c>
      <c r="E1238" s="111">
        <v>0</v>
      </c>
      <c r="F1238" s="112">
        <v>0</v>
      </c>
      <c r="G1238" s="112">
        <v>0</v>
      </c>
      <c r="H1238" s="112">
        <v>0</v>
      </c>
      <c r="I1238" s="113">
        <v>0</v>
      </c>
      <c r="J1238"/>
      <c r="K1238"/>
      <c r="L1238"/>
      <c r="M1238"/>
      <c r="N1238"/>
    </row>
    <row r="1239" spans="1:14" x14ac:dyDescent="0.3">
      <c r="A1239" s="102" t="s">
        <v>1753</v>
      </c>
      <c r="B1239" s="102" t="s">
        <v>2570</v>
      </c>
      <c r="C1239" s="107" t="s">
        <v>1528</v>
      </c>
      <c r="D1239" s="102">
        <v>4</v>
      </c>
      <c r="E1239" s="111">
        <v>0</v>
      </c>
      <c r="F1239" s="112">
        <v>0</v>
      </c>
      <c r="G1239" s="112">
        <v>0</v>
      </c>
      <c r="H1239" s="112">
        <v>0</v>
      </c>
      <c r="I1239" s="113">
        <v>0</v>
      </c>
      <c r="J1239"/>
      <c r="K1239"/>
      <c r="L1239"/>
      <c r="M1239"/>
      <c r="N1239"/>
    </row>
    <row r="1240" spans="1:14" x14ac:dyDescent="0.3">
      <c r="A1240" s="102" t="s">
        <v>1754</v>
      </c>
      <c r="B1240" s="102" t="s">
        <v>2204</v>
      </c>
      <c r="C1240" s="107" t="s">
        <v>1528</v>
      </c>
      <c r="D1240" s="102">
        <v>6</v>
      </c>
      <c r="E1240" s="111">
        <v>0</v>
      </c>
      <c r="F1240" s="112">
        <v>0</v>
      </c>
      <c r="G1240" s="112">
        <v>0</v>
      </c>
      <c r="H1240" s="112">
        <v>0</v>
      </c>
      <c r="I1240" s="113">
        <v>0</v>
      </c>
      <c r="J1240"/>
      <c r="K1240"/>
      <c r="L1240"/>
      <c r="M1240"/>
      <c r="N1240"/>
    </row>
    <row r="1241" spans="1:14" x14ac:dyDescent="0.3">
      <c r="A1241" s="102" t="s">
        <v>1755</v>
      </c>
      <c r="B1241" s="102" t="s">
        <v>2553</v>
      </c>
      <c r="C1241" s="107" t="s">
        <v>1528</v>
      </c>
      <c r="D1241" s="102">
        <v>6</v>
      </c>
      <c r="E1241" s="111">
        <v>0</v>
      </c>
      <c r="F1241" s="112">
        <v>0</v>
      </c>
      <c r="G1241" s="112">
        <v>0</v>
      </c>
      <c r="H1241" s="112">
        <v>0</v>
      </c>
      <c r="I1241" s="113">
        <v>0</v>
      </c>
      <c r="J1241"/>
      <c r="K1241"/>
      <c r="L1241"/>
      <c r="M1241"/>
      <c r="N1241"/>
    </row>
    <row r="1242" spans="1:14" x14ac:dyDescent="0.3">
      <c r="A1242" s="102" t="s">
        <v>1756</v>
      </c>
      <c r="B1242" s="102" t="s">
        <v>2571</v>
      </c>
      <c r="C1242" s="107" t="s">
        <v>1528</v>
      </c>
      <c r="D1242" s="102">
        <v>6</v>
      </c>
      <c r="E1242" s="111">
        <v>0</v>
      </c>
      <c r="F1242" s="112">
        <v>0</v>
      </c>
      <c r="G1242" s="112">
        <v>0</v>
      </c>
      <c r="H1242" s="112">
        <v>0</v>
      </c>
      <c r="I1242" s="113">
        <v>0</v>
      </c>
      <c r="J1242"/>
      <c r="K1242"/>
      <c r="L1242"/>
      <c r="M1242"/>
      <c r="N1242"/>
    </row>
    <row r="1243" spans="1:14" x14ac:dyDescent="0.3">
      <c r="A1243" s="102" t="s">
        <v>1757</v>
      </c>
      <c r="B1243" s="102" t="s">
        <v>2572</v>
      </c>
      <c r="C1243" s="107" t="s">
        <v>1528</v>
      </c>
      <c r="D1243" s="102">
        <v>6</v>
      </c>
      <c r="E1243" s="111">
        <v>0</v>
      </c>
      <c r="F1243" s="112">
        <v>0</v>
      </c>
      <c r="G1243" s="112">
        <v>0</v>
      </c>
      <c r="H1243" s="112">
        <v>0</v>
      </c>
      <c r="I1243" s="113">
        <v>0</v>
      </c>
      <c r="J1243"/>
      <c r="K1243"/>
      <c r="L1243"/>
      <c r="M1243"/>
      <c r="N1243"/>
    </row>
    <row r="1244" spans="1:14" x14ac:dyDescent="0.3">
      <c r="A1244" s="102" t="s">
        <v>1758</v>
      </c>
      <c r="B1244" s="102" t="s">
        <v>2573</v>
      </c>
      <c r="C1244" s="107" t="s">
        <v>1528</v>
      </c>
      <c r="D1244" s="102">
        <v>6</v>
      </c>
      <c r="E1244" s="111">
        <v>0</v>
      </c>
      <c r="F1244" s="112">
        <v>0</v>
      </c>
      <c r="G1244" s="112">
        <v>0</v>
      </c>
      <c r="H1244" s="112">
        <v>0</v>
      </c>
      <c r="I1244" s="113">
        <v>0</v>
      </c>
      <c r="J1244"/>
      <c r="K1244"/>
      <c r="L1244"/>
      <c r="M1244"/>
      <c r="N1244"/>
    </row>
    <row r="1245" spans="1:14" x14ac:dyDescent="0.3">
      <c r="A1245" s="102" t="s">
        <v>1759</v>
      </c>
      <c r="B1245" s="102" t="s">
        <v>2564</v>
      </c>
      <c r="C1245" s="107" t="s">
        <v>1528</v>
      </c>
      <c r="D1245" s="102">
        <v>6</v>
      </c>
      <c r="E1245" s="111">
        <v>0</v>
      </c>
      <c r="F1245" s="112">
        <v>0</v>
      </c>
      <c r="G1245" s="112">
        <v>0</v>
      </c>
      <c r="H1245" s="112">
        <v>0</v>
      </c>
      <c r="I1245" s="113">
        <v>0</v>
      </c>
      <c r="J1245"/>
      <c r="K1245"/>
      <c r="L1245"/>
      <c r="M1245"/>
      <c r="N1245"/>
    </row>
    <row r="1246" spans="1:14" x14ac:dyDescent="0.3">
      <c r="A1246" s="102" t="s">
        <v>1760</v>
      </c>
      <c r="B1246" s="102" t="s">
        <v>2574</v>
      </c>
      <c r="C1246" s="107" t="s">
        <v>1528</v>
      </c>
      <c r="D1246" s="102">
        <v>6</v>
      </c>
      <c r="E1246" s="111">
        <v>0</v>
      </c>
      <c r="F1246" s="112">
        <v>0</v>
      </c>
      <c r="G1246" s="112">
        <v>0</v>
      </c>
      <c r="H1246" s="112">
        <v>0</v>
      </c>
      <c r="I1246" s="113">
        <v>0</v>
      </c>
      <c r="J1246"/>
      <c r="K1246"/>
      <c r="L1246"/>
      <c r="M1246"/>
      <c r="N1246"/>
    </row>
    <row r="1247" spans="1:14" x14ac:dyDescent="0.3">
      <c r="A1247" s="102" t="s">
        <v>1761</v>
      </c>
      <c r="B1247" s="102" t="s">
        <v>2575</v>
      </c>
      <c r="C1247" s="107" t="s">
        <v>1528</v>
      </c>
      <c r="D1247" s="102">
        <v>6</v>
      </c>
      <c r="E1247" s="111">
        <v>0</v>
      </c>
      <c r="F1247" s="112">
        <v>0</v>
      </c>
      <c r="G1247" s="112">
        <v>0</v>
      </c>
      <c r="H1247" s="112">
        <v>0</v>
      </c>
      <c r="I1247" s="113">
        <v>0</v>
      </c>
      <c r="J1247"/>
      <c r="K1247"/>
      <c r="L1247"/>
      <c r="M1247"/>
      <c r="N1247"/>
    </row>
    <row r="1248" spans="1:14" x14ac:dyDescent="0.3">
      <c r="A1248" s="102" t="s">
        <v>1602</v>
      </c>
      <c r="B1248" s="102" t="s">
        <v>2576</v>
      </c>
      <c r="C1248" s="107" t="s">
        <v>1528</v>
      </c>
      <c r="D1248" s="102">
        <v>4</v>
      </c>
      <c r="E1248" s="111">
        <v>5234968.45</v>
      </c>
      <c r="F1248" s="112">
        <v>11711914.76</v>
      </c>
      <c r="G1248" s="112">
        <v>3625786.22</v>
      </c>
      <c r="H1248" s="112">
        <v>13874627.23</v>
      </c>
      <c r="I1248" s="113">
        <v>34447296.659999996</v>
      </c>
      <c r="J1248"/>
      <c r="K1248"/>
      <c r="L1248"/>
      <c r="M1248"/>
      <c r="N1248"/>
    </row>
    <row r="1249" spans="1:14" x14ac:dyDescent="0.3">
      <c r="A1249" s="102" t="s">
        <v>1603</v>
      </c>
      <c r="B1249" s="102" t="s">
        <v>2577</v>
      </c>
      <c r="C1249" s="107" t="s">
        <v>1528</v>
      </c>
      <c r="D1249" s="102">
        <v>6</v>
      </c>
      <c r="E1249" s="111">
        <v>3783576.08</v>
      </c>
      <c r="F1249" s="112">
        <v>11264182.57</v>
      </c>
      <c r="G1249" s="112">
        <v>3625786.22</v>
      </c>
      <c r="H1249" s="112">
        <v>0</v>
      </c>
      <c r="I1249" s="113">
        <v>18673544.870000001</v>
      </c>
      <c r="J1249"/>
      <c r="K1249"/>
      <c r="L1249"/>
      <c r="M1249"/>
      <c r="N1249"/>
    </row>
    <row r="1250" spans="1:14" x14ac:dyDescent="0.3">
      <c r="A1250" s="102" t="s">
        <v>1604</v>
      </c>
      <c r="B1250" s="102" t="s">
        <v>2578</v>
      </c>
      <c r="C1250" s="107" t="s">
        <v>1528</v>
      </c>
      <c r="D1250" s="102">
        <v>6</v>
      </c>
      <c r="E1250" s="111">
        <v>0</v>
      </c>
      <c r="F1250" s="112">
        <v>0</v>
      </c>
      <c r="G1250" s="112">
        <v>0</v>
      </c>
      <c r="H1250" s="112">
        <v>0</v>
      </c>
      <c r="I1250" s="113">
        <v>0</v>
      </c>
      <c r="J1250"/>
      <c r="K1250"/>
      <c r="L1250"/>
      <c r="M1250"/>
      <c r="N1250"/>
    </row>
    <row r="1251" spans="1:14" x14ac:dyDescent="0.3">
      <c r="A1251" s="102" t="s">
        <v>1605</v>
      </c>
      <c r="B1251" s="102" t="s">
        <v>2579</v>
      </c>
      <c r="C1251" s="107" t="s">
        <v>1528</v>
      </c>
      <c r="D1251" s="102">
        <v>6</v>
      </c>
      <c r="E1251" s="111">
        <v>0</v>
      </c>
      <c r="F1251" s="112">
        <v>0</v>
      </c>
      <c r="G1251" s="112">
        <v>0</v>
      </c>
      <c r="H1251" s="112">
        <v>0</v>
      </c>
      <c r="I1251" s="113">
        <v>0</v>
      </c>
      <c r="J1251"/>
      <c r="K1251"/>
      <c r="L1251"/>
      <c r="M1251"/>
      <c r="N1251"/>
    </row>
    <row r="1252" spans="1:14" x14ac:dyDescent="0.3">
      <c r="A1252" s="102" t="s">
        <v>1606</v>
      </c>
      <c r="B1252" s="102" t="s">
        <v>2580</v>
      </c>
      <c r="C1252" s="107" t="s">
        <v>1528</v>
      </c>
      <c r="D1252" s="102">
        <v>6</v>
      </c>
      <c r="E1252" s="111">
        <v>0</v>
      </c>
      <c r="F1252" s="112">
        <v>0</v>
      </c>
      <c r="G1252" s="112">
        <v>0</v>
      </c>
      <c r="H1252" s="112">
        <v>0</v>
      </c>
      <c r="I1252" s="113">
        <v>0</v>
      </c>
      <c r="J1252"/>
      <c r="K1252"/>
      <c r="L1252"/>
      <c r="M1252"/>
      <c r="N1252"/>
    </row>
    <row r="1253" spans="1:14" x14ac:dyDescent="0.3">
      <c r="A1253" s="102" t="s">
        <v>1607</v>
      </c>
      <c r="B1253" s="102" t="s">
        <v>2581</v>
      </c>
      <c r="C1253" s="107" t="s">
        <v>1528</v>
      </c>
      <c r="D1253" s="102">
        <v>6</v>
      </c>
      <c r="E1253" s="111">
        <v>0</v>
      </c>
      <c r="F1253" s="112">
        <v>0</v>
      </c>
      <c r="G1253" s="112">
        <v>0</v>
      </c>
      <c r="H1253" s="112">
        <v>0</v>
      </c>
      <c r="I1253" s="113">
        <v>0</v>
      </c>
      <c r="J1253"/>
      <c r="K1253"/>
      <c r="L1253"/>
      <c r="M1253"/>
      <c r="N1253"/>
    </row>
    <row r="1254" spans="1:14" x14ac:dyDescent="0.3">
      <c r="A1254" s="102" t="s">
        <v>1608</v>
      </c>
      <c r="B1254" s="102" t="s">
        <v>2582</v>
      </c>
      <c r="C1254" s="107" t="s">
        <v>1528</v>
      </c>
      <c r="D1254" s="102">
        <v>6</v>
      </c>
      <c r="E1254" s="111">
        <v>0</v>
      </c>
      <c r="F1254" s="112">
        <v>0</v>
      </c>
      <c r="G1254" s="112">
        <v>0</v>
      </c>
      <c r="H1254" s="112">
        <v>0</v>
      </c>
      <c r="I1254" s="113">
        <v>0</v>
      </c>
      <c r="J1254"/>
      <c r="K1254"/>
      <c r="L1254"/>
      <c r="M1254"/>
      <c r="N1254"/>
    </row>
    <row r="1255" spans="1:14" x14ac:dyDescent="0.3">
      <c r="A1255" s="102" t="s">
        <v>1609</v>
      </c>
      <c r="B1255" s="102" t="s">
        <v>2583</v>
      </c>
      <c r="C1255" s="107" t="s">
        <v>1528</v>
      </c>
      <c r="D1255" s="102">
        <v>6</v>
      </c>
      <c r="E1255" s="111">
        <v>0</v>
      </c>
      <c r="F1255" s="112">
        <v>0</v>
      </c>
      <c r="G1255" s="112">
        <v>0</v>
      </c>
      <c r="H1255" s="112">
        <v>0</v>
      </c>
      <c r="I1255" s="113">
        <v>0</v>
      </c>
      <c r="J1255"/>
      <c r="K1255"/>
      <c r="L1255"/>
      <c r="M1255"/>
      <c r="N1255"/>
    </row>
    <row r="1256" spans="1:14" x14ac:dyDescent="0.3">
      <c r="A1256" s="102" t="s">
        <v>2674</v>
      </c>
      <c r="B1256" s="102" t="s">
        <v>2675</v>
      </c>
      <c r="C1256" s="107" t="s">
        <v>1528</v>
      </c>
      <c r="D1256" s="102">
        <v>6</v>
      </c>
      <c r="E1256" s="111">
        <v>0</v>
      </c>
      <c r="F1256" s="112">
        <v>447732.19</v>
      </c>
      <c r="G1256" s="112">
        <v>0</v>
      </c>
      <c r="H1256" s="112">
        <v>7455488.7000000002</v>
      </c>
      <c r="I1256" s="113">
        <v>7903220.8900000006</v>
      </c>
      <c r="J1256"/>
      <c r="K1256"/>
      <c r="L1256"/>
      <c r="M1256"/>
      <c r="N1256"/>
    </row>
    <row r="1257" spans="1:14" x14ac:dyDescent="0.3">
      <c r="A1257" s="102" t="s">
        <v>1610</v>
      </c>
      <c r="B1257" s="102" t="s">
        <v>2584</v>
      </c>
      <c r="C1257" s="107" t="s">
        <v>1528</v>
      </c>
      <c r="D1257" s="102">
        <v>6</v>
      </c>
      <c r="E1257" s="111">
        <v>1451392.37</v>
      </c>
      <c r="F1257" s="112">
        <v>0</v>
      </c>
      <c r="G1257" s="112">
        <v>0</v>
      </c>
      <c r="H1257" s="112">
        <v>6419138.5300000003</v>
      </c>
      <c r="I1257" s="113">
        <v>7870530.9000000004</v>
      </c>
      <c r="J1257"/>
      <c r="K1257"/>
      <c r="L1257"/>
      <c r="M1257"/>
      <c r="N1257"/>
    </row>
    <row r="1258" spans="1:14" x14ac:dyDescent="0.3">
      <c r="A1258" s="102" t="s">
        <v>1611</v>
      </c>
      <c r="B1258" s="102" t="s">
        <v>1612</v>
      </c>
      <c r="C1258" s="107" t="s">
        <v>1528</v>
      </c>
      <c r="D1258" s="102">
        <v>2</v>
      </c>
      <c r="E1258" s="111">
        <v>75259953.640000001</v>
      </c>
      <c r="F1258" s="112">
        <v>583872766.36000001</v>
      </c>
      <c r="G1258" s="112">
        <v>90260193.079999998</v>
      </c>
      <c r="H1258" s="112">
        <v>965333737.95000005</v>
      </c>
      <c r="I1258" s="113">
        <v>1714726651.0300002</v>
      </c>
      <c r="J1258"/>
      <c r="K1258"/>
      <c r="L1258"/>
      <c r="M1258"/>
      <c r="N1258"/>
    </row>
    <row r="1259" spans="1:14" x14ac:dyDescent="0.3">
      <c r="A1259" s="102" t="s">
        <v>1613</v>
      </c>
      <c r="B1259" s="102" t="s">
        <v>2585</v>
      </c>
      <c r="C1259" s="107" t="s">
        <v>1528</v>
      </c>
      <c r="D1259" s="102">
        <v>4</v>
      </c>
      <c r="E1259" s="111">
        <v>66599431</v>
      </c>
      <c r="F1259" s="112">
        <v>574261716.94000006</v>
      </c>
      <c r="G1259" s="112">
        <v>87932444.010000005</v>
      </c>
      <c r="H1259" s="112">
        <v>944982868.91999996</v>
      </c>
      <c r="I1259" s="113">
        <v>1673776460.8699999</v>
      </c>
      <c r="J1259"/>
      <c r="K1259"/>
      <c r="L1259"/>
      <c r="M1259"/>
      <c r="N1259"/>
    </row>
    <row r="1260" spans="1:14" x14ac:dyDescent="0.3">
      <c r="A1260" s="102" t="s">
        <v>1614</v>
      </c>
      <c r="B1260" s="102" t="s">
        <v>2535</v>
      </c>
      <c r="C1260" s="107" t="s">
        <v>1528</v>
      </c>
      <c r="D1260" s="102">
        <v>6</v>
      </c>
      <c r="E1260" s="111">
        <v>0</v>
      </c>
      <c r="F1260" s="112">
        <v>7408684.3700000001</v>
      </c>
      <c r="G1260" s="112">
        <v>0</v>
      </c>
      <c r="H1260" s="112">
        <v>35464698.609999999</v>
      </c>
      <c r="I1260" s="113">
        <v>42873382.979999997</v>
      </c>
      <c r="J1260"/>
      <c r="K1260"/>
      <c r="L1260"/>
      <c r="M1260"/>
      <c r="N1260"/>
    </row>
    <row r="1261" spans="1:14" x14ac:dyDescent="0.3">
      <c r="A1261" s="102" t="s">
        <v>1615</v>
      </c>
      <c r="B1261" s="102" t="s">
        <v>2586</v>
      </c>
      <c r="C1261" s="107" t="s">
        <v>1528</v>
      </c>
      <c r="D1261" s="102">
        <v>6</v>
      </c>
      <c r="E1261" s="111">
        <v>25397134.289999999</v>
      </c>
      <c r="F1261" s="112">
        <v>430328.52</v>
      </c>
      <c r="G1261" s="112">
        <v>56724407.130000003</v>
      </c>
      <c r="H1261" s="112">
        <v>251508339.38</v>
      </c>
      <c r="I1261" s="113">
        <v>334060209.31999999</v>
      </c>
      <c r="J1261"/>
      <c r="K1261"/>
      <c r="L1261"/>
      <c r="M1261"/>
      <c r="N1261"/>
    </row>
    <row r="1262" spans="1:14" x14ac:dyDescent="0.3">
      <c r="A1262" s="102" t="s">
        <v>1616</v>
      </c>
      <c r="B1262" s="102" t="s">
        <v>2587</v>
      </c>
      <c r="C1262" s="107" t="s">
        <v>1528</v>
      </c>
      <c r="D1262" s="102">
        <v>6</v>
      </c>
      <c r="E1262" s="111">
        <v>0</v>
      </c>
      <c r="F1262" s="112">
        <v>0</v>
      </c>
      <c r="G1262" s="112">
        <v>0</v>
      </c>
      <c r="H1262" s="112">
        <v>0</v>
      </c>
      <c r="I1262" s="113">
        <v>0</v>
      </c>
      <c r="J1262"/>
      <c r="K1262"/>
      <c r="L1262"/>
      <c r="M1262"/>
      <c r="N1262"/>
    </row>
    <row r="1263" spans="1:14" x14ac:dyDescent="0.3">
      <c r="A1263" s="102" t="s">
        <v>1617</v>
      </c>
      <c r="B1263" s="102" t="s">
        <v>2588</v>
      </c>
      <c r="C1263" s="107" t="s">
        <v>1528</v>
      </c>
      <c r="D1263" s="102">
        <v>6</v>
      </c>
      <c r="E1263" s="111">
        <v>41022625.219999999</v>
      </c>
      <c r="F1263" s="112">
        <v>556897774.59000003</v>
      </c>
      <c r="G1263" s="112">
        <v>30051386.68</v>
      </c>
      <c r="H1263" s="112">
        <v>606027357.27999997</v>
      </c>
      <c r="I1263" s="113">
        <v>1233999143.77</v>
      </c>
      <c r="J1263"/>
      <c r="K1263"/>
      <c r="L1263"/>
      <c r="M1263"/>
      <c r="N1263"/>
    </row>
    <row r="1264" spans="1:14" x14ac:dyDescent="0.3">
      <c r="A1264" s="102" t="s">
        <v>1618</v>
      </c>
      <c r="B1264" s="102" t="s">
        <v>2589</v>
      </c>
      <c r="C1264" s="107" t="s">
        <v>1528</v>
      </c>
      <c r="D1264" s="102">
        <v>6</v>
      </c>
      <c r="E1264" s="111">
        <v>179671.49</v>
      </c>
      <c r="F1264" s="112">
        <v>9524929.4600000009</v>
      </c>
      <c r="G1264" s="112">
        <v>239117.75</v>
      </c>
      <c r="H1264" s="112">
        <v>319220.3</v>
      </c>
      <c r="I1264" s="113">
        <v>10262939</v>
      </c>
      <c r="J1264"/>
      <c r="K1264"/>
      <c r="L1264"/>
      <c r="M1264"/>
      <c r="N1264"/>
    </row>
    <row r="1265" spans="1:14" x14ac:dyDescent="0.3">
      <c r="A1265" s="102" t="s">
        <v>1619</v>
      </c>
      <c r="B1265" s="102" t="s">
        <v>2536</v>
      </c>
      <c r="C1265" s="107" t="s">
        <v>1528</v>
      </c>
      <c r="D1265" s="102">
        <v>6</v>
      </c>
      <c r="E1265" s="111">
        <v>0</v>
      </c>
      <c r="F1265" s="112">
        <v>0</v>
      </c>
      <c r="G1265" s="112">
        <v>917532.45</v>
      </c>
      <c r="H1265" s="112">
        <v>198646.34</v>
      </c>
      <c r="I1265" s="113">
        <v>1116178.79</v>
      </c>
      <c r="J1265"/>
      <c r="K1265"/>
      <c r="L1265"/>
      <c r="M1265"/>
      <c r="N1265"/>
    </row>
    <row r="1266" spans="1:14" x14ac:dyDescent="0.3">
      <c r="A1266" s="102" t="s">
        <v>1620</v>
      </c>
      <c r="B1266" s="102" t="s">
        <v>2590</v>
      </c>
      <c r="C1266" s="107" t="s">
        <v>1528</v>
      </c>
      <c r="D1266" s="102">
        <v>6</v>
      </c>
      <c r="E1266" s="111">
        <v>0</v>
      </c>
      <c r="F1266" s="112">
        <v>0</v>
      </c>
      <c r="G1266" s="112">
        <v>0</v>
      </c>
      <c r="H1266" s="112">
        <v>0</v>
      </c>
      <c r="I1266" s="113">
        <v>0</v>
      </c>
      <c r="J1266"/>
      <c r="K1266"/>
      <c r="L1266"/>
      <c r="M1266"/>
      <c r="N1266"/>
    </row>
    <row r="1267" spans="1:14" x14ac:dyDescent="0.3">
      <c r="A1267" s="102" t="s">
        <v>1621</v>
      </c>
      <c r="B1267" s="102" t="s">
        <v>2539</v>
      </c>
      <c r="C1267" s="107" t="s">
        <v>1528</v>
      </c>
      <c r="D1267" s="102">
        <v>6</v>
      </c>
      <c r="E1267" s="111">
        <v>0</v>
      </c>
      <c r="F1267" s="112">
        <v>0</v>
      </c>
      <c r="G1267" s="112">
        <v>0</v>
      </c>
      <c r="H1267" s="112">
        <v>0</v>
      </c>
      <c r="I1267" s="113">
        <v>0</v>
      </c>
      <c r="J1267"/>
      <c r="K1267"/>
      <c r="L1267"/>
      <c r="M1267"/>
      <c r="N1267"/>
    </row>
    <row r="1268" spans="1:14" x14ac:dyDescent="0.3">
      <c r="A1268" s="102" t="s">
        <v>1762</v>
      </c>
      <c r="B1268" s="102" t="s">
        <v>2591</v>
      </c>
      <c r="C1268" s="107" t="s">
        <v>1528</v>
      </c>
      <c r="D1268" s="102">
        <v>6</v>
      </c>
      <c r="E1268" s="111">
        <v>0</v>
      </c>
      <c r="F1268" s="112">
        <v>0</v>
      </c>
      <c r="G1268" s="112">
        <v>0</v>
      </c>
      <c r="H1268" s="112">
        <v>0</v>
      </c>
      <c r="I1268" s="113">
        <v>0</v>
      </c>
      <c r="J1268"/>
      <c r="K1268"/>
      <c r="L1268"/>
      <c r="M1268"/>
      <c r="N1268"/>
    </row>
    <row r="1269" spans="1:14" x14ac:dyDescent="0.3">
      <c r="A1269" s="102" t="s">
        <v>1763</v>
      </c>
      <c r="B1269" s="102" t="s">
        <v>2592</v>
      </c>
      <c r="C1269" s="107" t="s">
        <v>1528</v>
      </c>
      <c r="D1269" s="102">
        <v>6</v>
      </c>
      <c r="E1269" s="111">
        <v>0</v>
      </c>
      <c r="F1269" s="112">
        <v>0</v>
      </c>
      <c r="G1269" s="112">
        <v>0</v>
      </c>
      <c r="H1269" s="112">
        <v>0</v>
      </c>
      <c r="I1269" s="113">
        <v>0</v>
      </c>
      <c r="J1269"/>
      <c r="K1269"/>
      <c r="L1269"/>
      <c r="M1269"/>
      <c r="N1269"/>
    </row>
    <row r="1270" spans="1:14" x14ac:dyDescent="0.3">
      <c r="A1270" s="102" t="s">
        <v>1764</v>
      </c>
      <c r="B1270" s="102" t="s">
        <v>2593</v>
      </c>
      <c r="C1270" s="107" t="s">
        <v>1528</v>
      </c>
      <c r="D1270" s="102">
        <v>6</v>
      </c>
      <c r="E1270" s="111">
        <v>0</v>
      </c>
      <c r="F1270" s="112">
        <v>0</v>
      </c>
      <c r="G1270" s="112">
        <v>0</v>
      </c>
      <c r="H1270" s="112">
        <v>0</v>
      </c>
      <c r="I1270" s="113">
        <v>0</v>
      </c>
      <c r="J1270"/>
      <c r="K1270"/>
      <c r="L1270"/>
      <c r="M1270"/>
      <c r="N1270"/>
    </row>
    <row r="1271" spans="1:14" x14ac:dyDescent="0.3">
      <c r="A1271" s="102" t="s">
        <v>1765</v>
      </c>
      <c r="B1271" s="102" t="s">
        <v>2594</v>
      </c>
      <c r="C1271" s="107" t="s">
        <v>1528</v>
      </c>
      <c r="D1271" s="102">
        <v>6</v>
      </c>
      <c r="E1271" s="111">
        <v>0</v>
      </c>
      <c r="F1271" s="112">
        <v>0</v>
      </c>
      <c r="G1271" s="112">
        <v>0</v>
      </c>
      <c r="H1271" s="112">
        <v>0</v>
      </c>
      <c r="I1271" s="113">
        <v>0</v>
      </c>
      <c r="J1271"/>
      <c r="K1271"/>
      <c r="L1271"/>
      <c r="M1271"/>
      <c r="N1271"/>
    </row>
    <row r="1272" spans="1:14" x14ac:dyDescent="0.3">
      <c r="A1272" s="102" t="s">
        <v>1766</v>
      </c>
      <c r="B1272" s="102" t="s">
        <v>2595</v>
      </c>
      <c r="C1272" s="107" t="s">
        <v>1528</v>
      </c>
      <c r="D1272" s="102">
        <v>6</v>
      </c>
      <c r="E1272" s="111">
        <v>0</v>
      </c>
      <c r="F1272" s="112">
        <v>0</v>
      </c>
      <c r="G1272" s="112">
        <v>0</v>
      </c>
      <c r="H1272" s="112">
        <v>0</v>
      </c>
      <c r="I1272" s="113">
        <v>0</v>
      </c>
      <c r="J1272"/>
      <c r="K1272"/>
      <c r="L1272"/>
      <c r="M1272"/>
      <c r="N1272"/>
    </row>
    <row r="1273" spans="1:14" x14ac:dyDescent="0.3">
      <c r="A1273" s="102" t="s">
        <v>1767</v>
      </c>
      <c r="B1273" s="102" t="s">
        <v>2596</v>
      </c>
      <c r="C1273" s="107" t="s">
        <v>1528</v>
      </c>
      <c r="D1273" s="102">
        <v>6</v>
      </c>
      <c r="E1273" s="111">
        <v>0</v>
      </c>
      <c r="F1273" s="112">
        <v>0</v>
      </c>
      <c r="G1273" s="112">
        <v>0</v>
      </c>
      <c r="H1273" s="112">
        <v>51464607.009999998</v>
      </c>
      <c r="I1273" s="113">
        <v>51464607.009999998</v>
      </c>
      <c r="J1273"/>
      <c r="K1273"/>
      <c r="L1273"/>
      <c r="M1273"/>
      <c r="N1273"/>
    </row>
    <row r="1274" spans="1:14" x14ac:dyDescent="0.3">
      <c r="A1274" s="102" t="s">
        <v>1768</v>
      </c>
      <c r="B1274" s="102" t="s">
        <v>2597</v>
      </c>
      <c r="C1274" s="107" t="s">
        <v>1528</v>
      </c>
      <c r="D1274" s="102">
        <v>6</v>
      </c>
      <c r="E1274" s="111">
        <v>0</v>
      </c>
      <c r="F1274" s="112">
        <v>0</v>
      </c>
      <c r="G1274" s="112">
        <v>0</v>
      </c>
      <c r="H1274" s="112">
        <v>0</v>
      </c>
      <c r="I1274" s="113">
        <v>0</v>
      </c>
      <c r="J1274"/>
      <c r="K1274"/>
      <c r="L1274"/>
      <c r="M1274"/>
      <c r="N1274"/>
    </row>
    <row r="1275" spans="1:14" x14ac:dyDescent="0.3">
      <c r="A1275" s="102" t="s">
        <v>1769</v>
      </c>
      <c r="B1275" s="102" t="s">
        <v>2598</v>
      </c>
      <c r="C1275" s="107" t="s">
        <v>1528</v>
      </c>
      <c r="D1275" s="102">
        <v>6</v>
      </c>
      <c r="E1275" s="111">
        <v>0</v>
      </c>
      <c r="F1275" s="112">
        <v>0</v>
      </c>
      <c r="G1275" s="112">
        <v>0</v>
      </c>
      <c r="H1275" s="112">
        <v>0</v>
      </c>
      <c r="I1275" s="113">
        <v>0</v>
      </c>
      <c r="J1275"/>
      <c r="K1275"/>
      <c r="L1275"/>
      <c r="M1275"/>
      <c r="N1275"/>
    </row>
    <row r="1276" spans="1:14" x14ac:dyDescent="0.3">
      <c r="A1276" s="102" t="s">
        <v>1622</v>
      </c>
      <c r="B1276" s="102" t="s">
        <v>2599</v>
      </c>
      <c r="C1276" s="107" t="s">
        <v>1528</v>
      </c>
      <c r="D1276" s="102">
        <v>4</v>
      </c>
      <c r="E1276" s="111">
        <v>196592.22</v>
      </c>
      <c r="F1276" s="112">
        <v>0</v>
      </c>
      <c r="G1276" s="112">
        <v>0</v>
      </c>
      <c r="H1276" s="112">
        <v>197529.65</v>
      </c>
      <c r="I1276" s="113">
        <v>394121.87</v>
      </c>
      <c r="J1276"/>
      <c r="K1276"/>
      <c r="L1276"/>
      <c r="M1276"/>
      <c r="N1276"/>
    </row>
    <row r="1277" spans="1:14" x14ac:dyDescent="0.3">
      <c r="A1277" s="102" t="s">
        <v>1623</v>
      </c>
      <c r="B1277" s="102" t="s">
        <v>2335</v>
      </c>
      <c r="C1277" s="107" t="s">
        <v>1528</v>
      </c>
      <c r="D1277" s="102">
        <v>6</v>
      </c>
      <c r="E1277" s="111">
        <v>196592.22</v>
      </c>
      <c r="F1277" s="112">
        <v>0</v>
      </c>
      <c r="G1277" s="112">
        <v>0</v>
      </c>
      <c r="H1277" s="112">
        <v>197529.65</v>
      </c>
      <c r="I1277" s="113">
        <v>394121.87</v>
      </c>
      <c r="J1277"/>
      <c r="K1277"/>
      <c r="L1277"/>
      <c r="M1277"/>
      <c r="N1277"/>
    </row>
    <row r="1278" spans="1:14" x14ac:dyDescent="0.3">
      <c r="A1278" s="102" t="s">
        <v>1624</v>
      </c>
      <c r="B1278" s="102" t="s">
        <v>2600</v>
      </c>
      <c r="C1278" s="107" t="s">
        <v>1528</v>
      </c>
      <c r="D1278" s="102">
        <v>6</v>
      </c>
      <c r="E1278" s="111">
        <v>0</v>
      </c>
      <c r="F1278" s="112">
        <v>0</v>
      </c>
      <c r="G1278" s="112">
        <v>0</v>
      </c>
      <c r="H1278" s="112">
        <v>0</v>
      </c>
      <c r="I1278" s="113">
        <v>0</v>
      </c>
      <c r="J1278"/>
      <c r="K1278"/>
      <c r="L1278"/>
      <c r="M1278"/>
      <c r="N1278"/>
    </row>
    <row r="1279" spans="1:14" x14ac:dyDescent="0.3">
      <c r="A1279" s="102" t="s">
        <v>1625</v>
      </c>
      <c r="B1279" s="102" t="s">
        <v>2021</v>
      </c>
      <c r="C1279" s="107" t="s">
        <v>1528</v>
      </c>
      <c r="D1279" s="102">
        <v>6</v>
      </c>
      <c r="E1279" s="111">
        <v>0</v>
      </c>
      <c r="F1279" s="112">
        <v>0</v>
      </c>
      <c r="G1279" s="112">
        <v>0</v>
      </c>
      <c r="H1279" s="112">
        <v>0</v>
      </c>
      <c r="I1279" s="113">
        <v>0</v>
      </c>
      <c r="J1279"/>
      <c r="K1279"/>
      <c r="L1279"/>
      <c r="M1279"/>
      <c r="N1279"/>
    </row>
    <row r="1280" spans="1:14" x14ac:dyDescent="0.3">
      <c r="A1280" s="102" t="s">
        <v>1626</v>
      </c>
      <c r="B1280" s="102" t="s">
        <v>2359</v>
      </c>
      <c r="C1280" s="107" t="s">
        <v>1528</v>
      </c>
      <c r="D1280" s="102">
        <v>6</v>
      </c>
      <c r="E1280" s="111">
        <v>0</v>
      </c>
      <c r="F1280" s="112">
        <v>0</v>
      </c>
      <c r="G1280" s="112">
        <v>0</v>
      </c>
      <c r="H1280" s="112">
        <v>0</v>
      </c>
      <c r="I1280" s="113">
        <v>0</v>
      </c>
      <c r="J1280"/>
      <c r="K1280"/>
      <c r="L1280"/>
      <c r="M1280"/>
      <c r="N1280"/>
    </row>
    <row r="1281" spans="1:14" x14ac:dyDescent="0.3">
      <c r="A1281" s="102" t="s">
        <v>1627</v>
      </c>
      <c r="B1281" s="102" t="s">
        <v>2022</v>
      </c>
      <c r="C1281" s="107" t="s">
        <v>1528</v>
      </c>
      <c r="D1281" s="102">
        <v>6</v>
      </c>
      <c r="E1281" s="111">
        <v>0</v>
      </c>
      <c r="F1281" s="112">
        <v>0</v>
      </c>
      <c r="G1281" s="112">
        <v>0</v>
      </c>
      <c r="H1281" s="112">
        <v>0</v>
      </c>
      <c r="I1281" s="113">
        <v>0</v>
      </c>
      <c r="J1281"/>
      <c r="K1281"/>
      <c r="L1281"/>
      <c r="M1281"/>
      <c r="N1281"/>
    </row>
    <row r="1282" spans="1:14" x14ac:dyDescent="0.3">
      <c r="A1282" s="102" t="s">
        <v>1628</v>
      </c>
      <c r="B1282" s="102" t="s">
        <v>2362</v>
      </c>
      <c r="C1282" s="107" t="s">
        <v>1528</v>
      </c>
      <c r="D1282" s="102">
        <v>6</v>
      </c>
      <c r="E1282" s="111">
        <v>0</v>
      </c>
      <c r="F1282" s="112">
        <v>0</v>
      </c>
      <c r="G1282" s="112">
        <v>0</v>
      </c>
      <c r="H1282" s="112">
        <v>0</v>
      </c>
      <c r="I1282" s="113">
        <v>0</v>
      </c>
      <c r="J1282"/>
      <c r="K1282"/>
      <c r="L1282"/>
      <c r="M1282"/>
      <c r="N1282"/>
    </row>
    <row r="1283" spans="1:14" x14ac:dyDescent="0.3">
      <c r="A1283" s="102" t="s">
        <v>1629</v>
      </c>
      <c r="B1283" s="102" t="s">
        <v>2400</v>
      </c>
      <c r="C1283" s="107" t="s">
        <v>1528</v>
      </c>
      <c r="D1283" s="102">
        <v>6</v>
      </c>
      <c r="E1283" s="111">
        <v>0</v>
      </c>
      <c r="F1283" s="112">
        <v>0</v>
      </c>
      <c r="G1283" s="112">
        <v>0</v>
      </c>
      <c r="H1283" s="112">
        <v>0</v>
      </c>
      <c r="I1283" s="113">
        <v>0</v>
      </c>
      <c r="J1283"/>
      <c r="K1283"/>
      <c r="L1283"/>
      <c r="M1283"/>
      <c r="N1283"/>
    </row>
    <row r="1284" spans="1:14" x14ac:dyDescent="0.3">
      <c r="A1284" s="102" t="s">
        <v>1630</v>
      </c>
      <c r="B1284" s="102" t="s">
        <v>2016</v>
      </c>
      <c r="C1284" s="107" t="s">
        <v>1528</v>
      </c>
      <c r="D1284" s="102">
        <v>6</v>
      </c>
      <c r="E1284" s="111">
        <v>0</v>
      </c>
      <c r="F1284" s="112">
        <v>0</v>
      </c>
      <c r="G1284" s="112">
        <v>0</v>
      </c>
      <c r="H1284" s="112">
        <v>0</v>
      </c>
      <c r="I1284" s="113">
        <v>0</v>
      </c>
      <c r="J1284"/>
      <c r="K1284"/>
      <c r="L1284"/>
      <c r="M1284"/>
      <c r="N1284"/>
    </row>
    <row r="1285" spans="1:14" x14ac:dyDescent="0.3">
      <c r="A1285" s="102" t="s">
        <v>1631</v>
      </c>
      <c r="B1285" s="102" t="s">
        <v>2382</v>
      </c>
      <c r="C1285" s="107" t="s">
        <v>1528</v>
      </c>
      <c r="D1285" s="102">
        <v>6</v>
      </c>
      <c r="E1285" s="111">
        <v>0</v>
      </c>
      <c r="F1285" s="112">
        <v>0</v>
      </c>
      <c r="G1285" s="112">
        <v>0</v>
      </c>
      <c r="H1285" s="112">
        <v>0</v>
      </c>
      <c r="I1285" s="113">
        <v>0</v>
      </c>
      <c r="J1285"/>
      <c r="K1285"/>
      <c r="L1285"/>
      <c r="M1285"/>
      <c r="N1285"/>
    </row>
    <row r="1286" spans="1:14" x14ac:dyDescent="0.3">
      <c r="A1286" s="102" t="s">
        <v>1632</v>
      </c>
      <c r="B1286" s="102" t="s">
        <v>2601</v>
      </c>
      <c r="C1286" s="107" t="s">
        <v>1528</v>
      </c>
      <c r="D1286" s="102">
        <v>4</v>
      </c>
      <c r="E1286" s="111">
        <v>0</v>
      </c>
      <c r="F1286" s="112">
        <v>0</v>
      </c>
      <c r="G1286" s="112">
        <v>0</v>
      </c>
      <c r="H1286" s="112">
        <v>0</v>
      </c>
      <c r="I1286" s="113">
        <v>0</v>
      </c>
      <c r="J1286"/>
      <c r="K1286"/>
      <c r="L1286"/>
      <c r="M1286"/>
      <c r="N1286"/>
    </row>
    <row r="1287" spans="1:14" x14ac:dyDescent="0.3">
      <c r="A1287" s="102" t="s">
        <v>1633</v>
      </c>
      <c r="B1287" s="102" t="s">
        <v>2335</v>
      </c>
      <c r="C1287" s="107" t="s">
        <v>1528</v>
      </c>
      <c r="D1287" s="102">
        <v>6</v>
      </c>
      <c r="E1287" s="111">
        <v>0</v>
      </c>
      <c r="F1287" s="112">
        <v>0</v>
      </c>
      <c r="G1287" s="112">
        <v>0</v>
      </c>
      <c r="H1287" s="112">
        <v>0</v>
      </c>
      <c r="I1287" s="113">
        <v>0</v>
      </c>
      <c r="J1287"/>
      <c r="K1287"/>
      <c r="L1287"/>
      <c r="M1287"/>
      <c r="N1287"/>
    </row>
    <row r="1288" spans="1:14" x14ac:dyDescent="0.3">
      <c r="A1288" s="102" t="s">
        <v>1634</v>
      </c>
      <c r="B1288" s="102" t="s">
        <v>2600</v>
      </c>
      <c r="C1288" s="107" t="s">
        <v>1528</v>
      </c>
      <c r="D1288" s="102">
        <v>6</v>
      </c>
      <c r="E1288" s="111">
        <v>0</v>
      </c>
      <c r="F1288" s="112">
        <v>0</v>
      </c>
      <c r="G1288" s="112">
        <v>0</v>
      </c>
      <c r="H1288" s="112">
        <v>0</v>
      </c>
      <c r="I1288" s="113">
        <v>0</v>
      </c>
      <c r="J1288"/>
      <c r="K1288"/>
      <c r="L1288"/>
      <c r="M1288"/>
      <c r="N1288"/>
    </row>
    <row r="1289" spans="1:14" x14ac:dyDescent="0.3">
      <c r="A1289" s="102" t="s">
        <v>1635</v>
      </c>
      <c r="B1289" s="102" t="s">
        <v>2021</v>
      </c>
      <c r="C1289" s="107" t="s">
        <v>1528</v>
      </c>
      <c r="D1289" s="102">
        <v>6</v>
      </c>
      <c r="E1289" s="111">
        <v>0</v>
      </c>
      <c r="F1289" s="112">
        <v>0</v>
      </c>
      <c r="G1289" s="112">
        <v>0</v>
      </c>
      <c r="H1289" s="112">
        <v>0</v>
      </c>
      <c r="I1289" s="113">
        <v>0</v>
      </c>
      <c r="J1289"/>
      <c r="K1289"/>
      <c r="L1289"/>
      <c r="M1289"/>
      <c r="N1289"/>
    </row>
    <row r="1290" spans="1:14" x14ac:dyDescent="0.3">
      <c r="A1290" s="102" t="s">
        <v>1636</v>
      </c>
      <c r="B1290" s="102" t="s">
        <v>2359</v>
      </c>
      <c r="C1290" s="107" t="s">
        <v>1528</v>
      </c>
      <c r="D1290" s="102">
        <v>6</v>
      </c>
      <c r="E1290" s="111">
        <v>0</v>
      </c>
      <c r="F1290" s="112">
        <v>0</v>
      </c>
      <c r="G1290" s="112">
        <v>0</v>
      </c>
      <c r="H1290" s="112">
        <v>0</v>
      </c>
      <c r="I1290" s="113">
        <v>0</v>
      </c>
      <c r="J1290"/>
      <c r="K1290"/>
      <c r="L1290"/>
      <c r="M1290"/>
      <c r="N1290"/>
    </row>
    <row r="1291" spans="1:14" x14ac:dyDescent="0.3">
      <c r="A1291" s="102" t="s">
        <v>1637</v>
      </c>
      <c r="B1291" s="102" t="s">
        <v>2022</v>
      </c>
      <c r="C1291" s="107" t="s">
        <v>1528</v>
      </c>
      <c r="D1291" s="102">
        <v>6</v>
      </c>
      <c r="E1291" s="111">
        <v>0</v>
      </c>
      <c r="F1291" s="112">
        <v>0</v>
      </c>
      <c r="G1291" s="112">
        <v>0</v>
      </c>
      <c r="H1291" s="112">
        <v>0</v>
      </c>
      <c r="I1291" s="113">
        <v>0</v>
      </c>
      <c r="J1291"/>
      <c r="K1291"/>
      <c r="L1291"/>
      <c r="M1291"/>
      <c r="N1291"/>
    </row>
    <row r="1292" spans="1:14" x14ac:dyDescent="0.3">
      <c r="A1292" s="102" t="s">
        <v>1638</v>
      </c>
      <c r="B1292" s="102" t="s">
        <v>2362</v>
      </c>
      <c r="C1292" s="107" t="s">
        <v>1528</v>
      </c>
      <c r="D1292" s="102">
        <v>6</v>
      </c>
      <c r="E1292" s="111">
        <v>0</v>
      </c>
      <c r="F1292" s="112">
        <v>0</v>
      </c>
      <c r="G1292" s="112">
        <v>0</v>
      </c>
      <c r="H1292" s="112">
        <v>0</v>
      </c>
      <c r="I1292" s="113">
        <v>0</v>
      </c>
      <c r="J1292"/>
      <c r="K1292"/>
      <c r="L1292"/>
      <c r="M1292"/>
      <c r="N1292"/>
    </row>
    <row r="1293" spans="1:14" x14ac:dyDescent="0.3">
      <c r="A1293" s="102" t="s">
        <v>1639</v>
      </c>
      <c r="B1293" s="102" t="s">
        <v>2400</v>
      </c>
      <c r="C1293" s="107" t="s">
        <v>1528</v>
      </c>
      <c r="D1293" s="102">
        <v>6</v>
      </c>
      <c r="E1293" s="111">
        <v>0</v>
      </c>
      <c r="F1293" s="112">
        <v>0</v>
      </c>
      <c r="G1293" s="112">
        <v>0</v>
      </c>
      <c r="H1293" s="112">
        <v>0</v>
      </c>
      <c r="I1293" s="113">
        <v>0</v>
      </c>
      <c r="J1293"/>
      <c r="K1293"/>
      <c r="L1293"/>
      <c r="M1293"/>
      <c r="N1293"/>
    </row>
    <row r="1294" spans="1:14" x14ac:dyDescent="0.3">
      <c r="A1294" s="102" t="s">
        <v>1640</v>
      </c>
      <c r="B1294" s="102" t="s">
        <v>2016</v>
      </c>
      <c r="C1294" s="107" t="s">
        <v>1528</v>
      </c>
      <c r="D1294" s="102">
        <v>6</v>
      </c>
      <c r="E1294" s="111">
        <v>0</v>
      </c>
      <c r="F1294" s="112">
        <v>0</v>
      </c>
      <c r="G1294" s="112">
        <v>0</v>
      </c>
      <c r="H1294" s="112">
        <v>0</v>
      </c>
      <c r="I1294" s="113">
        <v>0</v>
      </c>
      <c r="J1294"/>
      <c r="K1294"/>
      <c r="L1294"/>
      <c r="M1294"/>
      <c r="N1294"/>
    </row>
    <row r="1295" spans="1:14" x14ac:dyDescent="0.3">
      <c r="A1295" s="102" t="s">
        <v>1641</v>
      </c>
      <c r="B1295" s="102" t="s">
        <v>2382</v>
      </c>
      <c r="C1295" s="107" t="s">
        <v>1528</v>
      </c>
      <c r="D1295" s="102">
        <v>6</v>
      </c>
      <c r="E1295" s="111">
        <v>0</v>
      </c>
      <c r="F1295" s="112">
        <v>0</v>
      </c>
      <c r="G1295" s="112">
        <v>0</v>
      </c>
      <c r="H1295" s="112">
        <v>0</v>
      </c>
      <c r="I1295" s="113">
        <v>0</v>
      </c>
      <c r="J1295"/>
      <c r="K1295"/>
      <c r="L1295"/>
      <c r="M1295"/>
      <c r="N1295"/>
    </row>
    <row r="1296" spans="1:14" x14ac:dyDescent="0.3">
      <c r="A1296" s="102" t="s">
        <v>1642</v>
      </c>
      <c r="B1296" s="102" t="s">
        <v>2602</v>
      </c>
      <c r="C1296" s="107" t="s">
        <v>1528</v>
      </c>
      <c r="D1296" s="102">
        <v>4</v>
      </c>
      <c r="E1296" s="111">
        <v>6671932.9699999997</v>
      </c>
      <c r="F1296" s="112">
        <v>0</v>
      </c>
      <c r="G1296" s="112">
        <v>0</v>
      </c>
      <c r="H1296" s="112">
        <v>0</v>
      </c>
      <c r="I1296" s="113">
        <v>6671932.9700000007</v>
      </c>
      <c r="J1296"/>
      <c r="K1296"/>
      <c r="L1296"/>
      <c r="M1296"/>
      <c r="N1296"/>
    </row>
    <row r="1297" spans="1:14" x14ac:dyDescent="0.3">
      <c r="A1297" s="102" t="s">
        <v>1643</v>
      </c>
      <c r="B1297" s="102" t="s">
        <v>2335</v>
      </c>
      <c r="C1297" s="107" t="s">
        <v>1528</v>
      </c>
      <c r="D1297" s="102">
        <v>6</v>
      </c>
      <c r="E1297" s="111">
        <v>6671932.9699999997</v>
      </c>
      <c r="F1297" s="112">
        <v>0</v>
      </c>
      <c r="G1297" s="112">
        <v>0</v>
      </c>
      <c r="H1297" s="112">
        <v>0</v>
      </c>
      <c r="I1297" s="113">
        <v>6671932.9700000007</v>
      </c>
      <c r="J1297"/>
      <c r="K1297"/>
      <c r="L1297"/>
      <c r="M1297"/>
      <c r="N1297"/>
    </row>
    <row r="1298" spans="1:14" x14ac:dyDescent="0.3">
      <c r="A1298" s="102" t="s">
        <v>1644</v>
      </c>
      <c r="B1298" s="102" t="s">
        <v>2021</v>
      </c>
      <c r="C1298" s="107" t="s">
        <v>1528</v>
      </c>
      <c r="D1298" s="102">
        <v>6</v>
      </c>
      <c r="E1298" s="111">
        <v>0</v>
      </c>
      <c r="F1298" s="112">
        <v>0</v>
      </c>
      <c r="G1298" s="112">
        <v>0</v>
      </c>
      <c r="H1298" s="112">
        <v>0</v>
      </c>
      <c r="I1298" s="113">
        <v>0</v>
      </c>
      <c r="J1298"/>
      <c r="K1298"/>
      <c r="L1298"/>
      <c r="M1298"/>
      <c r="N1298"/>
    </row>
    <row r="1299" spans="1:14" x14ac:dyDescent="0.3">
      <c r="A1299" s="102" t="s">
        <v>2676</v>
      </c>
      <c r="B1299" s="102" t="s">
        <v>2677</v>
      </c>
      <c r="C1299" s="107" t="s">
        <v>1528</v>
      </c>
      <c r="D1299" s="102">
        <v>4</v>
      </c>
      <c r="E1299" s="111">
        <v>0</v>
      </c>
      <c r="F1299" s="112">
        <v>0</v>
      </c>
      <c r="G1299" s="112">
        <v>0</v>
      </c>
      <c r="H1299" s="112">
        <v>0</v>
      </c>
      <c r="I1299" s="113">
        <v>0</v>
      </c>
      <c r="J1299"/>
      <c r="K1299"/>
      <c r="L1299"/>
      <c r="M1299"/>
      <c r="N1299"/>
    </row>
    <row r="1300" spans="1:14" x14ac:dyDescent="0.3">
      <c r="A1300" s="102" t="s">
        <v>2678</v>
      </c>
      <c r="B1300" s="102" t="s">
        <v>2679</v>
      </c>
      <c r="C1300" s="107" t="s">
        <v>1528</v>
      </c>
      <c r="D1300" s="102">
        <v>6</v>
      </c>
      <c r="E1300" s="111">
        <v>0</v>
      </c>
      <c r="F1300" s="112">
        <v>0</v>
      </c>
      <c r="G1300" s="112">
        <v>0</v>
      </c>
      <c r="H1300" s="112">
        <v>0</v>
      </c>
      <c r="I1300" s="113">
        <v>0</v>
      </c>
      <c r="J1300"/>
      <c r="K1300"/>
      <c r="L1300"/>
      <c r="M1300"/>
      <c r="N1300"/>
    </row>
    <row r="1301" spans="1:14" x14ac:dyDescent="0.3">
      <c r="A1301" s="102" t="s">
        <v>2680</v>
      </c>
      <c r="B1301" s="102" t="s">
        <v>2681</v>
      </c>
      <c r="C1301" s="107" t="s">
        <v>1528</v>
      </c>
      <c r="D1301" s="102">
        <v>6</v>
      </c>
      <c r="E1301" s="111">
        <v>0</v>
      </c>
      <c r="F1301" s="112">
        <v>0</v>
      </c>
      <c r="G1301" s="112">
        <v>0</v>
      </c>
      <c r="H1301" s="112">
        <v>0</v>
      </c>
      <c r="I1301" s="113">
        <v>0</v>
      </c>
      <c r="J1301"/>
      <c r="K1301"/>
      <c r="L1301"/>
      <c r="M1301"/>
      <c r="N1301"/>
    </row>
    <row r="1302" spans="1:14" x14ac:dyDescent="0.3">
      <c r="A1302" s="102" t="s">
        <v>1645</v>
      </c>
      <c r="B1302" s="102" t="s">
        <v>2603</v>
      </c>
      <c r="C1302" s="107" t="s">
        <v>1528</v>
      </c>
      <c r="D1302" s="102">
        <v>4</v>
      </c>
      <c r="E1302" s="111">
        <v>0</v>
      </c>
      <c r="F1302" s="112">
        <v>0</v>
      </c>
      <c r="G1302" s="112">
        <v>0</v>
      </c>
      <c r="H1302" s="112">
        <v>0</v>
      </c>
      <c r="I1302" s="113">
        <v>0</v>
      </c>
      <c r="J1302"/>
      <c r="K1302"/>
      <c r="L1302"/>
      <c r="M1302"/>
      <c r="N1302"/>
    </row>
    <row r="1303" spans="1:14" x14ac:dyDescent="0.3">
      <c r="A1303" s="102" t="s">
        <v>1646</v>
      </c>
      <c r="B1303" s="102" t="s">
        <v>2018</v>
      </c>
      <c r="C1303" s="107" t="s">
        <v>1528</v>
      </c>
      <c r="D1303" s="102">
        <v>6</v>
      </c>
      <c r="E1303" s="111">
        <v>0</v>
      </c>
      <c r="F1303" s="112">
        <v>0</v>
      </c>
      <c r="G1303" s="112">
        <v>0</v>
      </c>
      <c r="H1303" s="112">
        <v>0</v>
      </c>
      <c r="I1303" s="113">
        <v>0</v>
      </c>
      <c r="J1303"/>
      <c r="K1303"/>
      <c r="L1303"/>
      <c r="M1303"/>
      <c r="N1303"/>
    </row>
    <row r="1304" spans="1:14" x14ac:dyDescent="0.3">
      <c r="A1304" s="102" t="s">
        <v>1647</v>
      </c>
      <c r="B1304" s="102" t="s">
        <v>2100</v>
      </c>
      <c r="C1304" s="107" t="s">
        <v>1528</v>
      </c>
      <c r="D1304" s="102">
        <v>6</v>
      </c>
      <c r="E1304" s="111">
        <v>0</v>
      </c>
      <c r="F1304" s="112">
        <v>0</v>
      </c>
      <c r="G1304" s="112">
        <v>0</v>
      </c>
      <c r="H1304" s="112">
        <v>0</v>
      </c>
      <c r="I1304" s="113">
        <v>0</v>
      </c>
      <c r="J1304"/>
      <c r="K1304"/>
      <c r="L1304"/>
      <c r="M1304"/>
      <c r="N1304"/>
    </row>
    <row r="1305" spans="1:14" x14ac:dyDescent="0.3">
      <c r="A1305" s="102" t="s">
        <v>1648</v>
      </c>
      <c r="B1305" s="102" t="s">
        <v>2194</v>
      </c>
      <c r="C1305" s="107" t="s">
        <v>1528</v>
      </c>
      <c r="D1305" s="102">
        <v>6</v>
      </c>
      <c r="E1305" s="111">
        <v>0</v>
      </c>
      <c r="F1305" s="112">
        <v>0</v>
      </c>
      <c r="G1305" s="112">
        <v>0</v>
      </c>
      <c r="H1305" s="112">
        <v>0</v>
      </c>
      <c r="I1305" s="113">
        <v>0</v>
      </c>
      <c r="J1305"/>
      <c r="K1305"/>
      <c r="L1305"/>
      <c r="M1305"/>
      <c r="N1305"/>
    </row>
    <row r="1306" spans="1:14" x14ac:dyDescent="0.3">
      <c r="A1306" s="102" t="s">
        <v>1649</v>
      </c>
      <c r="B1306" s="102" t="s">
        <v>2019</v>
      </c>
      <c r="C1306" s="107" t="s">
        <v>1528</v>
      </c>
      <c r="D1306" s="102">
        <v>6</v>
      </c>
      <c r="E1306" s="111">
        <v>0</v>
      </c>
      <c r="F1306" s="112">
        <v>0</v>
      </c>
      <c r="G1306" s="112">
        <v>0</v>
      </c>
      <c r="H1306" s="112">
        <v>0</v>
      </c>
      <c r="I1306" s="113">
        <v>0</v>
      </c>
      <c r="J1306"/>
      <c r="K1306"/>
      <c r="L1306"/>
      <c r="M1306"/>
      <c r="N1306"/>
    </row>
    <row r="1307" spans="1:14" x14ac:dyDescent="0.3">
      <c r="A1307" s="102" t="s">
        <v>1650</v>
      </c>
      <c r="B1307" s="102" t="s">
        <v>2604</v>
      </c>
      <c r="C1307" s="107" t="s">
        <v>1528</v>
      </c>
      <c r="D1307" s="102">
        <v>6</v>
      </c>
      <c r="E1307" s="111">
        <v>0</v>
      </c>
      <c r="F1307" s="112">
        <v>0</v>
      </c>
      <c r="G1307" s="112">
        <v>0</v>
      </c>
      <c r="H1307" s="112">
        <v>0</v>
      </c>
      <c r="I1307" s="113">
        <v>0</v>
      </c>
      <c r="J1307"/>
      <c r="K1307"/>
      <c r="L1307"/>
      <c r="M1307"/>
      <c r="N1307"/>
    </row>
    <row r="1308" spans="1:14" x14ac:dyDescent="0.3">
      <c r="A1308" s="102" t="s">
        <v>1651</v>
      </c>
      <c r="B1308" s="102" t="s">
        <v>2020</v>
      </c>
      <c r="C1308" s="107" t="s">
        <v>1528</v>
      </c>
      <c r="D1308" s="102">
        <v>6</v>
      </c>
      <c r="E1308" s="111">
        <v>0</v>
      </c>
      <c r="F1308" s="112">
        <v>0</v>
      </c>
      <c r="G1308" s="112">
        <v>0</v>
      </c>
      <c r="H1308" s="112">
        <v>0</v>
      </c>
      <c r="I1308" s="113">
        <v>0</v>
      </c>
      <c r="J1308"/>
      <c r="K1308"/>
      <c r="L1308"/>
      <c r="M1308"/>
      <c r="N1308"/>
    </row>
    <row r="1309" spans="1:14" x14ac:dyDescent="0.3">
      <c r="A1309" s="102" t="s">
        <v>1652</v>
      </c>
      <c r="B1309" s="102" t="s">
        <v>2216</v>
      </c>
      <c r="C1309" s="107" t="s">
        <v>1528</v>
      </c>
      <c r="D1309" s="102">
        <v>6</v>
      </c>
      <c r="E1309" s="111">
        <v>0</v>
      </c>
      <c r="F1309" s="112">
        <v>0</v>
      </c>
      <c r="G1309" s="112">
        <v>0</v>
      </c>
      <c r="H1309" s="112">
        <v>0</v>
      </c>
      <c r="I1309" s="113">
        <v>0</v>
      </c>
      <c r="J1309"/>
      <c r="K1309"/>
      <c r="L1309"/>
      <c r="M1309"/>
      <c r="N1309"/>
    </row>
    <row r="1310" spans="1:14" x14ac:dyDescent="0.3">
      <c r="A1310" s="102" t="s">
        <v>1653</v>
      </c>
      <c r="B1310" s="102" t="s">
        <v>2605</v>
      </c>
      <c r="C1310" s="107" t="s">
        <v>1528</v>
      </c>
      <c r="D1310" s="102">
        <v>4</v>
      </c>
      <c r="E1310" s="111">
        <v>0</v>
      </c>
      <c r="F1310" s="112">
        <v>967.47</v>
      </c>
      <c r="G1310" s="112">
        <v>0</v>
      </c>
      <c r="H1310" s="112">
        <v>7000000</v>
      </c>
      <c r="I1310" s="113">
        <v>7000967.4700000007</v>
      </c>
      <c r="J1310"/>
      <c r="K1310"/>
      <c r="L1310"/>
      <c r="M1310"/>
      <c r="N1310"/>
    </row>
    <row r="1311" spans="1:14" x14ac:dyDescent="0.3">
      <c r="A1311" s="102" t="s">
        <v>1654</v>
      </c>
      <c r="B1311" s="102" t="s">
        <v>2337</v>
      </c>
      <c r="C1311" s="107" t="s">
        <v>1528</v>
      </c>
      <c r="D1311" s="102">
        <v>6</v>
      </c>
      <c r="E1311" s="111">
        <v>0</v>
      </c>
      <c r="F1311" s="112">
        <v>967.47</v>
      </c>
      <c r="G1311" s="112">
        <v>0</v>
      </c>
      <c r="H1311" s="112">
        <v>0</v>
      </c>
      <c r="I1311" s="113">
        <v>967.47</v>
      </c>
      <c r="J1311"/>
      <c r="K1311"/>
      <c r="L1311"/>
      <c r="M1311"/>
      <c r="N1311"/>
    </row>
    <row r="1312" spans="1:14" x14ac:dyDescent="0.3">
      <c r="A1312" s="102" t="s">
        <v>1655</v>
      </c>
      <c r="B1312" s="102" t="s">
        <v>2338</v>
      </c>
      <c r="C1312" s="107" t="s">
        <v>1528</v>
      </c>
      <c r="D1312" s="102">
        <v>6</v>
      </c>
      <c r="E1312" s="111">
        <v>0</v>
      </c>
      <c r="F1312" s="112">
        <v>0</v>
      </c>
      <c r="G1312" s="112">
        <v>0</v>
      </c>
      <c r="H1312" s="112">
        <v>0</v>
      </c>
      <c r="I1312" s="113">
        <v>0</v>
      </c>
      <c r="J1312"/>
      <c r="K1312"/>
      <c r="L1312"/>
      <c r="M1312"/>
      <c r="N1312"/>
    </row>
    <row r="1313" spans="1:14" x14ac:dyDescent="0.3">
      <c r="A1313" s="102" t="s">
        <v>1656</v>
      </c>
      <c r="B1313" s="102" t="s">
        <v>2342</v>
      </c>
      <c r="C1313" s="107" t="s">
        <v>1528</v>
      </c>
      <c r="D1313" s="102">
        <v>6</v>
      </c>
      <c r="E1313" s="111">
        <v>0</v>
      </c>
      <c r="F1313" s="112">
        <v>0</v>
      </c>
      <c r="G1313" s="112">
        <v>0</v>
      </c>
      <c r="H1313" s="112">
        <v>0</v>
      </c>
      <c r="I1313" s="113">
        <v>0</v>
      </c>
      <c r="J1313"/>
      <c r="K1313"/>
      <c r="L1313"/>
      <c r="M1313"/>
      <c r="N1313"/>
    </row>
    <row r="1314" spans="1:14" x14ac:dyDescent="0.3">
      <c r="A1314" s="102" t="s">
        <v>1657</v>
      </c>
      <c r="B1314" s="102" t="s">
        <v>2346</v>
      </c>
      <c r="C1314" s="107" t="s">
        <v>1528</v>
      </c>
      <c r="D1314" s="102">
        <v>6</v>
      </c>
      <c r="E1314" s="111">
        <v>0</v>
      </c>
      <c r="F1314" s="112">
        <v>0</v>
      </c>
      <c r="G1314" s="112">
        <v>0</v>
      </c>
      <c r="H1314" s="112">
        <v>7000000</v>
      </c>
      <c r="I1314" s="113">
        <v>7000000</v>
      </c>
      <c r="J1314"/>
      <c r="K1314"/>
      <c r="L1314"/>
      <c r="M1314"/>
      <c r="N1314"/>
    </row>
    <row r="1315" spans="1:14" x14ac:dyDescent="0.3">
      <c r="A1315" s="102" t="s">
        <v>1658</v>
      </c>
      <c r="B1315" s="102" t="s">
        <v>2340</v>
      </c>
      <c r="C1315" s="107" t="s">
        <v>1528</v>
      </c>
      <c r="D1315" s="102">
        <v>6</v>
      </c>
      <c r="E1315" s="111">
        <v>0</v>
      </c>
      <c r="F1315" s="112">
        <v>0</v>
      </c>
      <c r="G1315" s="112">
        <v>0</v>
      </c>
      <c r="H1315" s="112">
        <v>0</v>
      </c>
      <c r="I1315" s="113">
        <v>0</v>
      </c>
      <c r="J1315"/>
      <c r="K1315"/>
      <c r="L1315"/>
      <c r="M1315"/>
      <c r="N1315"/>
    </row>
    <row r="1316" spans="1:14" x14ac:dyDescent="0.3">
      <c r="A1316" s="102" t="s">
        <v>1659</v>
      </c>
      <c r="B1316" s="102" t="s">
        <v>2606</v>
      </c>
      <c r="C1316" s="107" t="s">
        <v>1528</v>
      </c>
      <c r="D1316" s="102">
        <v>4</v>
      </c>
      <c r="E1316" s="111">
        <v>0</v>
      </c>
      <c r="F1316" s="112">
        <v>0</v>
      </c>
      <c r="G1316" s="112">
        <v>0</v>
      </c>
      <c r="H1316" s="112">
        <v>0</v>
      </c>
      <c r="I1316" s="113">
        <v>0</v>
      </c>
      <c r="J1316"/>
      <c r="K1316"/>
      <c r="L1316"/>
      <c r="M1316"/>
      <c r="N1316"/>
    </row>
    <row r="1317" spans="1:14" x14ac:dyDescent="0.3">
      <c r="A1317" s="102" t="s">
        <v>1660</v>
      </c>
      <c r="B1317" s="102" t="s">
        <v>2607</v>
      </c>
      <c r="C1317" s="107" t="s">
        <v>1528</v>
      </c>
      <c r="D1317" s="102">
        <v>6</v>
      </c>
      <c r="E1317" s="111">
        <v>0</v>
      </c>
      <c r="F1317" s="112">
        <v>0</v>
      </c>
      <c r="G1317" s="112">
        <v>0</v>
      </c>
      <c r="H1317" s="112">
        <v>0</v>
      </c>
      <c r="I1317" s="113">
        <v>0</v>
      </c>
      <c r="J1317"/>
      <c r="K1317"/>
      <c r="L1317"/>
      <c r="M1317"/>
      <c r="N1317"/>
    </row>
    <row r="1318" spans="1:14" x14ac:dyDescent="0.3">
      <c r="A1318" s="102" t="s">
        <v>1661</v>
      </c>
      <c r="B1318" s="102" t="s">
        <v>2590</v>
      </c>
      <c r="C1318" s="107" t="s">
        <v>1528</v>
      </c>
      <c r="D1318" s="102">
        <v>6</v>
      </c>
      <c r="E1318" s="111">
        <v>0</v>
      </c>
      <c r="F1318" s="112">
        <v>0</v>
      </c>
      <c r="G1318" s="112">
        <v>0</v>
      </c>
      <c r="H1318" s="112">
        <v>0</v>
      </c>
      <c r="I1318" s="113">
        <v>0</v>
      </c>
      <c r="J1318"/>
      <c r="K1318"/>
      <c r="L1318"/>
      <c r="M1318"/>
      <c r="N1318"/>
    </row>
    <row r="1319" spans="1:14" x14ac:dyDescent="0.3">
      <c r="A1319" s="102" t="s">
        <v>1662</v>
      </c>
      <c r="B1319" s="102" t="s">
        <v>2608</v>
      </c>
      <c r="C1319" s="107" t="s">
        <v>1528</v>
      </c>
      <c r="D1319" s="102">
        <v>6</v>
      </c>
      <c r="E1319" s="111">
        <v>0</v>
      </c>
      <c r="F1319" s="112">
        <v>0</v>
      </c>
      <c r="G1319" s="112">
        <v>0</v>
      </c>
      <c r="H1319" s="112">
        <v>0</v>
      </c>
      <c r="I1319" s="113">
        <v>0</v>
      </c>
      <c r="J1319"/>
      <c r="K1319"/>
      <c r="L1319"/>
      <c r="M1319"/>
      <c r="N1319"/>
    </row>
    <row r="1320" spans="1:14" x14ac:dyDescent="0.3">
      <c r="A1320" s="102" t="s">
        <v>1663</v>
      </c>
      <c r="B1320" s="102" t="s">
        <v>2544</v>
      </c>
      <c r="C1320" s="107" t="s">
        <v>1528</v>
      </c>
      <c r="D1320" s="102">
        <v>6</v>
      </c>
      <c r="E1320" s="111">
        <v>0</v>
      </c>
      <c r="F1320" s="112">
        <v>0</v>
      </c>
      <c r="G1320" s="112">
        <v>0</v>
      </c>
      <c r="H1320" s="112">
        <v>0</v>
      </c>
      <c r="I1320" s="113">
        <v>0</v>
      </c>
      <c r="J1320"/>
      <c r="K1320"/>
      <c r="L1320"/>
      <c r="M1320"/>
      <c r="N1320"/>
    </row>
    <row r="1321" spans="1:14" x14ac:dyDescent="0.3">
      <c r="A1321" s="102" t="s">
        <v>1664</v>
      </c>
      <c r="B1321" s="102" t="s">
        <v>2562</v>
      </c>
      <c r="C1321" s="107" t="s">
        <v>1528</v>
      </c>
      <c r="D1321" s="102">
        <v>6</v>
      </c>
      <c r="E1321" s="111">
        <v>0</v>
      </c>
      <c r="F1321" s="112">
        <v>0</v>
      </c>
      <c r="G1321" s="112">
        <v>0</v>
      </c>
      <c r="H1321" s="112">
        <v>0</v>
      </c>
      <c r="I1321" s="113">
        <v>0</v>
      </c>
      <c r="J1321"/>
      <c r="K1321"/>
      <c r="L1321"/>
      <c r="M1321"/>
      <c r="N1321"/>
    </row>
    <row r="1322" spans="1:14" x14ac:dyDescent="0.3">
      <c r="A1322" s="102" t="s">
        <v>1665</v>
      </c>
      <c r="B1322" s="102" t="s">
        <v>2212</v>
      </c>
      <c r="C1322" s="107" t="s">
        <v>1528</v>
      </c>
      <c r="D1322" s="102">
        <v>6</v>
      </c>
      <c r="E1322" s="111">
        <v>0</v>
      </c>
      <c r="F1322" s="112">
        <v>0</v>
      </c>
      <c r="G1322" s="112">
        <v>0</v>
      </c>
      <c r="H1322" s="112">
        <v>0</v>
      </c>
      <c r="I1322" s="113">
        <v>0</v>
      </c>
      <c r="J1322"/>
      <c r="K1322"/>
      <c r="L1322"/>
      <c r="M1322"/>
      <c r="N1322"/>
    </row>
    <row r="1323" spans="1:14" x14ac:dyDescent="0.3">
      <c r="A1323" s="102" t="s">
        <v>1666</v>
      </c>
      <c r="B1323" s="102" t="s">
        <v>2213</v>
      </c>
      <c r="C1323" s="107" t="s">
        <v>1528</v>
      </c>
      <c r="D1323" s="102">
        <v>6</v>
      </c>
      <c r="E1323" s="111">
        <v>0</v>
      </c>
      <c r="F1323" s="112">
        <v>0</v>
      </c>
      <c r="G1323" s="112">
        <v>0</v>
      </c>
      <c r="H1323" s="112">
        <v>0</v>
      </c>
      <c r="I1323" s="113">
        <v>0</v>
      </c>
      <c r="J1323"/>
      <c r="K1323"/>
      <c r="L1323"/>
      <c r="M1323"/>
      <c r="N1323"/>
    </row>
    <row r="1324" spans="1:14" x14ac:dyDescent="0.3">
      <c r="A1324" s="102" t="s">
        <v>1667</v>
      </c>
      <c r="B1324" s="102" t="s">
        <v>2545</v>
      </c>
      <c r="C1324" s="107" t="s">
        <v>1528</v>
      </c>
      <c r="D1324" s="102">
        <v>6</v>
      </c>
      <c r="E1324" s="111">
        <v>0</v>
      </c>
      <c r="F1324" s="112">
        <v>0</v>
      </c>
      <c r="G1324" s="112">
        <v>0</v>
      </c>
      <c r="H1324" s="112">
        <v>0</v>
      </c>
      <c r="I1324" s="113">
        <v>0</v>
      </c>
      <c r="J1324"/>
      <c r="K1324"/>
      <c r="L1324"/>
      <c r="M1324"/>
      <c r="N1324"/>
    </row>
    <row r="1325" spans="1:14" x14ac:dyDescent="0.3">
      <c r="A1325" s="102" t="s">
        <v>1668</v>
      </c>
      <c r="B1325" s="102" t="s">
        <v>2546</v>
      </c>
      <c r="C1325" s="107" t="s">
        <v>1528</v>
      </c>
      <c r="D1325" s="102">
        <v>6</v>
      </c>
      <c r="E1325" s="111">
        <v>0</v>
      </c>
      <c r="F1325" s="112">
        <v>0</v>
      </c>
      <c r="G1325" s="112">
        <v>0</v>
      </c>
      <c r="H1325" s="112">
        <v>0</v>
      </c>
      <c r="I1325" s="113">
        <v>0</v>
      </c>
      <c r="J1325"/>
      <c r="K1325"/>
      <c r="L1325"/>
      <c r="M1325"/>
      <c r="N1325"/>
    </row>
    <row r="1326" spans="1:14" x14ac:dyDescent="0.3">
      <c r="A1326" s="102" t="s">
        <v>1669</v>
      </c>
      <c r="B1326" s="102" t="s">
        <v>2020</v>
      </c>
      <c r="C1326" s="107" t="s">
        <v>1528</v>
      </c>
      <c r="D1326" s="102">
        <v>6</v>
      </c>
      <c r="E1326" s="111">
        <v>0</v>
      </c>
      <c r="F1326" s="112">
        <v>0</v>
      </c>
      <c r="G1326" s="112">
        <v>0</v>
      </c>
      <c r="H1326" s="112">
        <v>0</v>
      </c>
      <c r="I1326" s="113">
        <v>0</v>
      </c>
      <c r="J1326"/>
      <c r="K1326"/>
      <c r="L1326"/>
      <c r="M1326"/>
      <c r="N1326"/>
    </row>
    <row r="1327" spans="1:14" x14ac:dyDescent="0.3">
      <c r="A1327" s="102" t="s">
        <v>1670</v>
      </c>
      <c r="B1327" s="102" t="s">
        <v>2096</v>
      </c>
      <c r="C1327" s="107" t="s">
        <v>1528</v>
      </c>
      <c r="D1327" s="102">
        <v>6</v>
      </c>
      <c r="E1327" s="111">
        <v>0</v>
      </c>
      <c r="F1327" s="112">
        <v>0</v>
      </c>
      <c r="G1327" s="112">
        <v>0</v>
      </c>
      <c r="H1327" s="112">
        <v>0</v>
      </c>
      <c r="I1327" s="113">
        <v>0</v>
      </c>
      <c r="J1327"/>
      <c r="K1327"/>
      <c r="L1327"/>
      <c r="M1327"/>
      <c r="N1327"/>
    </row>
    <row r="1328" spans="1:14" x14ac:dyDescent="0.3">
      <c r="A1328" s="102" t="s">
        <v>1671</v>
      </c>
      <c r="B1328" s="102" t="s">
        <v>2609</v>
      </c>
      <c r="C1328" s="107" t="s">
        <v>1528</v>
      </c>
      <c r="D1328" s="102">
        <v>4</v>
      </c>
      <c r="E1328" s="111">
        <v>0</v>
      </c>
      <c r="F1328" s="112">
        <v>0</v>
      </c>
      <c r="G1328" s="112">
        <v>0</v>
      </c>
      <c r="H1328" s="112">
        <v>0</v>
      </c>
      <c r="I1328" s="113">
        <v>0</v>
      </c>
      <c r="J1328"/>
      <c r="K1328"/>
      <c r="L1328"/>
      <c r="M1328"/>
      <c r="N1328"/>
    </row>
    <row r="1329" spans="1:14" x14ac:dyDescent="0.3">
      <c r="A1329" s="102" t="s">
        <v>1672</v>
      </c>
      <c r="B1329" s="102" t="s">
        <v>2610</v>
      </c>
      <c r="C1329" s="107" t="s">
        <v>1528</v>
      </c>
      <c r="D1329" s="102">
        <v>4</v>
      </c>
      <c r="E1329" s="111">
        <v>0</v>
      </c>
      <c r="F1329" s="112">
        <v>0</v>
      </c>
      <c r="G1329" s="112">
        <v>0</v>
      </c>
      <c r="H1329" s="112">
        <v>0</v>
      </c>
      <c r="I1329" s="113">
        <v>0</v>
      </c>
      <c r="J1329"/>
      <c r="K1329"/>
      <c r="L1329"/>
      <c r="M1329"/>
      <c r="N1329"/>
    </row>
    <row r="1330" spans="1:14" x14ac:dyDescent="0.3">
      <c r="A1330" s="102" t="s">
        <v>1673</v>
      </c>
      <c r="B1330" s="102" t="s">
        <v>2336</v>
      </c>
      <c r="C1330" s="107" t="s">
        <v>1528</v>
      </c>
      <c r="D1330" s="102">
        <v>6</v>
      </c>
      <c r="E1330" s="111">
        <v>0</v>
      </c>
      <c r="F1330" s="112">
        <v>0</v>
      </c>
      <c r="G1330" s="112">
        <v>0</v>
      </c>
      <c r="H1330" s="112">
        <v>0</v>
      </c>
      <c r="I1330" s="113">
        <v>0</v>
      </c>
      <c r="J1330"/>
      <c r="K1330"/>
      <c r="L1330"/>
      <c r="M1330"/>
      <c r="N1330"/>
    </row>
    <row r="1331" spans="1:14" x14ac:dyDescent="0.3">
      <c r="A1331" s="102" t="s">
        <v>1674</v>
      </c>
      <c r="B1331" s="102" t="s">
        <v>2342</v>
      </c>
      <c r="C1331" s="107" t="s">
        <v>1528</v>
      </c>
      <c r="D1331" s="102">
        <v>6</v>
      </c>
      <c r="E1331" s="111">
        <v>0</v>
      </c>
      <c r="F1331" s="112">
        <v>0</v>
      </c>
      <c r="G1331" s="112">
        <v>0</v>
      </c>
      <c r="H1331" s="112">
        <v>0</v>
      </c>
      <c r="I1331" s="113">
        <v>0</v>
      </c>
      <c r="J1331"/>
      <c r="K1331"/>
      <c r="L1331"/>
      <c r="M1331"/>
      <c r="N1331"/>
    </row>
    <row r="1332" spans="1:14" x14ac:dyDescent="0.3">
      <c r="A1332" s="102" t="s">
        <v>1675</v>
      </c>
      <c r="B1332" s="102" t="s">
        <v>2346</v>
      </c>
      <c r="C1332" s="107" t="s">
        <v>1528</v>
      </c>
      <c r="D1332" s="102">
        <v>6</v>
      </c>
      <c r="E1332" s="111">
        <v>0</v>
      </c>
      <c r="F1332" s="112">
        <v>0</v>
      </c>
      <c r="G1332" s="112">
        <v>0</v>
      </c>
      <c r="H1332" s="112">
        <v>0</v>
      </c>
      <c r="I1332" s="113">
        <v>0</v>
      </c>
      <c r="J1332"/>
      <c r="K1332"/>
      <c r="L1332"/>
      <c r="M1332"/>
      <c r="N1332"/>
    </row>
    <row r="1333" spans="1:14" x14ac:dyDescent="0.3">
      <c r="A1333" s="102" t="s">
        <v>1676</v>
      </c>
      <c r="B1333" s="102" t="s">
        <v>2015</v>
      </c>
      <c r="C1333" s="107" t="s">
        <v>1528</v>
      </c>
      <c r="D1333" s="102">
        <v>6</v>
      </c>
      <c r="E1333" s="111">
        <v>0</v>
      </c>
      <c r="F1333" s="112">
        <v>0</v>
      </c>
      <c r="G1333" s="112">
        <v>0</v>
      </c>
      <c r="H1333" s="112">
        <v>0</v>
      </c>
      <c r="I1333" s="113">
        <v>0</v>
      </c>
      <c r="J1333"/>
      <c r="K1333"/>
      <c r="L1333"/>
      <c r="M1333"/>
      <c r="N1333"/>
    </row>
    <row r="1334" spans="1:14" x14ac:dyDescent="0.3">
      <c r="A1334" s="102" t="s">
        <v>1677</v>
      </c>
      <c r="B1334" s="102" t="s">
        <v>2021</v>
      </c>
      <c r="C1334" s="107" t="s">
        <v>1528</v>
      </c>
      <c r="D1334" s="102">
        <v>6</v>
      </c>
      <c r="E1334" s="111">
        <v>0</v>
      </c>
      <c r="F1334" s="112">
        <v>0</v>
      </c>
      <c r="G1334" s="112">
        <v>0</v>
      </c>
      <c r="H1334" s="112">
        <v>0</v>
      </c>
      <c r="I1334" s="113">
        <v>0</v>
      </c>
      <c r="J1334"/>
      <c r="K1334"/>
      <c r="L1334"/>
      <c r="M1334"/>
      <c r="N1334"/>
    </row>
    <row r="1335" spans="1:14" x14ac:dyDescent="0.3">
      <c r="A1335" s="102" t="s">
        <v>1678</v>
      </c>
      <c r="B1335" s="102" t="s">
        <v>2022</v>
      </c>
      <c r="C1335" s="107" t="s">
        <v>1528</v>
      </c>
      <c r="D1335" s="102">
        <v>6</v>
      </c>
      <c r="E1335" s="111">
        <v>0</v>
      </c>
      <c r="F1335" s="112">
        <v>0</v>
      </c>
      <c r="G1335" s="112">
        <v>0</v>
      </c>
      <c r="H1335" s="112">
        <v>0</v>
      </c>
      <c r="I1335" s="113">
        <v>0</v>
      </c>
      <c r="J1335"/>
      <c r="K1335"/>
      <c r="L1335"/>
      <c r="M1335"/>
      <c r="N1335"/>
    </row>
    <row r="1336" spans="1:14" x14ac:dyDescent="0.3">
      <c r="A1336" s="102" t="s">
        <v>1679</v>
      </c>
      <c r="B1336" s="102" t="s">
        <v>2362</v>
      </c>
      <c r="C1336" s="107" t="s">
        <v>1528</v>
      </c>
      <c r="D1336" s="102">
        <v>6</v>
      </c>
      <c r="E1336" s="111">
        <v>0</v>
      </c>
      <c r="F1336" s="112">
        <v>0</v>
      </c>
      <c r="G1336" s="112">
        <v>0</v>
      </c>
      <c r="H1336" s="112">
        <v>0</v>
      </c>
      <c r="I1336" s="113">
        <v>0</v>
      </c>
      <c r="J1336"/>
      <c r="K1336"/>
      <c r="L1336"/>
      <c r="M1336"/>
      <c r="N1336"/>
    </row>
    <row r="1337" spans="1:14" x14ac:dyDescent="0.3">
      <c r="A1337" s="102" t="s">
        <v>1680</v>
      </c>
      <c r="B1337" s="102" t="s">
        <v>2016</v>
      </c>
      <c r="C1337" s="107" t="s">
        <v>1528</v>
      </c>
      <c r="D1337" s="102">
        <v>6</v>
      </c>
      <c r="E1337" s="111">
        <v>0</v>
      </c>
      <c r="F1337" s="112">
        <v>0</v>
      </c>
      <c r="G1337" s="112">
        <v>0</v>
      </c>
      <c r="H1337" s="112">
        <v>0</v>
      </c>
      <c r="I1337" s="113">
        <v>0</v>
      </c>
      <c r="J1337"/>
      <c r="K1337"/>
      <c r="L1337"/>
      <c r="M1337"/>
      <c r="N1337"/>
    </row>
    <row r="1338" spans="1:14" x14ac:dyDescent="0.3">
      <c r="A1338" s="102" t="s">
        <v>1681</v>
      </c>
      <c r="B1338" s="102" t="s">
        <v>2611</v>
      </c>
      <c r="C1338" s="107" t="s">
        <v>1528</v>
      </c>
      <c r="D1338" s="102">
        <v>4</v>
      </c>
      <c r="E1338" s="111">
        <v>0</v>
      </c>
      <c r="F1338" s="112">
        <v>0</v>
      </c>
      <c r="G1338" s="112">
        <v>0</v>
      </c>
      <c r="H1338" s="112">
        <v>0</v>
      </c>
      <c r="I1338" s="113">
        <v>0</v>
      </c>
      <c r="J1338"/>
      <c r="K1338"/>
      <c r="L1338"/>
      <c r="M1338"/>
      <c r="N1338"/>
    </row>
    <row r="1339" spans="1:14" x14ac:dyDescent="0.3">
      <c r="A1339" s="102" t="s">
        <v>1682</v>
      </c>
      <c r="B1339" s="102" t="s">
        <v>2612</v>
      </c>
      <c r="C1339" s="107" t="s">
        <v>1528</v>
      </c>
      <c r="D1339" s="102">
        <v>6</v>
      </c>
      <c r="E1339" s="111">
        <v>0</v>
      </c>
      <c r="F1339" s="112">
        <v>0</v>
      </c>
      <c r="G1339" s="112">
        <v>0</v>
      </c>
      <c r="H1339" s="112">
        <v>0</v>
      </c>
      <c r="I1339" s="113">
        <v>0</v>
      </c>
      <c r="J1339"/>
      <c r="K1339"/>
      <c r="L1339"/>
      <c r="M1339"/>
      <c r="N1339"/>
    </row>
    <row r="1340" spans="1:14" x14ac:dyDescent="0.3">
      <c r="A1340" s="102" t="s">
        <v>1683</v>
      </c>
      <c r="B1340" s="102" t="s">
        <v>2613</v>
      </c>
      <c r="C1340" s="107" t="s">
        <v>1528</v>
      </c>
      <c r="D1340" s="102">
        <v>6</v>
      </c>
      <c r="E1340" s="111">
        <v>0</v>
      </c>
      <c r="F1340" s="112">
        <v>0</v>
      </c>
      <c r="G1340" s="112">
        <v>0</v>
      </c>
      <c r="H1340" s="112">
        <v>0</v>
      </c>
      <c r="I1340" s="113">
        <v>0</v>
      </c>
      <c r="J1340"/>
      <c r="K1340"/>
      <c r="L1340"/>
      <c r="M1340"/>
      <c r="N1340"/>
    </row>
    <row r="1341" spans="1:14" x14ac:dyDescent="0.3">
      <c r="A1341" s="102" t="s">
        <v>1684</v>
      </c>
      <c r="B1341" s="102" t="s">
        <v>2614</v>
      </c>
      <c r="C1341" s="107" t="s">
        <v>1528</v>
      </c>
      <c r="D1341" s="102">
        <v>6</v>
      </c>
      <c r="E1341" s="111">
        <v>0</v>
      </c>
      <c r="F1341" s="112">
        <v>0</v>
      </c>
      <c r="G1341" s="112">
        <v>0</v>
      </c>
      <c r="H1341" s="112">
        <v>0</v>
      </c>
      <c r="I1341" s="113">
        <v>0</v>
      </c>
      <c r="J1341"/>
      <c r="K1341"/>
      <c r="L1341"/>
      <c r="M1341"/>
      <c r="N1341"/>
    </row>
    <row r="1342" spans="1:14" x14ac:dyDescent="0.3">
      <c r="A1342" s="102" t="s">
        <v>1685</v>
      </c>
      <c r="B1342" s="102" t="s">
        <v>2615</v>
      </c>
      <c r="C1342" s="107" t="s">
        <v>1528</v>
      </c>
      <c r="D1342" s="102">
        <v>6</v>
      </c>
      <c r="E1342" s="111">
        <v>0</v>
      </c>
      <c r="F1342" s="112">
        <v>0</v>
      </c>
      <c r="G1342" s="112">
        <v>0</v>
      </c>
      <c r="H1342" s="112">
        <v>0</v>
      </c>
      <c r="I1342" s="113">
        <v>0</v>
      </c>
      <c r="J1342"/>
      <c r="K1342"/>
      <c r="L1342"/>
      <c r="M1342"/>
      <c r="N1342"/>
    </row>
    <row r="1343" spans="1:14" x14ac:dyDescent="0.3">
      <c r="A1343" s="102" t="s">
        <v>1686</v>
      </c>
      <c r="B1343" s="102" t="s">
        <v>2616</v>
      </c>
      <c r="C1343" s="107" t="s">
        <v>1528</v>
      </c>
      <c r="D1343" s="102">
        <v>6</v>
      </c>
      <c r="E1343" s="111">
        <v>0</v>
      </c>
      <c r="F1343" s="112">
        <v>0</v>
      </c>
      <c r="G1343" s="112">
        <v>0</v>
      </c>
      <c r="H1343" s="112">
        <v>0</v>
      </c>
      <c r="I1343" s="113">
        <v>0</v>
      </c>
      <c r="J1343"/>
      <c r="K1343"/>
      <c r="L1343"/>
      <c r="M1343"/>
      <c r="N1343"/>
    </row>
    <row r="1344" spans="1:14" x14ac:dyDescent="0.3">
      <c r="A1344" s="102" t="s">
        <v>1687</v>
      </c>
      <c r="B1344" s="102" t="s">
        <v>2617</v>
      </c>
      <c r="C1344" s="107" t="s">
        <v>1528</v>
      </c>
      <c r="D1344" s="102">
        <v>6</v>
      </c>
      <c r="E1344" s="111">
        <v>0</v>
      </c>
      <c r="F1344" s="112">
        <v>0</v>
      </c>
      <c r="G1344" s="112">
        <v>0</v>
      </c>
      <c r="H1344" s="112">
        <v>0</v>
      </c>
      <c r="I1344" s="113">
        <v>0</v>
      </c>
      <c r="J1344"/>
      <c r="K1344"/>
      <c r="L1344"/>
      <c r="M1344"/>
      <c r="N1344"/>
    </row>
    <row r="1345" spans="1:14" x14ac:dyDescent="0.3">
      <c r="A1345" s="102" t="s">
        <v>1688</v>
      </c>
      <c r="B1345" s="102" t="s">
        <v>2618</v>
      </c>
      <c r="C1345" s="107" t="s">
        <v>1528</v>
      </c>
      <c r="D1345" s="102">
        <v>6</v>
      </c>
      <c r="E1345" s="111">
        <v>0</v>
      </c>
      <c r="F1345" s="112">
        <v>0</v>
      </c>
      <c r="G1345" s="112">
        <v>0</v>
      </c>
      <c r="H1345" s="112">
        <v>0</v>
      </c>
      <c r="I1345" s="113">
        <v>0</v>
      </c>
      <c r="J1345"/>
      <c r="K1345"/>
      <c r="L1345"/>
      <c r="M1345"/>
      <c r="N1345"/>
    </row>
    <row r="1346" spans="1:14" x14ac:dyDescent="0.3">
      <c r="A1346" s="102" t="s">
        <v>1689</v>
      </c>
      <c r="B1346" s="102" t="s">
        <v>2619</v>
      </c>
      <c r="C1346" s="107" t="s">
        <v>1528</v>
      </c>
      <c r="D1346" s="102">
        <v>4</v>
      </c>
      <c r="E1346" s="111">
        <v>389847.58</v>
      </c>
      <c r="F1346" s="112">
        <v>70740.92</v>
      </c>
      <c r="G1346" s="112">
        <v>273683.87</v>
      </c>
      <c r="H1346" s="112">
        <v>815753.72</v>
      </c>
      <c r="I1346" s="113">
        <v>1550026.09</v>
      </c>
      <c r="J1346"/>
      <c r="K1346"/>
      <c r="L1346"/>
      <c r="M1346"/>
      <c r="N1346"/>
    </row>
    <row r="1347" spans="1:14" x14ac:dyDescent="0.3">
      <c r="A1347" s="102" t="s">
        <v>1690</v>
      </c>
      <c r="B1347" s="102" t="s">
        <v>2620</v>
      </c>
      <c r="C1347" s="107" t="s">
        <v>1528</v>
      </c>
      <c r="D1347" s="102">
        <v>6</v>
      </c>
      <c r="E1347" s="111">
        <v>0</v>
      </c>
      <c r="F1347" s="112">
        <v>0</v>
      </c>
      <c r="G1347" s="112">
        <v>0</v>
      </c>
      <c r="H1347" s="112">
        <v>69.64</v>
      </c>
      <c r="I1347" s="113">
        <v>69.64</v>
      </c>
      <c r="J1347"/>
      <c r="K1347"/>
      <c r="L1347"/>
      <c r="M1347"/>
      <c r="N1347"/>
    </row>
    <row r="1348" spans="1:14" x14ac:dyDescent="0.3">
      <c r="A1348" s="102" t="s">
        <v>1691</v>
      </c>
      <c r="B1348" s="102" t="s">
        <v>2621</v>
      </c>
      <c r="C1348" s="107" t="s">
        <v>1528</v>
      </c>
      <c r="D1348" s="102">
        <v>6</v>
      </c>
      <c r="E1348" s="111">
        <v>87639.679999999993</v>
      </c>
      <c r="F1348" s="112">
        <v>0</v>
      </c>
      <c r="G1348" s="112">
        <v>0</v>
      </c>
      <c r="H1348" s="112">
        <v>96772.72</v>
      </c>
      <c r="I1348" s="113">
        <v>184412.4</v>
      </c>
      <c r="J1348"/>
      <c r="K1348"/>
      <c r="L1348"/>
      <c r="M1348"/>
      <c r="N1348"/>
    </row>
    <row r="1349" spans="1:14" x14ac:dyDescent="0.3">
      <c r="A1349" s="102" t="s">
        <v>1692</v>
      </c>
      <c r="B1349" s="102" t="s">
        <v>2622</v>
      </c>
      <c r="C1349" s="107" t="s">
        <v>1528</v>
      </c>
      <c r="D1349" s="102">
        <v>6</v>
      </c>
      <c r="E1349" s="111">
        <v>22590.17</v>
      </c>
      <c r="F1349" s="112">
        <v>0</v>
      </c>
      <c r="G1349" s="112">
        <v>0</v>
      </c>
      <c r="H1349" s="112">
        <v>0</v>
      </c>
      <c r="I1349" s="113">
        <v>22590.17</v>
      </c>
      <c r="J1349"/>
      <c r="K1349"/>
      <c r="L1349"/>
      <c r="M1349"/>
      <c r="N1349"/>
    </row>
    <row r="1350" spans="1:14" x14ac:dyDescent="0.3">
      <c r="A1350" s="102" t="s">
        <v>1693</v>
      </c>
      <c r="B1350" s="102" t="s">
        <v>2623</v>
      </c>
      <c r="C1350" s="107" t="s">
        <v>1528</v>
      </c>
      <c r="D1350" s="102">
        <v>6</v>
      </c>
      <c r="E1350" s="111">
        <v>129575.79</v>
      </c>
      <c r="F1350" s="112">
        <v>0</v>
      </c>
      <c r="G1350" s="112">
        <v>0</v>
      </c>
      <c r="H1350" s="112">
        <v>663.1</v>
      </c>
      <c r="I1350" s="113">
        <v>130238.89</v>
      </c>
      <c r="J1350"/>
      <c r="K1350"/>
      <c r="L1350"/>
      <c r="M1350"/>
      <c r="N1350"/>
    </row>
    <row r="1351" spans="1:14" x14ac:dyDescent="0.3">
      <c r="A1351" s="102" t="s">
        <v>1694</v>
      </c>
      <c r="B1351" s="102" t="s">
        <v>2624</v>
      </c>
      <c r="C1351" s="107" t="s">
        <v>1528</v>
      </c>
      <c r="D1351" s="102">
        <v>6</v>
      </c>
      <c r="E1351" s="111">
        <v>0</v>
      </c>
      <c r="F1351" s="112">
        <v>0</v>
      </c>
      <c r="G1351" s="112">
        <v>0</v>
      </c>
      <c r="H1351" s="112">
        <v>0</v>
      </c>
      <c r="I1351" s="113">
        <v>0</v>
      </c>
      <c r="J1351"/>
      <c r="K1351"/>
      <c r="L1351"/>
      <c r="M1351"/>
      <c r="N1351"/>
    </row>
    <row r="1352" spans="1:14" x14ac:dyDescent="0.3">
      <c r="A1352" s="102" t="s">
        <v>1695</v>
      </c>
      <c r="B1352" s="102" t="s">
        <v>2625</v>
      </c>
      <c r="C1352" s="107" t="s">
        <v>1528</v>
      </c>
      <c r="D1352" s="102">
        <v>6</v>
      </c>
      <c r="E1352" s="111">
        <v>0</v>
      </c>
      <c r="F1352" s="112">
        <v>0</v>
      </c>
      <c r="G1352" s="112">
        <v>0</v>
      </c>
      <c r="H1352" s="112">
        <v>0</v>
      </c>
      <c r="I1352" s="113">
        <v>0</v>
      </c>
      <c r="J1352"/>
      <c r="K1352"/>
      <c r="L1352"/>
      <c r="M1352"/>
      <c r="N1352"/>
    </row>
    <row r="1353" spans="1:14" x14ac:dyDescent="0.3">
      <c r="A1353" s="102" t="s">
        <v>1696</v>
      </c>
      <c r="B1353" s="102" t="s">
        <v>2626</v>
      </c>
      <c r="C1353" s="107" t="s">
        <v>1528</v>
      </c>
      <c r="D1353" s="102">
        <v>6</v>
      </c>
      <c r="E1353" s="111">
        <v>0</v>
      </c>
      <c r="F1353" s="112">
        <v>0</v>
      </c>
      <c r="G1353" s="112">
        <v>0</v>
      </c>
      <c r="H1353" s="112">
        <v>718157.07</v>
      </c>
      <c r="I1353" s="113">
        <v>718157.07</v>
      </c>
      <c r="J1353"/>
      <c r="K1353"/>
      <c r="L1353"/>
      <c r="M1353"/>
      <c r="N1353"/>
    </row>
    <row r="1354" spans="1:14" x14ac:dyDescent="0.3">
      <c r="A1354" s="102" t="s">
        <v>1697</v>
      </c>
      <c r="B1354" s="102" t="s">
        <v>2627</v>
      </c>
      <c r="C1354" s="107" t="s">
        <v>1528</v>
      </c>
      <c r="D1354" s="102">
        <v>6</v>
      </c>
      <c r="E1354" s="111">
        <v>0</v>
      </c>
      <c r="F1354" s="112">
        <v>0</v>
      </c>
      <c r="G1354" s="112">
        <v>0</v>
      </c>
      <c r="H1354" s="112">
        <v>0</v>
      </c>
      <c r="I1354" s="113">
        <v>0</v>
      </c>
      <c r="J1354"/>
      <c r="K1354"/>
      <c r="L1354"/>
      <c r="M1354"/>
      <c r="N1354"/>
    </row>
    <row r="1355" spans="1:14" x14ac:dyDescent="0.3">
      <c r="A1355" s="102" t="s">
        <v>1698</v>
      </c>
      <c r="B1355" s="102" t="s">
        <v>2628</v>
      </c>
      <c r="C1355" s="107" t="s">
        <v>1528</v>
      </c>
      <c r="D1355" s="102">
        <v>6</v>
      </c>
      <c r="E1355" s="111">
        <v>0</v>
      </c>
      <c r="F1355" s="112">
        <v>0</v>
      </c>
      <c r="G1355" s="112">
        <v>0</v>
      </c>
      <c r="H1355" s="112">
        <v>0</v>
      </c>
      <c r="I1355" s="113">
        <v>0</v>
      </c>
      <c r="J1355"/>
      <c r="K1355"/>
      <c r="L1355"/>
      <c r="M1355"/>
      <c r="N1355"/>
    </row>
    <row r="1356" spans="1:14" x14ac:dyDescent="0.3">
      <c r="A1356" s="102" t="s">
        <v>1699</v>
      </c>
      <c r="B1356" s="102" t="s">
        <v>2629</v>
      </c>
      <c r="C1356" s="107" t="s">
        <v>1528</v>
      </c>
      <c r="D1356" s="102">
        <v>6</v>
      </c>
      <c r="E1356" s="111">
        <v>0</v>
      </c>
      <c r="F1356" s="112">
        <v>0</v>
      </c>
      <c r="G1356" s="112">
        <v>0</v>
      </c>
      <c r="H1356" s="112">
        <v>0</v>
      </c>
      <c r="I1356" s="113">
        <v>0</v>
      </c>
      <c r="J1356"/>
      <c r="K1356"/>
      <c r="L1356"/>
      <c r="M1356"/>
      <c r="N1356"/>
    </row>
    <row r="1357" spans="1:14" x14ac:dyDescent="0.3">
      <c r="A1357" s="102" t="s">
        <v>1700</v>
      </c>
      <c r="B1357" s="102" t="s">
        <v>2630</v>
      </c>
      <c r="C1357" s="107" t="s">
        <v>1528</v>
      </c>
      <c r="D1357" s="102">
        <v>6</v>
      </c>
      <c r="E1357" s="111">
        <v>65392.33</v>
      </c>
      <c r="F1357" s="112">
        <v>0</v>
      </c>
      <c r="G1357" s="112">
        <v>159535.38</v>
      </c>
      <c r="H1357" s="112">
        <v>0</v>
      </c>
      <c r="I1357" s="113">
        <v>224927.71</v>
      </c>
      <c r="J1357"/>
      <c r="K1357"/>
      <c r="L1357"/>
      <c r="M1357"/>
      <c r="N1357"/>
    </row>
    <row r="1358" spans="1:14" x14ac:dyDescent="0.3">
      <c r="A1358" s="102" t="s">
        <v>1701</v>
      </c>
      <c r="B1358" s="102" t="s">
        <v>2631</v>
      </c>
      <c r="C1358" s="107" t="s">
        <v>1528</v>
      </c>
      <c r="D1358" s="102">
        <v>6</v>
      </c>
      <c r="E1358" s="111">
        <v>84649.61</v>
      </c>
      <c r="F1358" s="112">
        <v>0</v>
      </c>
      <c r="G1358" s="112">
        <v>114148.49</v>
      </c>
      <c r="H1358" s="112">
        <v>0</v>
      </c>
      <c r="I1358" s="113">
        <v>198798.1</v>
      </c>
      <c r="J1358"/>
      <c r="K1358"/>
      <c r="L1358"/>
      <c r="M1358"/>
      <c r="N1358"/>
    </row>
    <row r="1359" spans="1:14" x14ac:dyDescent="0.3">
      <c r="A1359" s="102" t="s">
        <v>1702</v>
      </c>
      <c r="B1359" s="102" t="s">
        <v>2632</v>
      </c>
      <c r="C1359" s="107" t="s">
        <v>1528</v>
      </c>
      <c r="D1359" s="102">
        <v>6</v>
      </c>
      <c r="E1359" s="111">
        <v>0</v>
      </c>
      <c r="F1359" s="112">
        <v>0</v>
      </c>
      <c r="G1359" s="112">
        <v>0</v>
      </c>
      <c r="H1359" s="112">
        <v>0</v>
      </c>
      <c r="I1359" s="113">
        <v>0</v>
      </c>
      <c r="J1359"/>
      <c r="K1359"/>
      <c r="L1359"/>
      <c r="M1359"/>
      <c r="N1359"/>
    </row>
    <row r="1360" spans="1:14" x14ac:dyDescent="0.3">
      <c r="A1360" s="102" t="s">
        <v>1703</v>
      </c>
      <c r="B1360" s="102" t="s">
        <v>2633</v>
      </c>
      <c r="C1360" s="107" t="s">
        <v>1528</v>
      </c>
      <c r="D1360" s="102">
        <v>6</v>
      </c>
      <c r="E1360" s="111">
        <v>0</v>
      </c>
      <c r="F1360" s="112">
        <v>3352.04</v>
      </c>
      <c r="G1360" s="112">
        <v>0</v>
      </c>
      <c r="H1360" s="112">
        <v>0</v>
      </c>
      <c r="I1360" s="113">
        <v>3352.04</v>
      </c>
      <c r="J1360"/>
      <c r="K1360"/>
      <c r="L1360"/>
      <c r="M1360"/>
      <c r="N1360"/>
    </row>
    <row r="1361" spans="1:14" x14ac:dyDescent="0.3">
      <c r="A1361" s="102" t="s">
        <v>1704</v>
      </c>
      <c r="B1361" s="102" t="s">
        <v>2634</v>
      </c>
      <c r="C1361" s="107" t="s">
        <v>1528</v>
      </c>
      <c r="D1361" s="102">
        <v>6</v>
      </c>
      <c r="E1361" s="111">
        <v>0</v>
      </c>
      <c r="F1361" s="112">
        <v>63829.54</v>
      </c>
      <c r="G1361" s="112">
        <v>0</v>
      </c>
      <c r="H1361" s="112">
        <v>0</v>
      </c>
      <c r="I1361" s="113">
        <v>63829.54</v>
      </c>
      <c r="J1361"/>
      <c r="K1361"/>
      <c r="L1361"/>
      <c r="M1361"/>
      <c r="N1361"/>
    </row>
    <row r="1362" spans="1:14" x14ac:dyDescent="0.3">
      <c r="A1362" s="102" t="s">
        <v>1705</v>
      </c>
      <c r="B1362" s="102" t="s">
        <v>2635</v>
      </c>
      <c r="C1362" s="107" t="s">
        <v>1528</v>
      </c>
      <c r="D1362" s="102">
        <v>6</v>
      </c>
      <c r="E1362" s="111">
        <v>0</v>
      </c>
      <c r="F1362" s="112">
        <v>0</v>
      </c>
      <c r="G1362" s="112">
        <v>0</v>
      </c>
      <c r="H1362" s="112">
        <v>0</v>
      </c>
      <c r="I1362" s="113">
        <v>0</v>
      </c>
      <c r="J1362"/>
      <c r="K1362"/>
      <c r="L1362"/>
      <c r="M1362"/>
      <c r="N1362"/>
    </row>
    <row r="1363" spans="1:14" x14ac:dyDescent="0.3">
      <c r="A1363" s="102" t="s">
        <v>1706</v>
      </c>
      <c r="B1363" s="102" t="s">
        <v>2636</v>
      </c>
      <c r="C1363" s="107" t="s">
        <v>1528</v>
      </c>
      <c r="D1363" s="102">
        <v>6</v>
      </c>
      <c r="E1363" s="111">
        <v>0</v>
      </c>
      <c r="F1363" s="112">
        <v>2396.7800000000002</v>
      </c>
      <c r="G1363" s="112">
        <v>0</v>
      </c>
      <c r="H1363" s="112">
        <v>0</v>
      </c>
      <c r="I1363" s="113">
        <v>2396.7800000000002</v>
      </c>
      <c r="J1363"/>
      <c r="K1363"/>
      <c r="L1363"/>
      <c r="M1363"/>
      <c r="N1363"/>
    </row>
    <row r="1364" spans="1:14" x14ac:dyDescent="0.3">
      <c r="A1364" s="102" t="s">
        <v>1707</v>
      </c>
      <c r="B1364" s="102" t="s">
        <v>2637</v>
      </c>
      <c r="C1364" s="107" t="s">
        <v>1528</v>
      </c>
      <c r="D1364" s="102">
        <v>6</v>
      </c>
      <c r="E1364" s="111">
        <v>0</v>
      </c>
      <c r="F1364" s="112">
        <v>0</v>
      </c>
      <c r="G1364" s="112">
        <v>0</v>
      </c>
      <c r="H1364" s="112">
        <v>0</v>
      </c>
      <c r="I1364" s="113">
        <v>0</v>
      </c>
      <c r="J1364"/>
      <c r="K1364"/>
      <c r="L1364"/>
      <c r="M1364"/>
      <c r="N1364"/>
    </row>
    <row r="1365" spans="1:14" x14ac:dyDescent="0.3">
      <c r="A1365" s="102" t="s">
        <v>1708</v>
      </c>
      <c r="B1365" s="102" t="s">
        <v>2638</v>
      </c>
      <c r="C1365" s="107" t="s">
        <v>1528</v>
      </c>
      <c r="D1365" s="102">
        <v>6</v>
      </c>
      <c r="E1365" s="111">
        <v>0</v>
      </c>
      <c r="F1365" s="112">
        <v>0</v>
      </c>
      <c r="G1365" s="112">
        <v>0</v>
      </c>
      <c r="H1365" s="112">
        <v>0</v>
      </c>
      <c r="I1365" s="113">
        <v>0</v>
      </c>
      <c r="J1365"/>
      <c r="K1365"/>
      <c r="L1365"/>
      <c r="M1365"/>
      <c r="N1365"/>
    </row>
    <row r="1366" spans="1:14" x14ac:dyDescent="0.3">
      <c r="A1366" s="102" t="s">
        <v>1709</v>
      </c>
      <c r="B1366" s="102" t="s">
        <v>2639</v>
      </c>
      <c r="C1366" s="107" t="s">
        <v>1528</v>
      </c>
      <c r="D1366" s="102">
        <v>6</v>
      </c>
      <c r="E1366" s="111">
        <v>0</v>
      </c>
      <c r="F1366" s="112">
        <v>0</v>
      </c>
      <c r="G1366" s="112">
        <v>0</v>
      </c>
      <c r="H1366" s="112">
        <v>0</v>
      </c>
      <c r="I1366" s="113">
        <v>0</v>
      </c>
      <c r="J1366"/>
      <c r="K1366"/>
      <c r="L1366"/>
      <c r="M1366"/>
      <c r="N1366"/>
    </row>
    <row r="1367" spans="1:14" x14ac:dyDescent="0.3">
      <c r="A1367" s="102" t="s">
        <v>1710</v>
      </c>
      <c r="B1367" s="102" t="s">
        <v>2640</v>
      </c>
      <c r="C1367" s="107" t="s">
        <v>1528</v>
      </c>
      <c r="D1367" s="102">
        <v>6</v>
      </c>
      <c r="E1367" s="111">
        <v>0</v>
      </c>
      <c r="F1367" s="112">
        <v>0</v>
      </c>
      <c r="G1367" s="112">
        <v>0</v>
      </c>
      <c r="H1367" s="112">
        <v>91.19</v>
      </c>
      <c r="I1367" s="113">
        <v>91.19</v>
      </c>
      <c r="J1367"/>
      <c r="K1367"/>
      <c r="L1367"/>
      <c r="M1367"/>
      <c r="N1367"/>
    </row>
    <row r="1368" spans="1:14" x14ac:dyDescent="0.3">
      <c r="A1368" s="102" t="s">
        <v>1711</v>
      </c>
      <c r="B1368" s="102" t="s">
        <v>2641</v>
      </c>
      <c r="C1368" s="107" t="s">
        <v>1528</v>
      </c>
      <c r="D1368" s="102">
        <v>6</v>
      </c>
      <c r="E1368" s="111">
        <v>0</v>
      </c>
      <c r="F1368" s="112">
        <v>0</v>
      </c>
      <c r="G1368" s="112">
        <v>0</v>
      </c>
      <c r="H1368" s="112">
        <v>0</v>
      </c>
      <c r="I1368" s="113">
        <v>0</v>
      </c>
      <c r="J1368"/>
      <c r="K1368"/>
      <c r="L1368"/>
      <c r="M1368"/>
      <c r="N1368"/>
    </row>
    <row r="1369" spans="1:14" x14ac:dyDescent="0.3">
      <c r="A1369" s="102" t="s">
        <v>1712</v>
      </c>
      <c r="B1369" s="102" t="s">
        <v>2642</v>
      </c>
      <c r="C1369" s="107" t="s">
        <v>1528</v>
      </c>
      <c r="D1369" s="102">
        <v>6</v>
      </c>
      <c r="E1369" s="111">
        <v>0</v>
      </c>
      <c r="F1369" s="112">
        <v>0</v>
      </c>
      <c r="G1369" s="112">
        <v>0</v>
      </c>
      <c r="H1369" s="112">
        <v>0</v>
      </c>
      <c r="I1369" s="113">
        <v>0</v>
      </c>
      <c r="J1369"/>
      <c r="K1369"/>
      <c r="L1369"/>
      <c r="M1369"/>
      <c r="N1369"/>
    </row>
    <row r="1370" spans="1:14" x14ac:dyDescent="0.3">
      <c r="A1370" s="102" t="s">
        <v>1713</v>
      </c>
      <c r="B1370" s="102" t="s">
        <v>2643</v>
      </c>
      <c r="C1370" s="107" t="s">
        <v>1528</v>
      </c>
      <c r="D1370" s="102">
        <v>6</v>
      </c>
      <c r="E1370" s="111">
        <v>0</v>
      </c>
      <c r="F1370" s="112">
        <v>0</v>
      </c>
      <c r="G1370" s="112">
        <v>0</v>
      </c>
      <c r="H1370" s="112">
        <v>0</v>
      </c>
      <c r="I1370" s="113">
        <v>0</v>
      </c>
      <c r="J1370"/>
      <c r="K1370"/>
      <c r="L1370"/>
      <c r="M1370"/>
      <c r="N1370"/>
    </row>
    <row r="1371" spans="1:14" x14ac:dyDescent="0.3">
      <c r="A1371" s="102" t="s">
        <v>1714</v>
      </c>
      <c r="B1371" s="102" t="s">
        <v>2644</v>
      </c>
      <c r="C1371" s="107" t="s">
        <v>1528</v>
      </c>
      <c r="D1371" s="102">
        <v>6</v>
      </c>
      <c r="E1371" s="111">
        <v>0</v>
      </c>
      <c r="F1371" s="112">
        <v>0</v>
      </c>
      <c r="G1371" s="112">
        <v>0</v>
      </c>
      <c r="H1371" s="112">
        <v>0</v>
      </c>
      <c r="I1371" s="113">
        <v>0</v>
      </c>
      <c r="J1371"/>
      <c r="K1371"/>
      <c r="L1371"/>
      <c r="M1371"/>
      <c r="N1371"/>
    </row>
    <row r="1372" spans="1:14" x14ac:dyDescent="0.3">
      <c r="A1372" s="102" t="s">
        <v>1715</v>
      </c>
      <c r="B1372" s="102" t="s">
        <v>2645</v>
      </c>
      <c r="C1372" s="107" t="s">
        <v>1528</v>
      </c>
      <c r="D1372" s="102">
        <v>6</v>
      </c>
      <c r="E1372" s="111">
        <v>0</v>
      </c>
      <c r="F1372" s="112">
        <v>0</v>
      </c>
      <c r="G1372" s="112">
        <v>0</v>
      </c>
      <c r="H1372" s="112">
        <v>0</v>
      </c>
      <c r="I1372" s="113">
        <v>0</v>
      </c>
      <c r="J1372"/>
      <c r="K1372"/>
      <c r="L1372"/>
      <c r="M1372"/>
      <c r="N1372"/>
    </row>
    <row r="1373" spans="1:14" x14ac:dyDescent="0.3">
      <c r="A1373" s="102" t="s">
        <v>1716</v>
      </c>
      <c r="B1373" s="102" t="s">
        <v>2646</v>
      </c>
      <c r="C1373" s="107" t="s">
        <v>1528</v>
      </c>
      <c r="D1373" s="102">
        <v>6</v>
      </c>
      <c r="E1373" s="111">
        <v>0</v>
      </c>
      <c r="F1373" s="112">
        <v>0</v>
      </c>
      <c r="G1373" s="112">
        <v>0</v>
      </c>
      <c r="H1373" s="112">
        <v>0</v>
      </c>
      <c r="I1373" s="113">
        <v>0</v>
      </c>
      <c r="J1373"/>
      <c r="K1373"/>
      <c r="L1373"/>
      <c r="M1373"/>
      <c r="N1373"/>
    </row>
    <row r="1374" spans="1:14" x14ac:dyDescent="0.3">
      <c r="A1374" s="102" t="s">
        <v>1770</v>
      </c>
      <c r="B1374" s="102" t="s">
        <v>2647</v>
      </c>
      <c r="C1374" s="107" t="s">
        <v>1528</v>
      </c>
      <c r="D1374" s="102">
        <v>6</v>
      </c>
      <c r="E1374" s="111">
        <v>0</v>
      </c>
      <c r="F1374" s="112">
        <v>1162.56</v>
      </c>
      <c r="G1374" s="112">
        <v>0</v>
      </c>
      <c r="H1374" s="112">
        <v>0</v>
      </c>
      <c r="I1374" s="113">
        <v>1162.56</v>
      </c>
      <c r="J1374"/>
      <c r="K1374"/>
      <c r="L1374"/>
      <c r="M1374"/>
      <c r="N1374"/>
    </row>
    <row r="1375" spans="1:14" x14ac:dyDescent="0.3">
      <c r="A1375" s="102" t="s">
        <v>1771</v>
      </c>
      <c r="B1375" s="102" t="s">
        <v>2648</v>
      </c>
      <c r="C1375" s="107" t="s">
        <v>1528</v>
      </c>
      <c r="D1375" s="102">
        <v>6</v>
      </c>
      <c r="E1375" s="111">
        <v>0</v>
      </c>
      <c r="F1375" s="112">
        <v>0</v>
      </c>
      <c r="G1375" s="112">
        <v>0</v>
      </c>
      <c r="H1375" s="112">
        <v>0</v>
      </c>
      <c r="I1375" s="113">
        <v>0</v>
      </c>
      <c r="J1375"/>
      <c r="K1375"/>
      <c r="L1375"/>
      <c r="M1375"/>
      <c r="N1375"/>
    </row>
    <row r="1376" spans="1:14" x14ac:dyDescent="0.3">
      <c r="A1376" s="102" t="s">
        <v>1772</v>
      </c>
      <c r="B1376" s="102" t="s">
        <v>2649</v>
      </c>
      <c r="C1376" s="107" t="s">
        <v>1528</v>
      </c>
      <c r="D1376" s="102">
        <v>6</v>
      </c>
      <c r="E1376" s="111">
        <v>0</v>
      </c>
      <c r="F1376" s="112">
        <v>0</v>
      </c>
      <c r="G1376" s="112">
        <v>0</v>
      </c>
      <c r="H1376" s="112">
        <v>0</v>
      </c>
      <c r="I1376" s="113">
        <v>0</v>
      </c>
      <c r="J1376"/>
      <c r="K1376"/>
      <c r="L1376"/>
      <c r="M1376"/>
      <c r="N1376"/>
    </row>
    <row r="1377" spans="1:14" x14ac:dyDescent="0.3">
      <c r="A1377" s="102" t="s">
        <v>1717</v>
      </c>
      <c r="B1377" s="102" t="s">
        <v>2650</v>
      </c>
      <c r="C1377" s="107" t="s">
        <v>1528</v>
      </c>
      <c r="D1377" s="102">
        <v>4</v>
      </c>
      <c r="E1377" s="111">
        <v>1374149.87</v>
      </c>
      <c r="F1377" s="112">
        <v>3164002.03</v>
      </c>
      <c r="G1377" s="112">
        <v>1921288.17</v>
      </c>
      <c r="H1377" s="112">
        <v>12337585.66</v>
      </c>
      <c r="I1377" s="113">
        <v>18797025.73</v>
      </c>
      <c r="J1377"/>
      <c r="K1377"/>
      <c r="L1377"/>
      <c r="M1377"/>
      <c r="N1377"/>
    </row>
    <row r="1378" spans="1:14" x14ac:dyDescent="0.3">
      <c r="A1378" s="102" t="s">
        <v>1718</v>
      </c>
      <c r="B1378" s="102" t="s">
        <v>2651</v>
      </c>
      <c r="C1378" s="107" t="s">
        <v>1528</v>
      </c>
      <c r="D1378" s="102">
        <v>6</v>
      </c>
      <c r="E1378" s="111">
        <v>0</v>
      </c>
      <c r="F1378" s="112">
        <v>0</v>
      </c>
      <c r="G1378" s="112">
        <v>1921288.17</v>
      </c>
      <c r="H1378" s="112">
        <v>0</v>
      </c>
      <c r="I1378" s="113">
        <v>1921288.17</v>
      </c>
      <c r="J1378"/>
      <c r="K1378"/>
      <c r="L1378"/>
      <c r="M1378"/>
      <c r="N1378"/>
    </row>
    <row r="1379" spans="1:14" x14ac:dyDescent="0.3">
      <c r="A1379" s="102" t="s">
        <v>1719</v>
      </c>
      <c r="B1379" s="102" t="s">
        <v>2652</v>
      </c>
      <c r="C1379" s="107" t="s">
        <v>1528</v>
      </c>
      <c r="D1379" s="102">
        <v>6</v>
      </c>
      <c r="E1379" s="111">
        <v>1172527.8999999999</v>
      </c>
      <c r="F1379" s="112">
        <v>3164002.03</v>
      </c>
      <c r="G1379" s="112">
        <v>0</v>
      </c>
      <c r="H1379" s="112">
        <v>12337585.66</v>
      </c>
      <c r="I1379" s="113">
        <v>16674115.59</v>
      </c>
      <c r="J1379"/>
      <c r="K1379"/>
      <c r="L1379"/>
      <c r="M1379"/>
      <c r="N1379"/>
    </row>
    <row r="1380" spans="1:14" x14ac:dyDescent="0.3">
      <c r="A1380" s="102" t="s">
        <v>1720</v>
      </c>
      <c r="B1380" s="102" t="s">
        <v>2206</v>
      </c>
      <c r="C1380" s="107" t="s">
        <v>1528</v>
      </c>
      <c r="D1380" s="102">
        <v>6</v>
      </c>
      <c r="E1380" s="111">
        <v>0</v>
      </c>
      <c r="F1380" s="112">
        <v>0</v>
      </c>
      <c r="G1380" s="112">
        <v>0</v>
      </c>
      <c r="H1380" s="112">
        <v>0</v>
      </c>
      <c r="I1380" s="113">
        <v>0</v>
      </c>
      <c r="J1380"/>
      <c r="K1380"/>
      <c r="L1380"/>
      <c r="M1380"/>
      <c r="N1380"/>
    </row>
    <row r="1381" spans="1:14" x14ac:dyDescent="0.3">
      <c r="A1381" s="102" t="s">
        <v>1721</v>
      </c>
      <c r="B1381" s="102" t="s">
        <v>2207</v>
      </c>
      <c r="C1381" s="107" t="s">
        <v>1528</v>
      </c>
      <c r="D1381" s="102">
        <v>6</v>
      </c>
      <c r="E1381" s="111">
        <v>201621.97</v>
      </c>
      <c r="F1381" s="112">
        <v>0</v>
      </c>
      <c r="G1381" s="112">
        <v>0</v>
      </c>
      <c r="H1381" s="112">
        <v>0</v>
      </c>
      <c r="I1381" s="113">
        <v>201621.97</v>
      </c>
      <c r="J1381"/>
      <c r="K1381"/>
      <c r="L1381"/>
      <c r="M1381"/>
      <c r="N1381"/>
    </row>
    <row r="1382" spans="1:14" x14ac:dyDescent="0.3">
      <c r="A1382" s="102" t="s">
        <v>1722</v>
      </c>
      <c r="B1382" s="102" t="s">
        <v>2553</v>
      </c>
      <c r="C1382" s="107" t="s">
        <v>1528</v>
      </c>
      <c r="D1382" s="102">
        <v>6</v>
      </c>
      <c r="E1382" s="111">
        <v>0</v>
      </c>
      <c r="F1382" s="112">
        <v>0</v>
      </c>
      <c r="G1382" s="112">
        <v>0</v>
      </c>
      <c r="H1382" s="112">
        <v>0</v>
      </c>
      <c r="I1382" s="113">
        <v>0</v>
      </c>
      <c r="J1382"/>
      <c r="K1382"/>
      <c r="L1382"/>
      <c r="M1382"/>
      <c r="N1382"/>
    </row>
    <row r="1383" spans="1:14" x14ac:dyDescent="0.3">
      <c r="A1383" s="102" t="s">
        <v>1723</v>
      </c>
      <c r="B1383" s="102" t="s">
        <v>2653</v>
      </c>
      <c r="C1383" s="107" t="s">
        <v>1528</v>
      </c>
      <c r="D1383" s="102">
        <v>6</v>
      </c>
      <c r="E1383" s="111">
        <v>0</v>
      </c>
      <c r="F1383" s="112">
        <v>0</v>
      </c>
      <c r="G1383" s="112">
        <v>0</v>
      </c>
      <c r="H1383" s="112">
        <v>0</v>
      </c>
      <c r="I1383" s="113">
        <v>0</v>
      </c>
      <c r="J1383"/>
      <c r="K1383"/>
      <c r="L1383"/>
      <c r="M1383"/>
      <c r="N1383"/>
    </row>
    <row r="1384" spans="1:14" x14ac:dyDescent="0.3">
      <c r="A1384" s="102" t="s">
        <v>1724</v>
      </c>
      <c r="B1384" s="102" t="s">
        <v>2210</v>
      </c>
      <c r="C1384" s="107" t="s">
        <v>1528</v>
      </c>
      <c r="D1384" s="102">
        <v>6</v>
      </c>
      <c r="E1384" s="111">
        <v>0</v>
      </c>
      <c r="F1384" s="112">
        <v>0</v>
      </c>
      <c r="G1384" s="112">
        <v>0</v>
      </c>
      <c r="H1384" s="112">
        <v>0</v>
      </c>
      <c r="I1384" s="113">
        <v>0</v>
      </c>
      <c r="J1384"/>
      <c r="K1384"/>
      <c r="L1384"/>
      <c r="M1384"/>
      <c r="N1384"/>
    </row>
    <row r="1385" spans="1:14" x14ac:dyDescent="0.3">
      <c r="A1385" s="102" t="s">
        <v>1725</v>
      </c>
      <c r="B1385" s="102" t="s">
        <v>2211</v>
      </c>
      <c r="C1385" s="107" t="s">
        <v>1528</v>
      </c>
      <c r="D1385" s="102">
        <v>6</v>
      </c>
      <c r="E1385" s="111">
        <v>0</v>
      </c>
      <c r="F1385" s="112">
        <v>0</v>
      </c>
      <c r="G1385" s="112">
        <v>0</v>
      </c>
      <c r="H1385" s="112">
        <v>0</v>
      </c>
      <c r="I1385" s="113">
        <v>0</v>
      </c>
      <c r="J1385"/>
      <c r="K1385"/>
      <c r="L1385"/>
      <c r="M1385"/>
      <c r="N1385"/>
    </row>
    <row r="1386" spans="1:14" x14ac:dyDescent="0.3">
      <c r="A1386" s="102" t="s">
        <v>1726</v>
      </c>
      <c r="B1386" s="102" t="s">
        <v>2654</v>
      </c>
      <c r="C1386" s="107" t="s">
        <v>1528</v>
      </c>
      <c r="D1386" s="102">
        <v>4</v>
      </c>
      <c r="E1386" s="111">
        <v>0</v>
      </c>
      <c r="F1386" s="112">
        <v>0</v>
      </c>
      <c r="G1386" s="112">
        <v>132777.03</v>
      </c>
      <c r="H1386" s="112">
        <v>0</v>
      </c>
      <c r="I1386" s="113">
        <v>132777.03</v>
      </c>
      <c r="J1386"/>
      <c r="K1386"/>
      <c r="L1386"/>
      <c r="M1386"/>
      <c r="N1386"/>
    </row>
    <row r="1387" spans="1:14" x14ac:dyDescent="0.3">
      <c r="A1387" s="102" t="s">
        <v>1727</v>
      </c>
      <c r="B1387" s="102" t="s">
        <v>2336</v>
      </c>
      <c r="C1387" s="107" t="s">
        <v>1528</v>
      </c>
      <c r="D1387" s="102">
        <v>6</v>
      </c>
      <c r="E1387" s="111">
        <v>0</v>
      </c>
      <c r="F1387" s="112">
        <v>0</v>
      </c>
      <c r="G1387" s="112">
        <v>132777.03</v>
      </c>
      <c r="H1387" s="112">
        <v>0</v>
      </c>
      <c r="I1387" s="113">
        <v>132777.03</v>
      </c>
      <c r="J1387"/>
      <c r="K1387"/>
      <c r="L1387"/>
      <c r="M1387"/>
      <c r="N1387"/>
    </row>
    <row r="1388" spans="1:14" x14ac:dyDescent="0.3">
      <c r="A1388" s="102" t="s">
        <v>1728</v>
      </c>
      <c r="B1388" s="102" t="s">
        <v>2346</v>
      </c>
      <c r="C1388" s="107" t="s">
        <v>1528</v>
      </c>
      <c r="D1388" s="102">
        <v>6</v>
      </c>
      <c r="E1388" s="111">
        <v>0</v>
      </c>
      <c r="F1388" s="112">
        <v>0</v>
      </c>
      <c r="G1388" s="112">
        <v>0</v>
      </c>
      <c r="H1388" s="112">
        <v>0</v>
      </c>
      <c r="I1388" s="113">
        <v>0</v>
      </c>
      <c r="J1388"/>
      <c r="K1388"/>
      <c r="L1388"/>
      <c r="M1388"/>
      <c r="N1388"/>
    </row>
    <row r="1389" spans="1:14" x14ac:dyDescent="0.3">
      <c r="A1389" s="102" t="s">
        <v>1729</v>
      </c>
      <c r="B1389" s="102" t="s">
        <v>2655</v>
      </c>
      <c r="C1389" s="107" t="s">
        <v>1528</v>
      </c>
      <c r="D1389" s="102">
        <v>4</v>
      </c>
      <c r="E1389" s="111">
        <v>0</v>
      </c>
      <c r="F1389" s="112">
        <v>0</v>
      </c>
      <c r="G1389" s="112">
        <v>0</v>
      </c>
      <c r="H1389" s="112">
        <v>0</v>
      </c>
      <c r="I1389" s="113">
        <v>0</v>
      </c>
      <c r="J1389"/>
      <c r="K1389"/>
      <c r="L1389"/>
      <c r="M1389"/>
      <c r="N1389"/>
    </row>
    <row r="1390" spans="1:14" x14ac:dyDescent="0.3">
      <c r="A1390" s="102" t="s">
        <v>1730</v>
      </c>
      <c r="B1390" s="102" t="s">
        <v>2381</v>
      </c>
      <c r="C1390" s="107" t="s">
        <v>1528</v>
      </c>
      <c r="D1390" s="102">
        <v>6</v>
      </c>
      <c r="E1390" s="111">
        <v>0</v>
      </c>
      <c r="F1390" s="112">
        <v>0</v>
      </c>
      <c r="G1390" s="112">
        <v>0</v>
      </c>
      <c r="H1390" s="112">
        <v>0</v>
      </c>
      <c r="I1390" s="113">
        <v>0</v>
      </c>
      <c r="J1390"/>
      <c r="K1390"/>
      <c r="L1390"/>
      <c r="M1390"/>
      <c r="N1390"/>
    </row>
    <row r="1391" spans="1:14" x14ac:dyDescent="0.3">
      <c r="A1391" s="102" t="s">
        <v>1731</v>
      </c>
      <c r="B1391" s="102" t="s">
        <v>2382</v>
      </c>
      <c r="C1391" s="107" t="s">
        <v>1528</v>
      </c>
      <c r="D1391" s="102">
        <v>6</v>
      </c>
      <c r="E1391" s="111">
        <v>0</v>
      </c>
      <c r="F1391" s="112">
        <v>0</v>
      </c>
      <c r="G1391" s="112">
        <v>0</v>
      </c>
      <c r="H1391" s="112">
        <v>0</v>
      </c>
      <c r="I1391" s="113">
        <v>0</v>
      </c>
      <c r="J1391"/>
      <c r="K1391"/>
      <c r="L1391"/>
      <c r="M1391"/>
      <c r="N1391"/>
    </row>
    <row r="1392" spans="1:14" x14ac:dyDescent="0.3">
      <c r="A1392" s="102" t="s">
        <v>1732</v>
      </c>
      <c r="B1392" s="102" t="s">
        <v>2656</v>
      </c>
      <c r="C1392" s="107" t="s">
        <v>1528</v>
      </c>
      <c r="D1392" s="102">
        <v>4</v>
      </c>
      <c r="E1392" s="111">
        <v>28000</v>
      </c>
      <c r="F1392" s="112">
        <v>6375339</v>
      </c>
      <c r="G1392" s="112">
        <v>0</v>
      </c>
      <c r="H1392" s="112">
        <v>0</v>
      </c>
      <c r="I1392" s="113">
        <v>6403339</v>
      </c>
      <c r="J1392"/>
      <c r="K1392"/>
      <c r="L1392"/>
      <c r="M1392"/>
      <c r="N1392"/>
    </row>
    <row r="1393" spans="1:14" x14ac:dyDescent="0.3">
      <c r="A1393" s="102" t="s">
        <v>1733</v>
      </c>
      <c r="B1393" s="102" t="s">
        <v>2657</v>
      </c>
      <c r="C1393" s="107" t="s">
        <v>1528</v>
      </c>
      <c r="D1393" s="102">
        <v>6</v>
      </c>
      <c r="E1393" s="111">
        <v>0</v>
      </c>
      <c r="F1393" s="112">
        <v>0</v>
      </c>
      <c r="G1393" s="112">
        <v>0</v>
      </c>
      <c r="H1393" s="112">
        <v>0</v>
      </c>
      <c r="I1393" s="113">
        <v>0</v>
      </c>
      <c r="J1393"/>
      <c r="K1393"/>
      <c r="L1393"/>
      <c r="M1393"/>
      <c r="N1393"/>
    </row>
    <row r="1394" spans="1:14" x14ac:dyDescent="0.3">
      <c r="A1394" s="102" t="s">
        <v>1734</v>
      </c>
      <c r="B1394" s="102" t="s">
        <v>2658</v>
      </c>
      <c r="C1394" s="107" t="s">
        <v>1528</v>
      </c>
      <c r="D1394" s="102">
        <v>6</v>
      </c>
      <c r="E1394" s="111">
        <v>28000</v>
      </c>
      <c r="F1394" s="112">
        <v>6375339</v>
      </c>
      <c r="G1394" s="112">
        <v>0</v>
      </c>
      <c r="H1394" s="112">
        <v>0</v>
      </c>
      <c r="I1394" s="113">
        <v>6403339</v>
      </c>
      <c r="J1394"/>
      <c r="K1394"/>
      <c r="L1394"/>
      <c r="M1394"/>
      <c r="N1394"/>
    </row>
    <row r="1395" spans="1:14" x14ac:dyDescent="0.3">
      <c r="A1395" s="102" t="s">
        <v>1735</v>
      </c>
      <c r="B1395" s="114" t="s">
        <v>2217</v>
      </c>
      <c r="C1395" s="115" t="s">
        <v>1528</v>
      </c>
      <c r="D1395" s="114">
        <v>6</v>
      </c>
      <c r="E1395" s="116">
        <v>0</v>
      </c>
      <c r="F1395" s="117">
        <v>0</v>
      </c>
      <c r="G1395" s="117">
        <v>0</v>
      </c>
      <c r="H1395" s="117">
        <v>0</v>
      </c>
      <c r="I1395" s="118">
        <v>0</v>
      </c>
      <c r="J1395"/>
      <c r="K1395"/>
      <c r="L1395"/>
      <c r="M1395"/>
      <c r="N1395"/>
    </row>
    <row r="1396" spans="1:14" x14ac:dyDescent="0.3">
      <c r="C1396" s="62"/>
      <c r="D1396" s="62"/>
    </row>
    <row r="1397" spans="1:14" x14ac:dyDescent="0.3">
      <c r="C1397" s="62"/>
      <c r="D1397" s="62"/>
    </row>
    <row r="1398" spans="1:14" x14ac:dyDescent="0.3">
      <c r="C1398" s="62"/>
      <c r="D1398" s="62"/>
    </row>
    <row r="1399" spans="1:14" x14ac:dyDescent="0.3">
      <c r="C1399" s="62"/>
      <c r="D1399" s="62"/>
    </row>
    <row r="1400" spans="1:14" x14ac:dyDescent="0.3">
      <c r="C1400" s="62"/>
      <c r="D1400" s="62"/>
    </row>
    <row r="1401" spans="1:14" x14ac:dyDescent="0.3">
      <c r="C1401" s="62"/>
      <c r="D1401" s="62"/>
    </row>
    <row r="1402" spans="1:14" x14ac:dyDescent="0.3">
      <c r="C1402" s="62"/>
      <c r="D1402" s="62"/>
    </row>
    <row r="1403" spans="1:14" x14ac:dyDescent="0.3">
      <c r="C1403" s="62"/>
      <c r="D1403" s="62"/>
    </row>
    <row r="1404" spans="1:14" x14ac:dyDescent="0.3">
      <c r="C1404" s="62"/>
      <c r="D1404" s="62"/>
    </row>
    <row r="1405" spans="1:14" x14ac:dyDescent="0.3">
      <c r="C1405" s="62"/>
      <c r="D1405" s="62"/>
    </row>
    <row r="1406" spans="1:14" x14ac:dyDescent="0.3">
      <c r="C1406" s="62"/>
      <c r="D1406" s="62"/>
    </row>
    <row r="1407" spans="1:14" x14ac:dyDescent="0.3">
      <c r="C1407" s="62"/>
      <c r="D1407" s="62"/>
    </row>
    <row r="1408" spans="1:14" x14ac:dyDescent="0.3">
      <c r="C1408" s="62"/>
      <c r="D1408" s="62"/>
    </row>
    <row r="1409" spans="3:4" x14ac:dyDescent="0.3">
      <c r="C1409" s="62"/>
      <c r="D1409" s="62"/>
    </row>
    <row r="1410" spans="3:4" x14ac:dyDescent="0.3">
      <c r="C1410" s="62"/>
      <c r="D1410" s="62"/>
    </row>
    <row r="1411" spans="3:4" x14ac:dyDescent="0.3">
      <c r="C1411" s="62"/>
      <c r="D1411" s="62"/>
    </row>
    <row r="1412" spans="3:4" x14ac:dyDescent="0.3">
      <c r="C1412" s="62"/>
      <c r="D1412" s="62"/>
    </row>
    <row r="1413" spans="3:4" x14ac:dyDescent="0.3">
      <c r="C1413" s="62"/>
      <c r="D1413" s="62"/>
    </row>
    <row r="1414" spans="3:4" x14ac:dyDescent="0.3">
      <c r="C1414" s="62"/>
      <c r="D1414" s="62"/>
    </row>
    <row r="1415" spans="3:4" x14ac:dyDescent="0.3">
      <c r="C1415" s="62"/>
      <c r="D1415" s="62"/>
    </row>
    <row r="1416" spans="3:4" x14ac:dyDescent="0.3">
      <c r="C1416" s="62"/>
      <c r="D1416" s="62"/>
    </row>
    <row r="1417" spans="3:4" x14ac:dyDescent="0.3">
      <c r="C1417" s="62"/>
      <c r="D1417" s="62"/>
    </row>
    <row r="1418" spans="3:4" x14ac:dyDescent="0.3">
      <c r="C1418" s="62"/>
      <c r="D1418" s="62"/>
    </row>
    <row r="1419" spans="3:4" x14ac:dyDescent="0.3">
      <c r="C1419" s="62"/>
      <c r="D1419" s="62"/>
    </row>
    <row r="1420" spans="3:4" x14ac:dyDescent="0.3">
      <c r="C1420" s="62"/>
      <c r="D1420" s="62"/>
    </row>
    <row r="1421" spans="3:4" x14ac:dyDescent="0.3">
      <c r="C1421" s="62"/>
      <c r="D1421" s="62"/>
    </row>
    <row r="1422" spans="3:4" x14ac:dyDescent="0.3">
      <c r="C1422" s="62"/>
      <c r="D1422" s="62"/>
    </row>
    <row r="1423" spans="3:4" x14ac:dyDescent="0.3">
      <c r="C1423" s="62"/>
      <c r="D1423" s="62"/>
    </row>
    <row r="1424" spans="3:4" x14ac:dyDescent="0.3">
      <c r="C1424" s="62"/>
      <c r="D1424" s="62"/>
    </row>
    <row r="1425" spans="3:4" x14ac:dyDescent="0.3">
      <c r="C1425" s="62"/>
      <c r="D1425" s="62"/>
    </row>
    <row r="1426" spans="3:4" x14ac:dyDescent="0.3">
      <c r="C1426" s="62"/>
      <c r="D1426" s="62"/>
    </row>
    <row r="1427" spans="3:4" x14ac:dyDescent="0.3">
      <c r="C1427" s="62"/>
      <c r="D1427" s="62"/>
    </row>
    <row r="1428" spans="3:4" x14ac:dyDescent="0.3">
      <c r="C1428" s="62"/>
      <c r="D1428" s="62"/>
    </row>
    <row r="1429" spans="3:4" x14ac:dyDescent="0.3">
      <c r="C1429" s="62"/>
      <c r="D1429" s="62"/>
    </row>
    <row r="1430" spans="3:4" x14ac:dyDescent="0.3">
      <c r="C1430" s="62"/>
      <c r="D1430" s="62"/>
    </row>
    <row r="1431" spans="3:4" x14ac:dyDescent="0.3">
      <c r="C1431" s="62"/>
      <c r="D1431" s="62"/>
    </row>
    <row r="1432" spans="3:4" x14ac:dyDescent="0.3">
      <c r="C1432" s="62"/>
      <c r="D1432" s="62"/>
    </row>
    <row r="1433" spans="3:4" x14ac:dyDescent="0.3">
      <c r="C1433" s="62"/>
      <c r="D1433" s="62"/>
    </row>
    <row r="1434" spans="3:4" x14ac:dyDescent="0.3">
      <c r="C1434" s="62"/>
      <c r="D1434" s="62"/>
    </row>
    <row r="1435" spans="3:4" x14ac:dyDescent="0.3">
      <c r="C1435" s="62"/>
      <c r="D1435" s="62"/>
    </row>
    <row r="1436" spans="3:4" x14ac:dyDescent="0.3">
      <c r="C1436" s="62"/>
      <c r="D1436" s="62"/>
    </row>
    <row r="1437" spans="3:4" x14ac:dyDescent="0.3">
      <c r="C1437" s="62"/>
      <c r="D1437" s="62"/>
    </row>
    <row r="1438" spans="3:4" x14ac:dyDescent="0.3">
      <c r="C1438" s="62"/>
      <c r="D1438" s="62"/>
    </row>
    <row r="1439" spans="3:4" x14ac:dyDescent="0.3">
      <c r="C1439" s="62"/>
      <c r="D1439" s="62"/>
    </row>
    <row r="1440" spans="3:4" x14ac:dyDescent="0.3">
      <c r="C1440" s="62"/>
      <c r="D1440" s="62"/>
    </row>
    <row r="1441" spans="3:4" x14ac:dyDescent="0.3">
      <c r="C1441" s="62"/>
      <c r="D1441" s="62"/>
    </row>
    <row r="1442" spans="3:4" x14ac:dyDescent="0.3">
      <c r="C1442" s="62"/>
      <c r="D1442" s="62"/>
    </row>
    <row r="1443" spans="3:4" x14ac:dyDescent="0.3">
      <c r="C1443" s="62"/>
      <c r="D1443" s="62"/>
    </row>
    <row r="1444" spans="3:4" x14ac:dyDescent="0.3">
      <c r="C1444" s="62"/>
      <c r="D1444" s="62"/>
    </row>
    <row r="1445" spans="3:4" x14ac:dyDescent="0.3">
      <c r="C1445" s="62"/>
      <c r="D1445" s="62"/>
    </row>
    <row r="1446" spans="3:4" x14ac:dyDescent="0.3">
      <c r="C1446" s="62"/>
      <c r="D1446" s="62"/>
    </row>
    <row r="1447" spans="3:4" x14ac:dyDescent="0.3">
      <c r="C1447" s="62"/>
      <c r="D1447" s="62"/>
    </row>
    <row r="1448" spans="3:4" x14ac:dyDescent="0.3">
      <c r="C1448" s="62"/>
      <c r="D1448" s="62"/>
    </row>
    <row r="1449" spans="3:4" x14ac:dyDescent="0.3">
      <c r="C1449" s="62"/>
      <c r="D1449" s="62"/>
    </row>
    <row r="1450" spans="3:4" x14ac:dyDescent="0.3">
      <c r="C1450" s="62"/>
      <c r="D1450" s="62"/>
    </row>
    <row r="1451" spans="3:4" x14ac:dyDescent="0.3">
      <c r="C1451" s="62"/>
      <c r="D1451" s="62"/>
    </row>
    <row r="1452" spans="3:4" x14ac:dyDescent="0.3">
      <c r="C1452" s="62"/>
      <c r="D1452" s="62"/>
    </row>
    <row r="1453" spans="3:4" x14ac:dyDescent="0.3">
      <c r="C1453" s="62"/>
      <c r="D1453" s="62"/>
    </row>
    <row r="1454" spans="3:4" x14ac:dyDescent="0.3">
      <c r="C1454" s="62"/>
      <c r="D1454" s="62"/>
    </row>
    <row r="1455" spans="3:4" x14ac:dyDescent="0.3">
      <c r="C1455" s="62"/>
      <c r="D1455" s="62"/>
    </row>
    <row r="1456" spans="3:4" x14ac:dyDescent="0.3">
      <c r="C1456" s="62"/>
      <c r="D1456" s="62"/>
    </row>
    <row r="1457" spans="3:4" x14ac:dyDescent="0.3">
      <c r="C1457" s="62"/>
      <c r="D1457" s="62"/>
    </row>
    <row r="1458" spans="3:4" x14ac:dyDescent="0.3">
      <c r="C1458" s="62"/>
      <c r="D1458" s="62"/>
    </row>
    <row r="1459" spans="3:4" x14ac:dyDescent="0.3">
      <c r="C1459" s="62"/>
      <c r="D1459" s="62"/>
    </row>
    <row r="1460" spans="3:4" x14ac:dyDescent="0.3">
      <c r="C1460" s="62"/>
      <c r="D1460" s="62"/>
    </row>
    <row r="1461" spans="3:4" x14ac:dyDescent="0.3">
      <c r="C1461" s="62"/>
      <c r="D1461" s="62"/>
    </row>
    <row r="1462" spans="3:4" x14ac:dyDescent="0.3">
      <c r="C1462" s="62"/>
      <c r="D1462" s="62"/>
    </row>
    <row r="1463" spans="3:4" x14ac:dyDescent="0.3">
      <c r="C1463" s="62"/>
      <c r="D1463" s="62"/>
    </row>
    <row r="1464" spans="3:4" x14ac:dyDescent="0.3">
      <c r="C1464" s="62"/>
      <c r="D1464" s="62"/>
    </row>
    <row r="1465" spans="3:4" x14ac:dyDescent="0.3">
      <c r="C1465" s="62"/>
      <c r="D1465" s="62"/>
    </row>
    <row r="1466" spans="3:4" x14ac:dyDescent="0.3">
      <c r="C1466" s="62"/>
      <c r="D1466" s="62"/>
    </row>
    <row r="1467" spans="3:4" x14ac:dyDescent="0.3">
      <c r="C1467" s="62"/>
      <c r="D1467" s="62"/>
    </row>
    <row r="1468" spans="3:4" x14ac:dyDescent="0.3">
      <c r="C1468" s="62"/>
      <c r="D1468" s="62"/>
    </row>
    <row r="1469" spans="3:4" x14ac:dyDescent="0.3">
      <c r="C1469" s="62"/>
      <c r="D1469" s="62"/>
    </row>
    <row r="1470" spans="3:4" x14ac:dyDescent="0.3">
      <c r="C1470" s="62"/>
      <c r="D1470" s="62"/>
    </row>
    <row r="1471" spans="3:4" x14ac:dyDescent="0.3">
      <c r="C1471" s="62"/>
      <c r="D1471" s="62"/>
    </row>
    <row r="1472" spans="3:4" x14ac:dyDescent="0.3">
      <c r="C1472" s="62"/>
      <c r="D1472" s="62"/>
    </row>
    <row r="1473" spans="3:4" x14ac:dyDescent="0.3">
      <c r="C1473" s="62"/>
      <c r="D1473" s="62"/>
    </row>
    <row r="1474" spans="3:4" x14ac:dyDescent="0.3">
      <c r="C1474" s="62"/>
      <c r="D1474" s="62"/>
    </row>
    <row r="1475" spans="3:4" x14ac:dyDescent="0.3">
      <c r="C1475" s="62"/>
      <c r="D1475" s="62"/>
    </row>
    <row r="1476" spans="3:4" x14ac:dyDescent="0.3">
      <c r="C1476" s="62"/>
      <c r="D1476" s="62"/>
    </row>
    <row r="1477" spans="3:4" x14ac:dyDescent="0.3">
      <c r="C1477" s="62"/>
      <c r="D1477" s="62"/>
    </row>
    <row r="1478" spans="3:4" x14ac:dyDescent="0.3">
      <c r="C1478" s="62"/>
      <c r="D1478" s="62"/>
    </row>
    <row r="1479" spans="3:4" x14ac:dyDescent="0.3">
      <c r="C1479" s="62"/>
      <c r="D1479" s="62"/>
    </row>
    <row r="1480" spans="3:4" x14ac:dyDescent="0.3">
      <c r="C1480" s="62"/>
      <c r="D1480" s="62"/>
    </row>
    <row r="1481" spans="3:4" x14ac:dyDescent="0.3">
      <c r="C1481" s="62"/>
      <c r="D1481" s="62"/>
    </row>
    <row r="1482" spans="3:4" x14ac:dyDescent="0.3">
      <c r="C1482" s="62"/>
      <c r="D1482" s="62"/>
    </row>
    <row r="1483" spans="3:4" x14ac:dyDescent="0.3">
      <c r="C1483" s="62"/>
      <c r="D1483" s="62"/>
    </row>
    <row r="1484" spans="3:4" x14ac:dyDescent="0.3">
      <c r="C1484" s="62"/>
      <c r="D1484" s="62"/>
    </row>
    <row r="1485" spans="3:4" x14ac:dyDescent="0.3">
      <c r="C1485" s="62"/>
      <c r="D1485" s="62"/>
    </row>
    <row r="1486" spans="3:4" x14ac:dyDescent="0.3">
      <c r="C1486" s="62"/>
      <c r="D1486" s="62"/>
    </row>
    <row r="1487" spans="3:4" x14ac:dyDescent="0.3">
      <c r="C1487" s="62"/>
      <c r="D1487" s="62"/>
    </row>
    <row r="1488" spans="3:4" x14ac:dyDescent="0.3">
      <c r="C1488" s="62"/>
      <c r="D1488" s="62"/>
    </row>
    <row r="1489" spans="3:4" x14ac:dyDescent="0.3">
      <c r="C1489" s="62"/>
      <c r="D1489" s="62"/>
    </row>
    <row r="1490" spans="3:4" x14ac:dyDescent="0.3">
      <c r="C1490" s="62"/>
      <c r="D1490" s="62"/>
    </row>
    <row r="1491" spans="3:4" x14ac:dyDescent="0.3">
      <c r="C1491" s="62"/>
      <c r="D1491" s="62"/>
    </row>
    <row r="1492" spans="3:4" x14ac:dyDescent="0.3">
      <c r="C1492" s="62"/>
      <c r="D1492" s="62"/>
    </row>
    <row r="1493" spans="3:4" x14ac:dyDescent="0.3">
      <c r="C1493" s="62"/>
      <c r="D1493" s="62"/>
    </row>
    <row r="1494" spans="3:4" x14ac:dyDescent="0.3">
      <c r="C1494" s="62"/>
      <c r="D1494" s="62"/>
    </row>
    <row r="1495" spans="3:4" x14ac:dyDescent="0.3">
      <c r="C1495" s="62"/>
      <c r="D1495" s="62"/>
    </row>
    <row r="1496" spans="3:4" x14ac:dyDescent="0.3">
      <c r="C1496" s="62"/>
      <c r="D1496" s="62"/>
    </row>
    <row r="1497" spans="3:4" x14ac:dyDescent="0.3">
      <c r="C1497" s="62"/>
      <c r="D1497" s="62"/>
    </row>
    <row r="1498" spans="3:4" x14ac:dyDescent="0.3">
      <c r="C1498" s="62"/>
      <c r="D1498" s="62"/>
    </row>
    <row r="1499" spans="3:4" x14ac:dyDescent="0.3">
      <c r="C1499" s="62"/>
      <c r="D1499" s="62"/>
    </row>
    <row r="1500" spans="3:4" x14ac:dyDescent="0.3">
      <c r="C1500" s="62"/>
      <c r="D1500" s="62"/>
    </row>
    <row r="1501" spans="3:4" x14ac:dyDescent="0.3">
      <c r="C1501" s="62"/>
      <c r="D1501" s="62"/>
    </row>
    <row r="1502" spans="3:4" x14ac:dyDescent="0.3">
      <c r="C1502" s="62"/>
      <c r="D1502" s="62"/>
    </row>
    <row r="1503" spans="3:4" x14ac:dyDescent="0.3">
      <c r="C1503" s="62"/>
      <c r="D1503" s="62"/>
    </row>
    <row r="1504" spans="3:4" x14ac:dyDescent="0.3">
      <c r="C1504" s="62"/>
      <c r="D1504" s="62"/>
    </row>
    <row r="1505" spans="3:4" x14ac:dyDescent="0.3">
      <c r="C1505" s="62"/>
      <c r="D1505" s="62"/>
    </row>
    <row r="1506" spans="3:4" x14ac:dyDescent="0.3">
      <c r="C1506" s="62"/>
      <c r="D1506" s="62"/>
    </row>
    <row r="1507" spans="3:4" x14ac:dyDescent="0.3">
      <c r="C1507" s="62"/>
      <c r="D1507" s="62"/>
    </row>
    <row r="1508" spans="3:4" x14ac:dyDescent="0.3">
      <c r="C1508" s="62"/>
      <c r="D1508" s="62"/>
    </row>
    <row r="1509" spans="3:4" x14ac:dyDescent="0.3">
      <c r="C1509" s="62"/>
      <c r="D1509" s="62"/>
    </row>
    <row r="1510" spans="3:4" x14ac:dyDescent="0.3">
      <c r="C1510" s="62"/>
      <c r="D1510" s="62"/>
    </row>
    <row r="1511" spans="3:4" x14ac:dyDescent="0.3">
      <c r="C1511" s="62"/>
      <c r="D1511" s="62"/>
    </row>
    <row r="1512" spans="3:4" x14ac:dyDescent="0.3">
      <c r="C1512" s="62"/>
      <c r="D1512" s="62"/>
    </row>
    <row r="1513" spans="3:4" x14ac:dyDescent="0.3">
      <c r="C1513" s="62"/>
      <c r="D1513" s="62"/>
    </row>
    <row r="1514" spans="3:4" x14ac:dyDescent="0.3">
      <c r="C1514" s="62"/>
      <c r="D1514" s="62"/>
    </row>
    <row r="1515" spans="3:4" x14ac:dyDescent="0.3">
      <c r="C1515" s="62"/>
      <c r="D1515" s="62"/>
    </row>
    <row r="1516" spans="3:4" x14ac:dyDescent="0.3">
      <c r="C1516" s="62"/>
      <c r="D1516" s="62"/>
    </row>
    <row r="1517" spans="3:4" x14ac:dyDescent="0.3">
      <c r="C1517" s="62"/>
      <c r="D1517" s="62"/>
    </row>
    <row r="1518" spans="3:4" x14ac:dyDescent="0.3">
      <c r="C1518" s="62"/>
      <c r="D1518" s="62"/>
    </row>
    <row r="1519" spans="3:4" x14ac:dyDescent="0.3">
      <c r="C1519" s="62"/>
      <c r="D1519" s="62"/>
    </row>
    <row r="1520" spans="3:4" x14ac:dyDescent="0.3">
      <c r="C1520" s="62"/>
      <c r="D1520" s="62"/>
    </row>
    <row r="1521" spans="3:4" x14ac:dyDescent="0.3">
      <c r="C1521" s="62"/>
      <c r="D1521" s="62"/>
    </row>
    <row r="1522" spans="3:4" x14ac:dyDescent="0.3">
      <c r="C1522" s="62"/>
      <c r="D1522" s="62"/>
    </row>
    <row r="1523" spans="3:4" x14ac:dyDescent="0.3">
      <c r="C1523" s="62"/>
      <c r="D1523" s="62"/>
    </row>
    <row r="1524" spans="3:4" x14ac:dyDescent="0.3">
      <c r="C1524" s="62"/>
      <c r="D1524" s="62"/>
    </row>
    <row r="1525" spans="3:4" x14ac:dyDescent="0.3">
      <c r="C1525" s="62"/>
      <c r="D1525" s="62"/>
    </row>
    <row r="1526" spans="3:4" x14ac:dyDescent="0.3">
      <c r="C1526" s="62"/>
      <c r="D1526" s="62"/>
    </row>
    <row r="1527" spans="3:4" x14ac:dyDescent="0.3">
      <c r="C1527" s="62"/>
      <c r="D1527" s="62"/>
    </row>
    <row r="1528" spans="3:4" x14ac:dyDescent="0.3">
      <c r="C1528" s="62"/>
      <c r="D1528" s="62"/>
    </row>
    <row r="1529" spans="3:4" x14ac:dyDescent="0.3">
      <c r="C1529" s="62"/>
      <c r="D1529" s="62"/>
    </row>
    <row r="1530" spans="3:4" x14ac:dyDescent="0.3">
      <c r="C1530" s="62"/>
      <c r="D1530" s="62"/>
    </row>
    <row r="1531" spans="3:4" x14ac:dyDescent="0.3">
      <c r="C1531" s="62"/>
      <c r="D1531" s="62"/>
    </row>
    <row r="1532" spans="3:4" x14ac:dyDescent="0.3">
      <c r="C1532" s="62"/>
      <c r="D1532" s="62"/>
    </row>
    <row r="1533" spans="3:4" x14ac:dyDescent="0.3">
      <c r="C1533" s="62"/>
      <c r="D1533" s="62"/>
    </row>
    <row r="1534" spans="3:4" x14ac:dyDescent="0.3">
      <c r="C1534" s="62"/>
      <c r="D1534" s="62"/>
    </row>
    <row r="1535" spans="3:4" x14ac:dyDescent="0.3">
      <c r="C1535" s="62"/>
      <c r="D1535" s="62"/>
    </row>
    <row r="1536" spans="3:4" x14ac:dyDescent="0.3">
      <c r="C1536" s="62"/>
      <c r="D1536" s="62"/>
    </row>
    <row r="1537" spans="3:4" x14ac:dyDescent="0.3">
      <c r="C1537" s="62"/>
      <c r="D1537" s="62"/>
    </row>
    <row r="1538" spans="3:4" x14ac:dyDescent="0.3">
      <c r="C1538" s="62"/>
      <c r="D1538" s="62"/>
    </row>
    <row r="1539" spans="3:4" x14ac:dyDescent="0.3">
      <c r="C1539" s="62"/>
      <c r="D1539" s="62"/>
    </row>
    <row r="1540" spans="3:4" x14ac:dyDescent="0.3">
      <c r="C1540" s="62"/>
      <c r="D1540" s="62"/>
    </row>
    <row r="1541" spans="3:4" x14ac:dyDescent="0.3">
      <c r="C1541" s="62"/>
      <c r="D1541" s="62"/>
    </row>
    <row r="1542" spans="3:4" x14ac:dyDescent="0.3">
      <c r="C1542" s="62"/>
      <c r="D1542" s="62"/>
    </row>
    <row r="1543" spans="3:4" x14ac:dyDescent="0.3">
      <c r="C1543" s="62"/>
      <c r="D1543" s="62"/>
    </row>
    <row r="1544" spans="3:4" x14ac:dyDescent="0.3">
      <c r="C1544" s="62"/>
      <c r="D1544" s="62"/>
    </row>
    <row r="1545" spans="3:4" x14ac:dyDescent="0.3">
      <c r="C1545" s="62"/>
      <c r="D1545" s="62"/>
    </row>
    <row r="1546" spans="3:4" x14ac:dyDescent="0.3">
      <c r="C1546" s="62"/>
      <c r="D1546" s="62"/>
    </row>
    <row r="1547" spans="3:4" x14ac:dyDescent="0.3">
      <c r="C1547" s="62"/>
      <c r="D1547" s="62"/>
    </row>
    <row r="1548" spans="3:4" x14ac:dyDescent="0.3">
      <c r="C1548" s="62"/>
      <c r="D1548" s="62"/>
    </row>
    <row r="1549" spans="3:4" x14ac:dyDescent="0.3">
      <c r="C1549" s="62"/>
      <c r="D1549" s="62"/>
    </row>
    <row r="1550" spans="3:4" x14ac:dyDescent="0.3">
      <c r="C1550" s="62"/>
      <c r="D1550" s="62"/>
    </row>
    <row r="1551" spans="3:4" x14ac:dyDescent="0.3">
      <c r="C1551" s="62"/>
      <c r="D1551" s="62"/>
    </row>
    <row r="1552" spans="3:4" x14ac:dyDescent="0.3">
      <c r="C1552" s="62"/>
      <c r="D1552" s="62"/>
    </row>
    <row r="1553" spans="3:4" x14ac:dyDescent="0.3">
      <c r="C1553" s="62"/>
      <c r="D1553" s="62"/>
    </row>
    <row r="1554" spans="3:4" x14ac:dyDescent="0.3">
      <c r="C1554" s="62"/>
      <c r="D1554" s="62"/>
    </row>
    <row r="1555" spans="3:4" x14ac:dyDescent="0.3">
      <c r="C1555" s="62"/>
      <c r="D1555" s="62"/>
    </row>
    <row r="1556" spans="3:4" x14ac:dyDescent="0.3">
      <c r="C1556" s="62"/>
      <c r="D1556" s="62"/>
    </row>
    <row r="1557" spans="3:4" x14ac:dyDescent="0.3">
      <c r="C1557" s="62"/>
      <c r="D1557" s="62"/>
    </row>
    <row r="1558" spans="3:4" x14ac:dyDescent="0.3">
      <c r="C1558" s="62"/>
      <c r="D1558" s="62"/>
    </row>
    <row r="1559" spans="3:4" x14ac:dyDescent="0.3">
      <c r="C1559" s="62"/>
      <c r="D1559" s="62"/>
    </row>
    <row r="1560" spans="3:4" x14ac:dyDescent="0.3">
      <c r="C1560" s="62"/>
      <c r="D1560" s="62"/>
    </row>
    <row r="1561" spans="3:4" x14ac:dyDescent="0.3">
      <c r="C1561" s="62"/>
      <c r="D1561" s="62"/>
    </row>
    <row r="1562" spans="3:4" x14ac:dyDescent="0.3">
      <c r="C1562" s="62"/>
      <c r="D1562" s="62"/>
    </row>
    <row r="1563" spans="3:4" x14ac:dyDescent="0.3">
      <c r="C1563" s="62"/>
      <c r="D1563" s="62"/>
    </row>
    <row r="1564" spans="3:4" x14ac:dyDescent="0.3">
      <c r="C1564" s="62"/>
      <c r="D1564" s="62"/>
    </row>
    <row r="1565" spans="3:4" x14ac:dyDescent="0.3">
      <c r="C1565" s="62"/>
      <c r="D1565" s="62"/>
    </row>
    <row r="1566" spans="3:4" x14ac:dyDescent="0.3">
      <c r="C1566" s="62"/>
      <c r="D1566" s="62"/>
    </row>
    <row r="1567" spans="3:4" x14ac:dyDescent="0.3">
      <c r="C1567" s="62"/>
      <c r="D1567" s="62"/>
    </row>
    <row r="1568" spans="3:4" x14ac:dyDescent="0.3">
      <c r="C1568" s="62"/>
      <c r="D1568" s="62"/>
    </row>
    <row r="1569" spans="3:4" x14ac:dyDescent="0.3">
      <c r="C1569" s="62"/>
      <c r="D1569" s="62"/>
    </row>
    <row r="1570" spans="3:4" x14ac:dyDescent="0.3">
      <c r="C1570" s="62"/>
      <c r="D1570" s="62"/>
    </row>
    <row r="1571" spans="3:4" x14ac:dyDescent="0.3">
      <c r="C1571" s="62"/>
      <c r="D1571" s="62"/>
    </row>
    <row r="1572" spans="3:4" x14ac:dyDescent="0.3">
      <c r="C1572" s="62"/>
      <c r="D1572" s="62"/>
    </row>
    <row r="1573" spans="3:4" x14ac:dyDescent="0.3">
      <c r="C1573" s="62"/>
      <c r="D1573" s="62"/>
    </row>
    <row r="1574" spans="3:4" x14ac:dyDescent="0.3">
      <c r="C1574" s="62"/>
      <c r="D1574" s="62"/>
    </row>
    <row r="1575" spans="3:4" x14ac:dyDescent="0.3">
      <c r="C1575" s="62"/>
      <c r="D1575" s="62"/>
    </row>
    <row r="1576" spans="3:4" x14ac:dyDescent="0.3">
      <c r="C1576" s="62"/>
      <c r="D1576" s="62"/>
    </row>
    <row r="1577" spans="3:4" x14ac:dyDescent="0.3">
      <c r="C1577" s="62"/>
      <c r="D1577" s="62"/>
    </row>
    <row r="1578" spans="3:4" x14ac:dyDescent="0.3">
      <c r="C1578" s="62"/>
      <c r="D1578" s="62"/>
    </row>
    <row r="1579" spans="3:4" x14ac:dyDescent="0.3">
      <c r="C1579" s="62"/>
      <c r="D1579" s="62"/>
    </row>
    <row r="1580" spans="3:4" x14ac:dyDescent="0.3">
      <c r="C1580" s="62"/>
      <c r="D1580" s="62"/>
    </row>
    <row r="1581" spans="3:4" x14ac:dyDescent="0.3">
      <c r="C1581" s="62"/>
      <c r="D1581" s="62"/>
    </row>
    <row r="1582" spans="3:4" x14ac:dyDescent="0.3">
      <c r="C1582" s="62"/>
      <c r="D1582" s="62"/>
    </row>
    <row r="1583" spans="3:4" x14ac:dyDescent="0.3">
      <c r="C1583" s="62"/>
      <c r="D1583" s="62"/>
    </row>
    <row r="1584" spans="3:4" x14ac:dyDescent="0.3">
      <c r="C1584" s="62"/>
      <c r="D1584" s="62"/>
    </row>
    <row r="1585" spans="3:4" x14ac:dyDescent="0.3">
      <c r="C1585" s="62"/>
      <c r="D1585" s="62"/>
    </row>
    <row r="1586" spans="3:4" x14ac:dyDescent="0.3">
      <c r="C1586" s="62"/>
      <c r="D1586" s="62"/>
    </row>
    <row r="1587" spans="3:4" x14ac:dyDescent="0.3">
      <c r="C1587" s="62"/>
      <c r="D1587" s="62"/>
    </row>
    <row r="1588" spans="3:4" x14ac:dyDescent="0.3">
      <c r="C1588" s="62"/>
      <c r="D1588" s="62"/>
    </row>
    <row r="1589" spans="3:4" x14ac:dyDescent="0.3">
      <c r="C1589" s="62"/>
      <c r="D1589" s="62"/>
    </row>
    <row r="1590" spans="3:4" x14ac:dyDescent="0.3">
      <c r="C1590" s="62"/>
      <c r="D1590" s="62"/>
    </row>
    <row r="1591" spans="3:4" x14ac:dyDescent="0.3">
      <c r="C1591" s="62"/>
      <c r="D1591" s="62"/>
    </row>
    <row r="1592" spans="3:4" x14ac:dyDescent="0.3">
      <c r="C1592" s="62"/>
      <c r="D1592" s="62"/>
    </row>
    <row r="1593" spans="3:4" x14ac:dyDescent="0.3">
      <c r="C1593" s="62"/>
      <c r="D1593" s="62"/>
    </row>
    <row r="1594" spans="3:4" x14ac:dyDescent="0.3">
      <c r="C1594" s="62"/>
      <c r="D1594" s="62"/>
    </row>
    <row r="1595" spans="3:4" x14ac:dyDescent="0.3">
      <c r="C1595" s="62"/>
      <c r="D1595" s="62"/>
    </row>
    <row r="1596" spans="3:4" x14ac:dyDescent="0.3">
      <c r="C1596" s="62"/>
      <c r="D1596" s="62"/>
    </row>
    <row r="1597" spans="3:4" x14ac:dyDescent="0.3">
      <c r="C1597" s="62"/>
      <c r="D1597" s="62"/>
    </row>
    <row r="1598" spans="3:4" x14ac:dyDescent="0.3">
      <c r="C1598" s="62"/>
      <c r="D1598" s="62"/>
    </row>
    <row r="1599" spans="3:4" x14ac:dyDescent="0.3">
      <c r="C1599" s="62"/>
      <c r="D1599" s="62"/>
    </row>
    <row r="1600" spans="3:4" x14ac:dyDescent="0.3">
      <c r="C1600" s="62"/>
      <c r="D1600" s="62"/>
    </row>
    <row r="1601" spans="3:4" x14ac:dyDescent="0.3">
      <c r="C1601" s="62"/>
      <c r="D1601" s="62"/>
    </row>
    <row r="1602" spans="3:4" x14ac:dyDescent="0.3">
      <c r="C1602" s="62"/>
      <c r="D1602" s="62"/>
    </row>
    <row r="1603" spans="3:4" x14ac:dyDescent="0.3">
      <c r="C1603" s="62"/>
      <c r="D1603" s="62"/>
    </row>
    <row r="1604" spans="3:4" x14ac:dyDescent="0.3">
      <c r="C1604" s="62"/>
      <c r="D1604" s="62"/>
    </row>
    <row r="1605" spans="3:4" x14ac:dyDescent="0.3">
      <c r="C1605" s="62"/>
      <c r="D1605" s="62"/>
    </row>
    <row r="1606" spans="3:4" x14ac:dyDescent="0.3">
      <c r="C1606" s="62"/>
      <c r="D1606" s="62"/>
    </row>
    <row r="1607" spans="3:4" x14ac:dyDescent="0.3">
      <c r="C1607" s="62"/>
      <c r="D1607" s="62"/>
    </row>
    <row r="1608" spans="3:4" x14ac:dyDescent="0.3">
      <c r="C1608" s="62"/>
      <c r="D1608" s="62"/>
    </row>
    <row r="1609" spans="3:4" x14ac:dyDescent="0.3">
      <c r="C1609" s="62"/>
      <c r="D1609" s="62"/>
    </row>
    <row r="1610" spans="3:4" x14ac:dyDescent="0.3">
      <c r="C1610" s="62"/>
      <c r="D1610" s="62"/>
    </row>
    <row r="1611" spans="3:4" x14ac:dyDescent="0.3">
      <c r="C1611" s="62"/>
      <c r="D1611" s="62"/>
    </row>
    <row r="1612" spans="3:4" x14ac:dyDescent="0.3">
      <c r="C1612" s="62"/>
      <c r="D1612" s="62"/>
    </row>
    <row r="1613" spans="3:4" x14ac:dyDescent="0.3">
      <c r="C1613" s="62"/>
      <c r="D1613" s="62"/>
    </row>
    <row r="1614" spans="3:4" x14ac:dyDescent="0.3">
      <c r="C1614" s="62"/>
      <c r="D1614" s="62"/>
    </row>
    <row r="1615" spans="3:4" x14ac:dyDescent="0.3">
      <c r="C1615" s="62"/>
      <c r="D1615" s="62"/>
    </row>
    <row r="1616" spans="3:4" x14ac:dyDescent="0.3">
      <c r="C1616" s="62"/>
      <c r="D1616" s="62"/>
    </row>
    <row r="1617" spans="3:4" x14ac:dyDescent="0.3">
      <c r="C1617" s="62"/>
      <c r="D1617" s="62"/>
    </row>
    <row r="1618" spans="3:4" x14ac:dyDescent="0.3">
      <c r="C1618" s="62"/>
      <c r="D1618" s="62"/>
    </row>
    <row r="1619" spans="3:4" x14ac:dyDescent="0.3">
      <c r="C1619" s="62"/>
      <c r="D1619" s="62"/>
    </row>
    <row r="1620" spans="3:4" x14ac:dyDescent="0.3">
      <c r="C1620" s="62"/>
      <c r="D1620" s="62"/>
    </row>
    <row r="1621" spans="3:4" x14ac:dyDescent="0.3">
      <c r="C1621" s="62"/>
      <c r="D1621" s="62"/>
    </row>
    <row r="1622" spans="3:4" x14ac:dyDescent="0.3">
      <c r="C1622" s="62"/>
      <c r="D1622" s="62"/>
    </row>
    <row r="1623" spans="3:4" x14ac:dyDescent="0.3">
      <c r="C1623" s="62"/>
      <c r="D1623" s="62"/>
    </row>
    <row r="1624" spans="3:4" x14ac:dyDescent="0.3">
      <c r="C1624" s="62"/>
      <c r="D1624" s="62"/>
    </row>
    <row r="1625" spans="3:4" x14ac:dyDescent="0.3">
      <c r="C1625" s="62"/>
      <c r="D1625" s="62"/>
    </row>
    <row r="1626" spans="3:4" x14ac:dyDescent="0.3">
      <c r="C1626" s="62"/>
      <c r="D1626" s="62"/>
    </row>
    <row r="1627" spans="3:4" x14ac:dyDescent="0.3">
      <c r="C1627" s="62"/>
      <c r="D1627" s="62"/>
    </row>
    <row r="1628" spans="3:4" x14ac:dyDescent="0.3">
      <c r="C1628" s="62"/>
      <c r="D1628" s="62"/>
    </row>
    <row r="1629" spans="3:4" x14ac:dyDescent="0.3">
      <c r="C1629" s="62"/>
      <c r="D1629" s="62"/>
    </row>
    <row r="1630" spans="3:4" x14ac:dyDescent="0.3">
      <c r="C1630" s="62"/>
      <c r="D1630" s="62"/>
    </row>
    <row r="1631" spans="3:4" x14ac:dyDescent="0.3">
      <c r="C1631" s="62"/>
      <c r="D1631" s="62"/>
    </row>
    <row r="1632" spans="3:4" x14ac:dyDescent="0.3">
      <c r="C1632" s="62"/>
      <c r="D1632" s="62"/>
    </row>
    <row r="1633" spans="3:4" x14ac:dyDescent="0.3">
      <c r="C1633" s="62"/>
      <c r="D1633" s="62"/>
    </row>
    <row r="1634" spans="3:4" x14ac:dyDescent="0.3">
      <c r="C1634" s="62"/>
      <c r="D1634" s="62"/>
    </row>
    <row r="1635" spans="3:4" x14ac:dyDescent="0.3">
      <c r="C1635" s="62"/>
      <c r="D1635" s="62"/>
    </row>
    <row r="1636" spans="3:4" x14ac:dyDescent="0.3">
      <c r="C1636" s="62"/>
      <c r="D1636" s="62"/>
    </row>
    <row r="1637" spans="3:4" x14ac:dyDescent="0.3">
      <c r="C1637" s="62"/>
      <c r="D1637" s="62"/>
    </row>
    <row r="1638" spans="3:4" x14ac:dyDescent="0.3">
      <c r="C1638" s="62"/>
      <c r="D1638" s="62"/>
    </row>
    <row r="1639" spans="3:4" x14ac:dyDescent="0.3">
      <c r="C1639" s="62"/>
      <c r="D1639" s="62"/>
    </row>
    <row r="1640" spans="3:4" x14ac:dyDescent="0.3">
      <c r="C1640" s="62"/>
      <c r="D1640" s="62"/>
    </row>
    <row r="1641" spans="3:4" x14ac:dyDescent="0.3">
      <c r="C1641" s="62"/>
      <c r="D1641" s="62"/>
    </row>
    <row r="1642" spans="3:4" x14ac:dyDescent="0.3">
      <c r="C1642" s="62"/>
      <c r="D1642" s="62"/>
    </row>
    <row r="1643" spans="3:4" x14ac:dyDescent="0.3">
      <c r="C1643" s="62"/>
      <c r="D1643" s="62"/>
    </row>
    <row r="1644" spans="3:4" x14ac:dyDescent="0.3">
      <c r="C1644" s="62"/>
      <c r="D1644" s="62"/>
    </row>
    <row r="1645" spans="3:4" x14ac:dyDescent="0.3">
      <c r="C1645" s="62"/>
      <c r="D1645" s="62"/>
    </row>
    <row r="1646" spans="3:4" x14ac:dyDescent="0.3">
      <c r="C1646" s="62"/>
      <c r="D1646" s="62"/>
    </row>
    <row r="1647" spans="3:4" x14ac:dyDescent="0.3">
      <c r="C1647" s="62"/>
      <c r="D1647" s="62"/>
    </row>
    <row r="1648" spans="3:4" x14ac:dyDescent="0.3">
      <c r="C1648" s="62"/>
      <c r="D1648" s="62"/>
    </row>
    <row r="1649" spans="3:4" x14ac:dyDescent="0.3">
      <c r="C1649" s="62"/>
      <c r="D1649" s="62"/>
    </row>
    <row r="1650" spans="3:4" x14ac:dyDescent="0.3">
      <c r="C1650" s="62"/>
      <c r="D1650" s="62"/>
    </row>
    <row r="1651" spans="3:4" x14ac:dyDescent="0.3">
      <c r="C1651" s="62"/>
      <c r="D1651" s="62"/>
    </row>
    <row r="1652" spans="3:4" x14ac:dyDescent="0.3">
      <c r="C1652" s="62"/>
      <c r="D1652" s="62"/>
    </row>
    <row r="1653" spans="3:4" x14ac:dyDescent="0.3">
      <c r="C1653" s="62"/>
      <c r="D1653" s="62"/>
    </row>
    <row r="1654" spans="3:4" x14ac:dyDescent="0.3">
      <c r="C1654" s="62"/>
      <c r="D1654" s="62"/>
    </row>
    <row r="1655" spans="3:4" x14ac:dyDescent="0.3">
      <c r="C1655" s="62"/>
      <c r="D1655" s="62"/>
    </row>
    <row r="1656" spans="3:4" x14ac:dyDescent="0.3">
      <c r="C1656" s="62"/>
      <c r="D1656" s="62"/>
    </row>
    <row r="1657" spans="3:4" x14ac:dyDescent="0.3">
      <c r="C1657" s="62"/>
      <c r="D1657" s="62"/>
    </row>
    <row r="1658" spans="3:4" x14ac:dyDescent="0.3">
      <c r="C1658" s="62"/>
      <c r="D1658" s="62"/>
    </row>
    <row r="1659" spans="3:4" x14ac:dyDescent="0.3">
      <c r="C1659" s="62"/>
      <c r="D1659" s="62"/>
    </row>
    <row r="1660" spans="3:4" x14ac:dyDescent="0.3">
      <c r="C1660" s="62"/>
      <c r="D1660" s="62"/>
    </row>
    <row r="1661" spans="3:4" x14ac:dyDescent="0.3">
      <c r="C1661" s="62"/>
      <c r="D1661" s="62"/>
    </row>
    <row r="1662" spans="3:4" x14ac:dyDescent="0.3">
      <c r="C1662" s="62"/>
      <c r="D1662" s="62"/>
    </row>
    <row r="1663" spans="3:4" x14ac:dyDescent="0.3">
      <c r="C1663" s="62"/>
      <c r="D1663" s="62"/>
    </row>
    <row r="1664" spans="3:4" x14ac:dyDescent="0.3">
      <c r="C1664" s="62"/>
      <c r="D1664" s="62"/>
    </row>
    <row r="1665" spans="3:4" x14ac:dyDescent="0.3">
      <c r="C1665" s="62"/>
      <c r="D1665" s="62"/>
    </row>
    <row r="1666" spans="3:4" x14ac:dyDescent="0.3">
      <c r="C1666" s="62"/>
      <c r="D1666" s="62"/>
    </row>
    <row r="1667" spans="3:4" x14ac:dyDescent="0.3">
      <c r="C1667" s="62"/>
      <c r="D1667" s="62"/>
    </row>
    <row r="1668" spans="3:4" x14ac:dyDescent="0.3">
      <c r="C1668" s="62"/>
      <c r="D1668" s="62"/>
    </row>
    <row r="1669" spans="3:4" x14ac:dyDescent="0.3">
      <c r="C1669" s="62"/>
      <c r="D1669" s="62"/>
    </row>
    <row r="1670" spans="3:4" x14ac:dyDescent="0.3">
      <c r="C1670" s="62"/>
      <c r="D1670" s="62"/>
    </row>
    <row r="1671" spans="3:4" x14ac:dyDescent="0.3">
      <c r="C1671" s="62"/>
      <c r="D1671" s="62"/>
    </row>
    <row r="1672" spans="3:4" x14ac:dyDescent="0.3">
      <c r="C1672" s="62"/>
      <c r="D1672" s="62"/>
    </row>
    <row r="1673" spans="3:4" x14ac:dyDescent="0.3">
      <c r="C1673" s="62"/>
      <c r="D1673" s="62"/>
    </row>
    <row r="1674" spans="3:4" x14ac:dyDescent="0.3">
      <c r="C1674" s="62"/>
      <c r="D1674" s="62"/>
    </row>
    <row r="1675" spans="3:4" x14ac:dyDescent="0.3">
      <c r="C1675" s="62"/>
      <c r="D1675" s="62"/>
    </row>
    <row r="1676" spans="3:4" x14ac:dyDescent="0.3">
      <c r="C1676" s="62"/>
      <c r="D1676" s="62"/>
    </row>
    <row r="1677" spans="3:4" x14ac:dyDescent="0.3">
      <c r="C1677" s="62"/>
      <c r="D1677" s="62"/>
    </row>
    <row r="1678" spans="3:4" x14ac:dyDescent="0.3">
      <c r="C1678" s="62"/>
      <c r="D1678" s="62"/>
    </row>
    <row r="1679" spans="3:4" x14ac:dyDescent="0.3">
      <c r="C1679" s="62"/>
      <c r="D1679" s="62"/>
    </row>
    <row r="1680" spans="3:4" x14ac:dyDescent="0.3">
      <c r="C1680" s="62"/>
      <c r="D1680" s="62"/>
    </row>
    <row r="1681" spans="3:4" x14ac:dyDescent="0.3">
      <c r="C1681" s="62"/>
      <c r="D1681" s="62"/>
    </row>
    <row r="1682" spans="3:4" x14ac:dyDescent="0.3">
      <c r="C1682" s="62"/>
      <c r="D1682" s="62"/>
    </row>
    <row r="1683" spans="3:4" x14ac:dyDescent="0.3">
      <c r="C1683" s="62"/>
      <c r="D1683" s="62"/>
    </row>
    <row r="1684" spans="3:4" x14ac:dyDescent="0.3">
      <c r="C1684" s="62"/>
      <c r="D1684" s="62"/>
    </row>
    <row r="1685" spans="3:4" x14ac:dyDescent="0.3">
      <c r="C1685" s="62"/>
      <c r="D1685" s="62"/>
    </row>
    <row r="1686" spans="3:4" x14ac:dyDescent="0.3">
      <c r="C1686" s="62"/>
      <c r="D1686" s="62"/>
    </row>
    <row r="1687" spans="3:4" x14ac:dyDescent="0.3">
      <c r="C1687" s="62"/>
      <c r="D1687" s="62"/>
    </row>
    <row r="1688" spans="3:4" x14ac:dyDescent="0.3">
      <c r="C1688" s="62"/>
      <c r="D1688" s="62"/>
    </row>
    <row r="1689" spans="3:4" x14ac:dyDescent="0.3">
      <c r="C1689" s="62"/>
      <c r="D1689" s="62"/>
    </row>
    <row r="1690" spans="3:4" x14ac:dyDescent="0.3">
      <c r="C1690" s="62"/>
      <c r="D1690" s="62"/>
    </row>
    <row r="1691" spans="3:4" x14ac:dyDescent="0.3">
      <c r="C1691" s="62"/>
      <c r="D1691" s="62"/>
    </row>
    <row r="1692" spans="3:4" x14ac:dyDescent="0.3">
      <c r="C1692" s="62"/>
      <c r="D1692" s="62"/>
    </row>
    <row r="1693" spans="3:4" x14ac:dyDescent="0.3">
      <c r="C1693" s="62"/>
      <c r="D1693" s="62"/>
    </row>
    <row r="1694" spans="3:4" x14ac:dyDescent="0.3">
      <c r="C1694" s="62"/>
      <c r="D1694" s="62"/>
    </row>
    <row r="1695" spans="3:4" x14ac:dyDescent="0.3">
      <c r="C1695" s="62"/>
      <c r="D1695" s="62"/>
    </row>
    <row r="1696" spans="3:4" x14ac:dyDescent="0.3">
      <c r="C1696" s="62"/>
      <c r="D1696" s="62"/>
    </row>
    <row r="1697" spans="3:4" x14ac:dyDescent="0.3">
      <c r="C1697" s="62"/>
      <c r="D1697" s="62"/>
    </row>
    <row r="1698" spans="3:4" x14ac:dyDescent="0.3">
      <c r="C1698" s="62"/>
      <c r="D1698" s="62"/>
    </row>
    <row r="1699" spans="3:4" x14ac:dyDescent="0.3">
      <c r="C1699" s="62"/>
      <c r="D1699" s="62"/>
    </row>
    <row r="1700" spans="3:4" x14ac:dyDescent="0.3">
      <c r="C1700" s="62"/>
      <c r="D1700" s="62"/>
    </row>
    <row r="1701" spans="3:4" x14ac:dyDescent="0.3">
      <c r="C1701" s="62"/>
      <c r="D1701" s="62"/>
    </row>
    <row r="1702" spans="3:4" x14ac:dyDescent="0.3">
      <c r="C1702" s="62"/>
      <c r="D1702" s="62"/>
    </row>
    <row r="1703" spans="3:4" x14ac:dyDescent="0.3">
      <c r="C1703" s="62"/>
      <c r="D1703" s="62"/>
    </row>
    <row r="1704" spans="3:4" x14ac:dyDescent="0.3">
      <c r="C1704" s="62"/>
      <c r="D1704" s="62"/>
    </row>
    <row r="1705" spans="3:4" x14ac:dyDescent="0.3">
      <c r="C1705" s="62"/>
      <c r="D1705" s="62"/>
    </row>
    <row r="1706" spans="3:4" x14ac:dyDescent="0.3">
      <c r="C1706" s="62"/>
      <c r="D1706" s="62"/>
    </row>
    <row r="1707" spans="3:4" x14ac:dyDescent="0.3">
      <c r="C1707" s="62"/>
      <c r="D1707" s="62"/>
    </row>
    <row r="1708" spans="3:4" x14ac:dyDescent="0.3">
      <c r="C1708" s="62"/>
      <c r="D1708" s="62"/>
    </row>
    <row r="1709" spans="3:4" x14ac:dyDescent="0.3">
      <c r="C1709" s="62"/>
      <c r="D1709" s="62"/>
    </row>
    <row r="1710" spans="3:4" x14ac:dyDescent="0.3">
      <c r="C1710" s="62"/>
      <c r="D1710" s="62"/>
    </row>
    <row r="1711" spans="3:4" x14ac:dyDescent="0.3">
      <c r="C1711" s="62"/>
      <c r="D1711" s="62"/>
    </row>
    <row r="1712" spans="3:4" x14ac:dyDescent="0.3">
      <c r="C1712" s="62"/>
      <c r="D1712" s="62"/>
    </row>
    <row r="1713" spans="3:4" x14ac:dyDescent="0.3">
      <c r="C1713" s="62"/>
      <c r="D1713" s="62"/>
    </row>
    <row r="1714" spans="3:4" x14ac:dyDescent="0.3">
      <c r="C1714" s="62"/>
      <c r="D1714" s="62"/>
    </row>
    <row r="1715" spans="3:4" x14ac:dyDescent="0.3">
      <c r="C1715" s="62"/>
      <c r="D1715" s="62"/>
    </row>
    <row r="1716" spans="3:4" x14ac:dyDescent="0.3">
      <c r="C1716" s="62"/>
      <c r="D1716" s="62"/>
    </row>
    <row r="1717" spans="3:4" x14ac:dyDescent="0.3">
      <c r="C1717" s="62"/>
      <c r="D1717" s="62"/>
    </row>
    <row r="1718" spans="3:4" x14ac:dyDescent="0.3">
      <c r="C1718" s="62"/>
      <c r="D1718" s="62"/>
    </row>
    <row r="1719" spans="3:4" x14ac:dyDescent="0.3">
      <c r="C1719" s="62"/>
      <c r="D1719" s="62"/>
    </row>
    <row r="1720" spans="3:4" x14ac:dyDescent="0.3">
      <c r="C1720" s="62"/>
      <c r="D1720" s="62"/>
    </row>
    <row r="1721" spans="3:4" x14ac:dyDescent="0.3">
      <c r="C1721" s="62"/>
      <c r="D1721" s="62"/>
    </row>
    <row r="1722" spans="3:4" x14ac:dyDescent="0.3">
      <c r="C1722" s="62"/>
      <c r="D1722" s="62"/>
    </row>
    <row r="1723" spans="3:4" x14ac:dyDescent="0.3">
      <c r="C1723" s="62"/>
      <c r="D1723" s="62"/>
    </row>
    <row r="1724" spans="3:4" x14ac:dyDescent="0.3">
      <c r="C1724" s="62"/>
      <c r="D1724" s="62"/>
    </row>
    <row r="1725" spans="3:4" x14ac:dyDescent="0.3">
      <c r="C1725" s="62"/>
      <c r="D1725" s="62"/>
    </row>
    <row r="1726" spans="3:4" x14ac:dyDescent="0.3">
      <c r="C1726" s="62"/>
      <c r="D1726" s="62"/>
    </row>
    <row r="1727" spans="3:4" x14ac:dyDescent="0.3">
      <c r="C1727" s="62"/>
      <c r="D1727" s="62"/>
    </row>
    <row r="1728" spans="3:4" x14ac:dyDescent="0.3">
      <c r="C1728" s="62"/>
      <c r="D1728" s="62"/>
    </row>
    <row r="1729" spans="3:4" x14ac:dyDescent="0.3">
      <c r="C1729" s="62"/>
      <c r="D1729" s="62"/>
    </row>
    <row r="1730" spans="3:4" x14ac:dyDescent="0.3">
      <c r="C1730" s="62"/>
      <c r="D1730" s="62"/>
    </row>
    <row r="1731" spans="3:4" x14ac:dyDescent="0.3">
      <c r="C1731" s="62"/>
      <c r="D1731" s="62"/>
    </row>
    <row r="1732" spans="3:4" x14ac:dyDescent="0.3">
      <c r="C1732" s="62"/>
      <c r="D1732" s="62"/>
    </row>
    <row r="1733" spans="3:4" x14ac:dyDescent="0.3">
      <c r="C1733" s="62"/>
      <c r="D1733" s="62"/>
    </row>
    <row r="1734" spans="3:4" x14ac:dyDescent="0.3">
      <c r="C1734" s="62"/>
      <c r="D1734" s="62"/>
    </row>
    <row r="1735" spans="3:4" x14ac:dyDescent="0.3">
      <c r="C1735" s="62"/>
      <c r="D1735" s="62"/>
    </row>
    <row r="1736" spans="3:4" x14ac:dyDescent="0.3">
      <c r="C1736" s="62"/>
      <c r="D1736" s="62"/>
    </row>
    <row r="1737" spans="3:4" x14ac:dyDescent="0.3">
      <c r="C1737" s="62"/>
      <c r="D1737" s="62"/>
    </row>
    <row r="1738" spans="3:4" x14ac:dyDescent="0.3">
      <c r="C1738" s="62"/>
      <c r="D1738" s="62"/>
    </row>
    <row r="1739" spans="3:4" x14ac:dyDescent="0.3">
      <c r="C1739" s="62"/>
      <c r="D1739" s="62"/>
    </row>
    <row r="1740" spans="3:4" x14ac:dyDescent="0.3">
      <c r="C1740" s="62"/>
      <c r="D1740" s="62"/>
    </row>
    <row r="1741" spans="3:4" x14ac:dyDescent="0.3">
      <c r="C1741" s="62"/>
      <c r="D1741" s="62"/>
    </row>
    <row r="1742" spans="3:4" x14ac:dyDescent="0.3">
      <c r="C1742" s="62"/>
      <c r="D1742" s="62"/>
    </row>
    <row r="1743" spans="3:4" x14ac:dyDescent="0.3">
      <c r="C1743" s="62"/>
      <c r="D1743" s="62"/>
    </row>
    <row r="1744" spans="3:4" x14ac:dyDescent="0.3">
      <c r="C1744" s="62"/>
      <c r="D1744" s="62"/>
    </row>
    <row r="1745" spans="3:4" x14ac:dyDescent="0.3">
      <c r="C1745" s="62"/>
      <c r="D1745" s="62"/>
    </row>
    <row r="1746" spans="3:4" x14ac:dyDescent="0.3">
      <c r="C1746" s="62"/>
      <c r="D1746" s="62"/>
    </row>
    <row r="1747" spans="3:4" x14ac:dyDescent="0.3">
      <c r="C1747" s="62"/>
      <c r="D1747" s="62"/>
    </row>
    <row r="1748" spans="3:4" x14ac:dyDescent="0.3">
      <c r="C1748" s="62"/>
      <c r="D1748" s="62"/>
    </row>
    <row r="1749" spans="3:4" x14ac:dyDescent="0.3">
      <c r="C1749" s="62"/>
      <c r="D1749" s="62"/>
    </row>
    <row r="1750" spans="3:4" x14ac:dyDescent="0.3">
      <c r="C1750" s="62"/>
      <c r="D1750" s="62"/>
    </row>
    <row r="1751" spans="3:4" x14ac:dyDescent="0.3">
      <c r="C1751" s="62"/>
      <c r="D1751" s="62"/>
    </row>
    <row r="1752" spans="3:4" x14ac:dyDescent="0.3">
      <c r="C1752" s="62"/>
      <c r="D1752" s="62"/>
    </row>
    <row r="1753" spans="3:4" x14ac:dyDescent="0.3">
      <c r="C1753" s="62"/>
      <c r="D1753" s="62"/>
    </row>
    <row r="1754" spans="3:4" x14ac:dyDescent="0.3">
      <c r="C1754" s="62"/>
      <c r="D1754" s="62"/>
    </row>
    <row r="1755" spans="3:4" x14ac:dyDescent="0.3">
      <c r="C1755" s="62"/>
      <c r="D1755" s="62"/>
    </row>
    <row r="1756" spans="3:4" x14ac:dyDescent="0.3">
      <c r="C1756" s="62"/>
      <c r="D1756" s="62"/>
    </row>
    <row r="1757" spans="3:4" x14ac:dyDescent="0.3">
      <c r="C1757" s="62"/>
      <c r="D1757" s="62"/>
    </row>
    <row r="1758" spans="3:4" x14ac:dyDescent="0.3">
      <c r="C1758" s="62"/>
      <c r="D1758" s="62"/>
    </row>
    <row r="1759" spans="3:4" x14ac:dyDescent="0.3">
      <c r="C1759" s="62"/>
      <c r="D1759" s="62"/>
    </row>
    <row r="1760" spans="3:4" x14ac:dyDescent="0.3">
      <c r="C1760" s="62"/>
      <c r="D1760" s="62"/>
    </row>
    <row r="1761" spans="3:4" x14ac:dyDescent="0.3">
      <c r="C1761" s="62"/>
      <c r="D1761" s="62"/>
    </row>
    <row r="1762" spans="3:4" x14ac:dyDescent="0.3">
      <c r="C1762" s="62"/>
      <c r="D1762" s="62"/>
    </row>
    <row r="1763" spans="3:4" x14ac:dyDescent="0.3">
      <c r="C1763" s="62"/>
      <c r="D1763" s="62"/>
    </row>
    <row r="1764" spans="3:4" x14ac:dyDescent="0.3">
      <c r="C1764" s="62"/>
      <c r="D1764" s="62"/>
    </row>
    <row r="1765" spans="3:4" x14ac:dyDescent="0.3">
      <c r="C1765" s="62"/>
      <c r="D1765" s="62"/>
    </row>
    <row r="1766" spans="3:4" x14ac:dyDescent="0.3">
      <c r="C1766" s="62"/>
      <c r="D1766" s="62"/>
    </row>
    <row r="1767" spans="3:4" x14ac:dyDescent="0.3">
      <c r="C1767" s="62"/>
      <c r="D1767" s="62"/>
    </row>
    <row r="1768" spans="3:4" x14ac:dyDescent="0.3">
      <c r="C1768" s="62"/>
      <c r="D1768" s="62"/>
    </row>
    <row r="1769" spans="3:4" x14ac:dyDescent="0.3">
      <c r="C1769" s="62"/>
      <c r="D1769" s="62"/>
    </row>
    <row r="1770" spans="3:4" x14ac:dyDescent="0.3">
      <c r="C1770" s="62"/>
      <c r="D1770" s="62"/>
    </row>
    <row r="1771" spans="3:4" x14ac:dyDescent="0.3">
      <c r="C1771" s="62"/>
      <c r="D1771" s="62"/>
    </row>
    <row r="1772" spans="3:4" x14ac:dyDescent="0.3">
      <c r="C1772" s="62"/>
      <c r="D1772" s="62"/>
    </row>
    <row r="1773" spans="3:4" x14ac:dyDescent="0.3">
      <c r="C1773" s="62"/>
      <c r="D1773" s="62"/>
    </row>
    <row r="1774" spans="3:4" x14ac:dyDescent="0.3">
      <c r="C1774" s="62"/>
      <c r="D1774" s="62"/>
    </row>
    <row r="1775" spans="3:4" x14ac:dyDescent="0.3">
      <c r="C1775" s="62"/>
      <c r="D1775" s="62"/>
    </row>
    <row r="1776" spans="3:4" x14ac:dyDescent="0.3">
      <c r="C1776" s="62"/>
      <c r="D1776" s="62"/>
    </row>
    <row r="1777" spans="3:4" x14ac:dyDescent="0.3">
      <c r="C1777" s="62"/>
      <c r="D1777" s="62"/>
    </row>
    <row r="1778" spans="3:4" x14ac:dyDescent="0.3">
      <c r="C1778" s="62"/>
      <c r="D1778" s="62"/>
    </row>
    <row r="1779" spans="3:4" x14ac:dyDescent="0.3">
      <c r="C1779" s="62"/>
      <c r="D1779" s="62"/>
    </row>
    <row r="1780" spans="3:4" x14ac:dyDescent="0.3">
      <c r="C1780" s="62"/>
      <c r="D1780" s="62"/>
    </row>
    <row r="1781" spans="3:4" x14ac:dyDescent="0.3">
      <c r="C1781" s="62"/>
      <c r="D1781" s="62"/>
    </row>
    <row r="1782" spans="3:4" x14ac:dyDescent="0.3">
      <c r="C1782" s="62"/>
      <c r="D1782" s="62"/>
    </row>
    <row r="1783" spans="3:4" x14ac:dyDescent="0.3">
      <c r="C1783" s="62"/>
      <c r="D1783" s="62"/>
    </row>
    <row r="1784" spans="3:4" x14ac:dyDescent="0.3">
      <c r="C1784" s="62"/>
      <c r="D1784" s="62"/>
    </row>
    <row r="1785" spans="3:4" x14ac:dyDescent="0.3">
      <c r="C1785" s="62"/>
      <c r="D1785" s="62"/>
    </row>
    <row r="1786" spans="3:4" x14ac:dyDescent="0.3">
      <c r="C1786" s="62"/>
      <c r="D1786" s="62"/>
    </row>
    <row r="1787" spans="3:4" x14ac:dyDescent="0.3">
      <c r="C1787" s="62"/>
      <c r="D1787" s="62"/>
    </row>
    <row r="1788" spans="3:4" x14ac:dyDescent="0.3">
      <c r="C1788" s="62"/>
      <c r="D1788" s="62"/>
    </row>
    <row r="1789" spans="3:4" x14ac:dyDescent="0.3">
      <c r="C1789" s="62"/>
      <c r="D1789" s="62"/>
    </row>
    <row r="1790" spans="3:4" x14ac:dyDescent="0.3">
      <c r="C1790" s="62"/>
      <c r="D1790" s="62"/>
    </row>
    <row r="1791" spans="3:4" x14ac:dyDescent="0.3">
      <c r="C1791" s="62"/>
      <c r="D1791" s="62"/>
    </row>
    <row r="1792" spans="3:4" x14ac:dyDescent="0.3">
      <c r="C1792" s="62"/>
      <c r="D1792" s="62"/>
    </row>
    <row r="1793" spans="3:4" x14ac:dyDescent="0.3">
      <c r="C1793" s="62"/>
      <c r="D1793" s="62"/>
    </row>
    <row r="1794" spans="3:4" x14ac:dyDescent="0.3">
      <c r="C1794" s="62"/>
      <c r="D1794" s="62"/>
    </row>
    <row r="1795" spans="3:4" x14ac:dyDescent="0.3">
      <c r="C1795" s="62"/>
      <c r="D1795" s="62"/>
    </row>
    <row r="1796" spans="3:4" x14ac:dyDescent="0.3">
      <c r="C1796" s="62"/>
      <c r="D1796" s="62"/>
    </row>
    <row r="1797" spans="3:4" x14ac:dyDescent="0.3">
      <c r="C1797" s="62"/>
      <c r="D1797" s="62"/>
    </row>
    <row r="1798" spans="3:4" x14ac:dyDescent="0.3">
      <c r="C1798" s="62"/>
      <c r="D1798" s="62"/>
    </row>
    <row r="1799" spans="3:4" x14ac:dyDescent="0.3">
      <c r="C1799" s="62"/>
      <c r="D1799" s="62"/>
    </row>
    <row r="1800" spans="3:4" x14ac:dyDescent="0.3">
      <c r="C1800" s="62"/>
      <c r="D1800" s="62"/>
    </row>
    <row r="1801" spans="3:4" x14ac:dyDescent="0.3">
      <c r="C1801" s="62"/>
      <c r="D1801" s="62"/>
    </row>
    <row r="1802" spans="3:4" x14ac:dyDescent="0.3">
      <c r="C1802" s="62"/>
      <c r="D1802" s="62"/>
    </row>
    <row r="1803" spans="3:4" x14ac:dyDescent="0.3">
      <c r="C1803" s="62"/>
      <c r="D1803" s="62"/>
    </row>
    <row r="1804" spans="3:4" x14ac:dyDescent="0.3">
      <c r="C1804" s="62"/>
      <c r="D1804" s="62"/>
    </row>
    <row r="1805" spans="3:4" x14ac:dyDescent="0.3">
      <c r="C1805" s="62"/>
      <c r="D1805" s="62"/>
    </row>
    <row r="1806" spans="3:4" x14ac:dyDescent="0.3">
      <c r="C1806" s="62"/>
      <c r="D1806" s="62"/>
    </row>
    <row r="1807" spans="3:4" x14ac:dyDescent="0.3">
      <c r="C1807" s="62"/>
      <c r="D1807" s="62"/>
    </row>
    <row r="1808" spans="3:4" x14ac:dyDescent="0.3">
      <c r="C1808" s="62"/>
      <c r="D1808" s="62"/>
    </row>
    <row r="1809" spans="3:4" x14ac:dyDescent="0.3">
      <c r="C1809" s="62"/>
      <c r="D1809" s="62"/>
    </row>
    <row r="1810" spans="3:4" x14ac:dyDescent="0.3">
      <c r="C1810" s="62"/>
      <c r="D1810" s="62"/>
    </row>
    <row r="1811" spans="3:4" x14ac:dyDescent="0.3">
      <c r="C1811" s="62"/>
      <c r="D1811" s="62"/>
    </row>
    <row r="1812" spans="3:4" x14ac:dyDescent="0.3">
      <c r="C1812" s="62"/>
      <c r="D1812" s="62"/>
    </row>
    <row r="1813" spans="3:4" x14ac:dyDescent="0.3">
      <c r="C1813" s="62"/>
      <c r="D1813" s="62"/>
    </row>
    <row r="1814" spans="3:4" x14ac:dyDescent="0.3">
      <c r="C1814" s="62"/>
      <c r="D1814" s="62"/>
    </row>
    <row r="1815" spans="3:4" x14ac:dyDescent="0.3">
      <c r="C1815" s="62"/>
      <c r="D1815" s="62"/>
    </row>
    <row r="1816" spans="3:4" x14ac:dyDescent="0.3">
      <c r="C1816" s="62"/>
      <c r="D1816" s="62"/>
    </row>
    <row r="1817" spans="3:4" x14ac:dyDescent="0.3">
      <c r="C1817" s="62"/>
      <c r="D1817" s="62"/>
    </row>
    <row r="1818" spans="3:4" x14ac:dyDescent="0.3">
      <c r="C1818" s="62"/>
      <c r="D1818" s="62"/>
    </row>
    <row r="1819" spans="3:4" x14ac:dyDescent="0.3">
      <c r="C1819" s="62"/>
      <c r="D1819" s="62"/>
    </row>
    <row r="1820" spans="3:4" x14ac:dyDescent="0.3">
      <c r="C1820" s="62"/>
      <c r="D1820" s="62"/>
    </row>
    <row r="1821" spans="3:4" x14ac:dyDescent="0.3">
      <c r="C1821" s="62"/>
      <c r="D1821" s="62"/>
    </row>
    <row r="1822" spans="3:4" x14ac:dyDescent="0.3">
      <c r="C1822" s="62"/>
      <c r="D1822" s="62"/>
    </row>
    <row r="1823" spans="3:4" x14ac:dyDescent="0.3">
      <c r="C1823" s="62"/>
      <c r="D1823" s="62"/>
    </row>
    <row r="1824" spans="3:4" x14ac:dyDescent="0.3">
      <c r="C1824" s="62"/>
      <c r="D1824" s="62"/>
    </row>
    <row r="1825" spans="3:4" x14ac:dyDescent="0.3">
      <c r="C1825" s="62"/>
      <c r="D1825" s="62"/>
    </row>
    <row r="1826" spans="3:4" x14ac:dyDescent="0.3">
      <c r="C1826" s="62"/>
      <c r="D1826" s="62"/>
    </row>
    <row r="1827" spans="3:4" x14ac:dyDescent="0.3">
      <c r="C1827" s="62"/>
      <c r="D1827" s="62"/>
    </row>
    <row r="1828" spans="3:4" x14ac:dyDescent="0.3">
      <c r="C1828" s="62"/>
      <c r="D1828" s="62"/>
    </row>
    <row r="1829" spans="3:4" x14ac:dyDescent="0.3">
      <c r="C1829" s="62"/>
      <c r="D1829" s="62"/>
    </row>
    <row r="1830" spans="3:4" x14ac:dyDescent="0.3">
      <c r="C1830" s="62"/>
      <c r="D1830" s="62"/>
    </row>
    <row r="1831" spans="3:4" x14ac:dyDescent="0.3">
      <c r="C1831" s="62"/>
      <c r="D1831" s="62"/>
    </row>
    <row r="1832" spans="3:4" x14ac:dyDescent="0.3">
      <c r="C1832" s="62"/>
      <c r="D1832" s="62"/>
    </row>
    <row r="1833" spans="3:4" x14ac:dyDescent="0.3">
      <c r="C1833" s="62"/>
      <c r="D1833" s="62"/>
    </row>
    <row r="1834" spans="3:4" x14ac:dyDescent="0.3">
      <c r="C1834" s="62"/>
      <c r="D1834" s="62"/>
    </row>
    <row r="1835" spans="3:4" x14ac:dyDescent="0.3">
      <c r="C1835" s="62"/>
      <c r="D1835" s="62"/>
    </row>
    <row r="1836" spans="3:4" x14ac:dyDescent="0.3">
      <c r="C1836" s="62"/>
      <c r="D1836" s="62"/>
    </row>
    <row r="1837" spans="3:4" x14ac:dyDescent="0.3">
      <c r="C1837" s="62"/>
      <c r="D1837" s="62"/>
    </row>
    <row r="1838" spans="3:4" x14ac:dyDescent="0.3">
      <c r="C1838" s="62"/>
      <c r="D1838" s="62"/>
    </row>
    <row r="1839" spans="3:4" x14ac:dyDescent="0.3">
      <c r="C1839" s="62"/>
      <c r="D1839" s="62"/>
    </row>
    <row r="1840" spans="3:4" x14ac:dyDescent="0.3">
      <c r="C1840" s="62"/>
      <c r="D1840" s="62"/>
    </row>
    <row r="1841" spans="3:4" x14ac:dyDescent="0.3">
      <c r="C1841" s="62"/>
      <c r="D1841" s="62"/>
    </row>
    <row r="1842" spans="3:4" x14ac:dyDescent="0.3">
      <c r="C1842" s="62"/>
      <c r="D1842" s="62"/>
    </row>
    <row r="1843" spans="3:4" x14ac:dyDescent="0.3">
      <c r="C1843" s="62"/>
      <c r="D1843" s="62"/>
    </row>
    <row r="1844" spans="3:4" x14ac:dyDescent="0.3">
      <c r="C1844" s="62"/>
      <c r="D1844" s="62"/>
    </row>
    <row r="1845" spans="3:4" x14ac:dyDescent="0.3">
      <c r="C1845" s="62"/>
      <c r="D1845" s="62"/>
    </row>
    <row r="1846" spans="3:4" x14ac:dyDescent="0.3">
      <c r="C1846" s="62"/>
      <c r="D1846" s="62"/>
    </row>
    <row r="1847" spans="3:4" x14ac:dyDescent="0.3">
      <c r="C1847" s="62"/>
      <c r="D1847" s="62"/>
    </row>
    <row r="1848" spans="3:4" x14ac:dyDescent="0.3">
      <c r="C1848" s="62"/>
      <c r="D1848" s="62"/>
    </row>
    <row r="1849" spans="3:4" x14ac:dyDescent="0.3">
      <c r="C1849" s="62"/>
      <c r="D1849" s="62"/>
    </row>
    <row r="1850" spans="3:4" x14ac:dyDescent="0.3">
      <c r="C1850" s="62"/>
      <c r="D1850" s="62"/>
    </row>
    <row r="1851" spans="3:4" x14ac:dyDescent="0.3">
      <c r="C1851" s="62"/>
      <c r="D1851" s="62"/>
    </row>
    <row r="1852" spans="3:4" x14ac:dyDescent="0.3">
      <c r="C1852" s="62"/>
      <c r="D1852" s="62"/>
    </row>
    <row r="1853" spans="3:4" x14ac:dyDescent="0.3">
      <c r="C1853" s="62"/>
      <c r="D1853" s="62"/>
    </row>
    <row r="1854" spans="3:4" x14ac:dyDescent="0.3">
      <c r="C1854" s="62"/>
      <c r="D1854" s="62"/>
    </row>
    <row r="1855" spans="3:4" x14ac:dyDescent="0.3">
      <c r="C1855" s="62"/>
      <c r="D1855" s="62"/>
    </row>
    <row r="1856" spans="3:4" x14ac:dyDescent="0.3">
      <c r="C1856" s="62"/>
      <c r="D1856" s="62"/>
    </row>
    <row r="1857" spans="3:4" x14ac:dyDescent="0.3">
      <c r="C1857" s="62"/>
      <c r="D1857" s="62"/>
    </row>
    <row r="1858" spans="3:4" x14ac:dyDescent="0.3">
      <c r="C1858" s="62"/>
      <c r="D1858" s="62"/>
    </row>
    <row r="1859" spans="3:4" x14ac:dyDescent="0.3">
      <c r="C1859" s="62"/>
      <c r="D1859" s="62"/>
    </row>
    <row r="1860" spans="3:4" x14ac:dyDescent="0.3">
      <c r="C1860" s="62"/>
      <c r="D1860" s="62"/>
    </row>
    <row r="1861" spans="3:4" x14ac:dyDescent="0.3">
      <c r="C1861" s="62"/>
      <c r="D1861" s="62"/>
    </row>
    <row r="1862" spans="3:4" x14ac:dyDescent="0.3">
      <c r="C1862" s="62"/>
      <c r="D1862" s="62"/>
    </row>
    <row r="1863" spans="3:4" x14ac:dyDescent="0.3">
      <c r="C1863" s="62"/>
      <c r="D1863" s="62"/>
    </row>
    <row r="1864" spans="3:4" x14ac:dyDescent="0.3">
      <c r="C1864" s="62"/>
      <c r="D1864" s="62"/>
    </row>
    <row r="1865" spans="3:4" x14ac:dyDescent="0.3">
      <c r="C1865" s="62"/>
      <c r="D1865" s="62"/>
    </row>
    <row r="1866" spans="3:4" x14ac:dyDescent="0.3">
      <c r="C1866" s="62"/>
      <c r="D1866" s="62"/>
    </row>
    <row r="1867" spans="3:4" x14ac:dyDescent="0.3">
      <c r="C1867" s="62"/>
      <c r="D1867" s="62"/>
    </row>
    <row r="1868" spans="3:4" x14ac:dyDescent="0.3">
      <c r="C1868" s="62"/>
      <c r="D1868" s="62"/>
    </row>
    <row r="1869" spans="3:4" x14ac:dyDescent="0.3">
      <c r="C1869" s="62"/>
      <c r="D1869" s="62"/>
    </row>
    <row r="1870" spans="3:4" x14ac:dyDescent="0.3">
      <c r="C1870" s="62"/>
      <c r="D1870" s="62"/>
    </row>
    <row r="1871" spans="3:4" x14ac:dyDescent="0.3">
      <c r="C1871" s="62"/>
      <c r="D1871" s="62"/>
    </row>
    <row r="1872" spans="3:4" x14ac:dyDescent="0.3">
      <c r="C1872" s="62"/>
      <c r="D1872" s="62"/>
    </row>
    <row r="1873" spans="3:4" x14ac:dyDescent="0.3">
      <c r="C1873" s="62"/>
      <c r="D1873" s="62"/>
    </row>
    <row r="1874" spans="3:4" x14ac:dyDescent="0.3">
      <c r="C1874" s="62"/>
      <c r="D1874" s="62"/>
    </row>
    <row r="1875" spans="3:4" x14ac:dyDescent="0.3">
      <c r="C1875" s="62"/>
      <c r="D1875" s="62"/>
    </row>
    <row r="1876" spans="3:4" x14ac:dyDescent="0.3">
      <c r="C1876" s="62"/>
      <c r="D1876" s="62"/>
    </row>
    <row r="1877" spans="3:4" x14ac:dyDescent="0.3">
      <c r="C1877" s="62"/>
      <c r="D1877" s="62"/>
    </row>
    <row r="1878" spans="3:4" x14ac:dyDescent="0.3">
      <c r="C1878" s="62"/>
      <c r="D1878" s="62"/>
    </row>
    <row r="1879" spans="3:4" x14ac:dyDescent="0.3">
      <c r="C1879" s="62"/>
      <c r="D1879" s="62"/>
    </row>
    <row r="1880" spans="3:4" x14ac:dyDescent="0.3">
      <c r="C1880" s="62"/>
      <c r="D1880" s="62"/>
    </row>
    <row r="1881" spans="3:4" x14ac:dyDescent="0.3">
      <c r="C1881" s="62"/>
      <c r="D1881" s="62"/>
    </row>
    <row r="1882" spans="3:4" x14ac:dyDescent="0.3">
      <c r="C1882" s="62"/>
      <c r="D1882" s="62"/>
    </row>
    <row r="1883" spans="3:4" x14ac:dyDescent="0.3">
      <c r="C1883" s="62"/>
      <c r="D1883" s="62"/>
    </row>
    <row r="1884" spans="3:4" x14ac:dyDescent="0.3">
      <c r="C1884" s="62"/>
      <c r="D1884" s="62"/>
    </row>
    <row r="1885" spans="3:4" x14ac:dyDescent="0.3">
      <c r="C1885" s="62"/>
      <c r="D1885" s="62"/>
    </row>
    <row r="1886" spans="3:4" x14ac:dyDescent="0.3">
      <c r="C1886" s="62"/>
      <c r="D1886" s="62"/>
    </row>
    <row r="1887" spans="3:4" x14ac:dyDescent="0.3">
      <c r="C1887" s="62"/>
      <c r="D1887" s="62"/>
    </row>
    <row r="1888" spans="3:4" x14ac:dyDescent="0.3">
      <c r="C1888" s="62"/>
      <c r="D1888" s="62"/>
    </row>
    <row r="1889" spans="3:4" x14ac:dyDescent="0.3">
      <c r="C1889" s="62"/>
      <c r="D1889" s="62"/>
    </row>
    <row r="1890" spans="3:4" x14ac:dyDescent="0.3">
      <c r="C1890" s="62"/>
      <c r="D1890" s="62"/>
    </row>
    <row r="1891" spans="3:4" x14ac:dyDescent="0.3">
      <c r="C1891" s="62"/>
      <c r="D1891" s="62"/>
    </row>
    <row r="1892" spans="3:4" x14ac:dyDescent="0.3">
      <c r="C1892" s="62"/>
      <c r="D1892" s="62"/>
    </row>
    <row r="1893" spans="3:4" x14ac:dyDescent="0.3">
      <c r="C1893" s="62"/>
      <c r="D1893" s="62"/>
    </row>
    <row r="1894" spans="3:4" x14ac:dyDescent="0.3">
      <c r="C1894" s="62"/>
      <c r="D1894" s="62"/>
    </row>
    <row r="1895" spans="3:4" x14ac:dyDescent="0.3">
      <c r="C1895" s="62"/>
      <c r="D1895" s="62"/>
    </row>
    <row r="1896" spans="3:4" x14ac:dyDescent="0.3">
      <c r="C1896" s="62"/>
      <c r="D1896" s="62"/>
    </row>
    <row r="1897" spans="3:4" x14ac:dyDescent="0.3">
      <c r="C1897" s="62"/>
      <c r="D1897" s="62"/>
    </row>
    <row r="1898" spans="3:4" x14ac:dyDescent="0.3">
      <c r="C1898" s="62"/>
      <c r="D1898" s="62"/>
    </row>
    <row r="1899" spans="3:4" x14ac:dyDescent="0.3">
      <c r="C1899" s="62"/>
      <c r="D1899" s="62"/>
    </row>
    <row r="1900" spans="3:4" x14ac:dyDescent="0.3">
      <c r="C1900" s="62"/>
      <c r="D1900" s="62"/>
    </row>
    <row r="1901" spans="3:4" x14ac:dyDescent="0.3">
      <c r="C1901" s="62"/>
      <c r="D1901" s="62"/>
    </row>
    <row r="1902" spans="3:4" x14ac:dyDescent="0.3">
      <c r="C1902" s="62"/>
      <c r="D1902" s="62"/>
    </row>
    <row r="1903" spans="3:4" x14ac:dyDescent="0.3">
      <c r="C1903" s="62"/>
      <c r="D1903" s="62"/>
    </row>
    <row r="1904" spans="3:4" x14ac:dyDescent="0.3">
      <c r="C1904" s="62"/>
      <c r="D1904" s="62"/>
    </row>
    <row r="1905" spans="3:4" x14ac:dyDescent="0.3">
      <c r="C1905" s="62"/>
      <c r="D1905" s="62"/>
    </row>
    <row r="1906" spans="3:4" x14ac:dyDescent="0.3">
      <c r="C1906" s="62"/>
      <c r="D1906" s="62"/>
    </row>
    <row r="1907" spans="3:4" x14ac:dyDescent="0.3">
      <c r="C1907" s="62"/>
      <c r="D1907" s="62"/>
    </row>
    <row r="1908" spans="3:4" x14ac:dyDescent="0.3">
      <c r="C1908" s="62"/>
      <c r="D1908" s="62"/>
    </row>
    <row r="1909" spans="3:4" x14ac:dyDescent="0.3">
      <c r="C1909" s="62"/>
      <c r="D1909" s="62"/>
    </row>
    <row r="1910" spans="3:4" x14ac:dyDescent="0.3">
      <c r="C1910" s="62"/>
      <c r="D1910" s="62"/>
    </row>
    <row r="1911" spans="3:4" x14ac:dyDescent="0.3">
      <c r="C1911" s="62"/>
      <c r="D1911" s="62"/>
    </row>
    <row r="1912" spans="3:4" x14ac:dyDescent="0.3">
      <c r="C1912" s="62"/>
      <c r="D1912" s="62"/>
    </row>
    <row r="1913" spans="3:4" x14ac:dyDescent="0.3">
      <c r="C1913" s="62"/>
      <c r="D1913" s="62"/>
    </row>
    <row r="1914" spans="3:4" x14ac:dyDescent="0.3">
      <c r="C1914" s="62"/>
      <c r="D1914" s="62"/>
    </row>
    <row r="1915" spans="3:4" x14ac:dyDescent="0.3">
      <c r="C1915" s="62"/>
      <c r="D1915" s="62"/>
    </row>
    <row r="1916" spans="3:4" x14ac:dyDescent="0.3">
      <c r="C1916" s="62"/>
      <c r="D1916" s="62"/>
    </row>
    <row r="1917" spans="3:4" x14ac:dyDescent="0.3">
      <c r="C1917" s="62"/>
      <c r="D1917" s="62"/>
    </row>
    <row r="1918" spans="3:4" x14ac:dyDescent="0.3">
      <c r="C1918" s="62"/>
      <c r="D1918" s="62"/>
    </row>
    <row r="1919" spans="3:4" x14ac:dyDescent="0.3">
      <c r="C1919" s="62"/>
      <c r="D1919" s="62"/>
    </row>
    <row r="1920" spans="3:4" x14ac:dyDescent="0.3">
      <c r="C1920" s="62"/>
      <c r="D1920" s="62"/>
    </row>
    <row r="1921" spans="3:4" x14ac:dyDescent="0.3">
      <c r="C1921" s="62"/>
      <c r="D1921" s="62"/>
    </row>
    <row r="1922" spans="3:4" x14ac:dyDescent="0.3">
      <c r="C1922" s="62"/>
      <c r="D1922" s="62"/>
    </row>
    <row r="1923" spans="3:4" x14ac:dyDescent="0.3">
      <c r="C1923" s="62"/>
      <c r="D1923" s="62"/>
    </row>
    <row r="1924" spans="3:4" x14ac:dyDescent="0.3">
      <c r="C1924" s="62"/>
      <c r="D1924" s="62"/>
    </row>
    <row r="1925" spans="3:4" x14ac:dyDescent="0.3">
      <c r="C1925" s="62"/>
      <c r="D1925" s="62"/>
    </row>
    <row r="1926" spans="3:4" x14ac:dyDescent="0.3">
      <c r="C1926" s="62"/>
      <c r="D1926" s="62"/>
    </row>
    <row r="1927" spans="3:4" x14ac:dyDescent="0.3">
      <c r="C1927" s="62"/>
      <c r="D1927" s="62"/>
    </row>
    <row r="1928" spans="3:4" x14ac:dyDescent="0.3">
      <c r="C1928" s="62"/>
      <c r="D1928" s="62"/>
    </row>
    <row r="1929" spans="3:4" x14ac:dyDescent="0.3">
      <c r="C1929" s="62"/>
      <c r="D1929" s="62"/>
    </row>
    <row r="1930" spans="3:4" x14ac:dyDescent="0.3">
      <c r="C1930" s="62"/>
      <c r="D1930" s="62"/>
    </row>
    <row r="1931" spans="3:4" x14ac:dyDescent="0.3">
      <c r="C1931" s="62"/>
      <c r="D1931" s="62"/>
    </row>
    <row r="1932" spans="3:4" x14ac:dyDescent="0.3">
      <c r="C1932" s="62"/>
      <c r="D1932" s="62"/>
    </row>
    <row r="1933" spans="3:4" x14ac:dyDescent="0.3">
      <c r="C1933" s="62"/>
      <c r="D1933" s="62"/>
    </row>
    <row r="1934" spans="3:4" x14ac:dyDescent="0.3">
      <c r="C1934" s="62"/>
      <c r="D1934" s="62"/>
    </row>
    <row r="1935" spans="3:4" x14ac:dyDescent="0.3">
      <c r="C1935" s="62"/>
      <c r="D1935" s="62"/>
    </row>
    <row r="1936" spans="3:4" x14ac:dyDescent="0.3">
      <c r="C1936" s="62"/>
      <c r="D1936" s="62"/>
    </row>
    <row r="1937" spans="3:4" x14ac:dyDescent="0.3">
      <c r="C1937" s="62"/>
      <c r="D1937" s="62"/>
    </row>
    <row r="1938" spans="3:4" x14ac:dyDescent="0.3">
      <c r="C1938" s="62"/>
      <c r="D1938" s="62"/>
    </row>
    <row r="1939" spans="3:4" x14ac:dyDescent="0.3">
      <c r="C1939" s="62"/>
      <c r="D1939" s="62"/>
    </row>
    <row r="1940" spans="3:4" x14ac:dyDescent="0.3">
      <c r="C1940" s="62"/>
      <c r="D1940" s="62"/>
    </row>
    <row r="1941" spans="3:4" x14ac:dyDescent="0.3">
      <c r="C1941" s="62"/>
      <c r="D1941" s="62"/>
    </row>
    <row r="1942" spans="3:4" x14ac:dyDescent="0.3">
      <c r="C1942" s="62"/>
      <c r="D1942" s="62"/>
    </row>
    <row r="1943" spans="3:4" x14ac:dyDescent="0.3">
      <c r="C1943" s="62"/>
      <c r="D1943" s="62"/>
    </row>
    <row r="1944" spans="3:4" x14ac:dyDescent="0.3">
      <c r="C1944" s="62"/>
      <c r="D1944" s="62"/>
    </row>
    <row r="1945" spans="3:4" x14ac:dyDescent="0.3">
      <c r="C1945" s="62"/>
      <c r="D1945" s="62"/>
    </row>
    <row r="1946" spans="3:4" x14ac:dyDescent="0.3">
      <c r="C1946" s="62"/>
      <c r="D1946" s="62"/>
    </row>
    <row r="1947" spans="3:4" x14ac:dyDescent="0.3">
      <c r="C1947" s="62"/>
      <c r="D1947" s="62"/>
    </row>
    <row r="1948" spans="3:4" x14ac:dyDescent="0.3">
      <c r="C1948" s="62"/>
      <c r="D1948" s="62"/>
    </row>
    <row r="1949" spans="3:4" x14ac:dyDescent="0.3">
      <c r="C1949" s="62"/>
      <c r="D1949" s="62"/>
    </row>
    <row r="1950" spans="3:4" x14ac:dyDescent="0.3">
      <c r="C1950" s="62"/>
      <c r="D1950" s="62"/>
    </row>
    <row r="1951" spans="3:4" x14ac:dyDescent="0.3">
      <c r="C1951" s="62"/>
      <c r="D1951" s="62"/>
    </row>
    <row r="1952" spans="3:4" x14ac:dyDescent="0.3">
      <c r="C1952" s="62"/>
      <c r="D1952" s="62"/>
    </row>
    <row r="1953" spans="3:4" x14ac:dyDescent="0.3">
      <c r="C1953" s="62"/>
      <c r="D1953" s="62"/>
    </row>
    <row r="1954" spans="3:4" x14ac:dyDescent="0.3">
      <c r="C1954" s="62"/>
      <c r="D1954" s="62"/>
    </row>
    <row r="1955" spans="3:4" x14ac:dyDescent="0.3">
      <c r="C1955" s="62"/>
      <c r="D1955" s="62"/>
    </row>
    <row r="1956" spans="3:4" x14ac:dyDescent="0.3">
      <c r="C1956" s="62"/>
      <c r="D1956" s="62"/>
    </row>
    <row r="1957" spans="3:4" x14ac:dyDescent="0.3">
      <c r="C1957" s="62"/>
      <c r="D1957" s="62"/>
    </row>
    <row r="1958" spans="3:4" x14ac:dyDescent="0.3">
      <c r="C1958" s="62"/>
      <c r="D1958" s="62"/>
    </row>
    <row r="1959" spans="3:4" x14ac:dyDescent="0.3">
      <c r="C1959" s="62"/>
      <c r="D1959" s="62"/>
    </row>
    <row r="1960" spans="3:4" x14ac:dyDescent="0.3">
      <c r="C1960" s="62"/>
      <c r="D1960" s="62"/>
    </row>
    <row r="1961" spans="3:4" x14ac:dyDescent="0.3">
      <c r="C1961" s="62"/>
      <c r="D1961" s="62"/>
    </row>
    <row r="1962" spans="3:4" x14ac:dyDescent="0.3">
      <c r="C1962" s="62"/>
      <c r="D1962" s="62"/>
    </row>
    <row r="1963" spans="3:4" x14ac:dyDescent="0.3">
      <c r="C1963" s="62"/>
      <c r="D1963" s="62"/>
    </row>
    <row r="1964" spans="3:4" x14ac:dyDescent="0.3">
      <c r="C1964" s="62"/>
      <c r="D1964" s="62"/>
    </row>
    <row r="1965" spans="3:4" x14ac:dyDescent="0.3">
      <c r="C1965" s="62"/>
      <c r="D1965" s="62"/>
    </row>
    <row r="1966" spans="3:4" x14ac:dyDescent="0.3">
      <c r="C1966" s="62"/>
      <c r="D1966" s="62"/>
    </row>
    <row r="1967" spans="3:4" x14ac:dyDescent="0.3">
      <c r="C1967" s="62"/>
      <c r="D1967" s="62"/>
    </row>
    <row r="1968" spans="3:4" x14ac:dyDescent="0.3">
      <c r="C1968" s="62"/>
      <c r="D1968" s="62"/>
    </row>
    <row r="1969" spans="3:4" x14ac:dyDescent="0.3">
      <c r="C1969" s="62"/>
      <c r="D1969" s="62"/>
    </row>
    <row r="1970" spans="3:4" x14ac:dyDescent="0.3">
      <c r="C1970" s="62"/>
      <c r="D1970" s="62"/>
    </row>
    <row r="1971" spans="3:4" x14ac:dyDescent="0.3">
      <c r="C1971" s="62"/>
      <c r="D1971" s="62"/>
    </row>
    <row r="1972" spans="3:4" x14ac:dyDescent="0.3">
      <c r="C1972" s="62"/>
      <c r="D1972" s="62"/>
    </row>
    <row r="1973" spans="3:4" x14ac:dyDescent="0.3">
      <c r="C1973" s="62"/>
      <c r="D1973" s="62"/>
    </row>
    <row r="1974" spans="3:4" x14ac:dyDescent="0.3">
      <c r="C1974" s="62"/>
      <c r="D1974" s="62"/>
    </row>
    <row r="1975" spans="3:4" x14ac:dyDescent="0.3">
      <c r="C1975" s="62"/>
      <c r="D1975" s="62"/>
    </row>
    <row r="1976" spans="3:4" x14ac:dyDescent="0.3">
      <c r="C1976" s="62"/>
      <c r="D1976" s="62"/>
    </row>
    <row r="1977" spans="3:4" x14ac:dyDescent="0.3">
      <c r="C1977" s="62"/>
      <c r="D1977" s="62"/>
    </row>
    <row r="1978" spans="3:4" x14ac:dyDescent="0.3">
      <c r="C1978" s="62"/>
      <c r="D1978" s="62"/>
    </row>
    <row r="1979" spans="3:4" x14ac:dyDescent="0.3">
      <c r="C1979" s="62"/>
      <c r="D1979" s="62"/>
    </row>
    <row r="1980" spans="3:4" x14ac:dyDescent="0.3">
      <c r="C1980" s="62"/>
      <c r="D1980" s="62"/>
    </row>
    <row r="1981" spans="3:4" x14ac:dyDescent="0.3">
      <c r="C1981" s="62"/>
      <c r="D1981" s="62"/>
    </row>
    <row r="1982" spans="3:4" x14ac:dyDescent="0.3">
      <c r="C1982" s="62"/>
      <c r="D1982" s="62"/>
    </row>
    <row r="1983" spans="3:4" x14ac:dyDescent="0.3">
      <c r="C1983" s="62"/>
      <c r="D1983" s="62"/>
    </row>
    <row r="1984" spans="3:4" x14ac:dyDescent="0.3">
      <c r="C1984" s="62"/>
      <c r="D1984" s="62"/>
    </row>
    <row r="1985" spans="3:4" x14ac:dyDescent="0.3">
      <c r="C1985" s="62"/>
      <c r="D1985" s="62"/>
    </row>
    <row r="1986" spans="3:4" x14ac:dyDescent="0.3">
      <c r="C1986" s="62"/>
      <c r="D1986" s="62"/>
    </row>
    <row r="1987" spans="3:4" x14ac:dyDescent="0.3">
      <c r="C1987" s="62"/>
      <c r="D1987" s="62"/>
    </row>
    <row r="1988" spans="3:4" x14ac:dyDescent="0.3">
      <c r="C1988" s="62"/>
      <c r="D1988" s="62"/>
    </row>
    <row r="1989" spans="3:4" x14ac:dyDescent="0.3">
      <c r="C1989" s="62"/>
      <c r="D1989" s="62"/>
    </row>
    <row r="1990" spans="3:4" x14ac:dyDescent="0.3">
      <c r="C1990" s="62"/>
      <c r="D1990" s="62"/>
    </row>
    <row r="1991" spans="3:4" x14ac:dyDescent="0.3">
      <c r="C1991" s="62"/>
      <c r="D1991" s="62"/>
    </row>
    <row r="1992" spans="3:4" x14ac:dyDescent="0.3">
      <c r="C1992" s="62"/>
      <c r="D1992" s="62"/>
    </row>
    <row r="1993" spans="3:4" x14ac:dyDescent="0.3">
      <c r="C1993" s="62"/>
      <c r="D1993" s="62"/>
    </row>
    <row r="1994" spans="3:4" x14ac:dyDescent="0.3">
      <c r="C1994" s="62"/>
      <c r="D1994" s="62"/>
    </row>
    <row r="1995" spans="3:4" x14ac:dyDescent="0.3">
      <c r="C1995" s="62"/>
      <c r="D1995" s="62"/>
    </row>
    <row r="1996" spans="3:4" x14ac:dyDescent="0.3">
      <c r="C1996" s="62"/>
      <c r="D1996" s="62"/>
    </row>
    <row r="1997" spans="3:4" x14ac:dyDescent="0.3">
      <c r="C1997" s="62"/>
      <c r="D1997" s="62"/>
    </row>
    <row r="1998" spans="3:4" x14ac:dyDescent="0.3">
      <c r="C1998" s="62"/>
      <c r="D1998" s="62"/>
    </row>
    <row r="1999" spans="3:4" x14ac:dyDescent="0.3">
      <c r="C1999" s="62"/>
      <c r="D1999" s="62"/>
    </row>
    <row r="2000" spans="3:4" x14ac:dyDescent="0.3">
      <c r="C2000" s="62"/>
      <c r="D2000" s="62"/>
    </row>
    <row r="2001" spans="3:4" x14ac:dyDescent="0.3">
      <c r="C2001" s="62"/>
      <c r="D2001" s="62"/>
    </row>
    <row r="2002" spans="3:4" x14ac:dyDescent="0.3">
      <c r="C2002" s="62"/>
      <c r="D2002" s="62"/>
    </row>
    <row r="2003" spans="3:4" x14ac:dyDescent="0.3">
      <c r="C2003" s="62"/>
      <c r="D2003" s="62"/>
    </row>
    <row r="2004" spans="3:4" x14ac:dyDescent="0.3">
      <c r="C2004" s="62"/>
      <c r="D2004" s="62"/>
    </row>
    <row r="2005" spans="3:4" x14ac:dyDescent="0.3">
      <c r="C2005" s="62"/>
      <c r="D2005" s="62"/>
    </row>
    <row r="2006" spans="3:4" x14ac:dyDescent="0.3">
      <c r="C2006" s="62"/>
      <c r="D2006" s="62"/>
    </row>
    <row r="2007" spans="3:4" x14ac:dyDescent="0.3">
      <c r="C2007" s="62"/>
      <c r="D2007" s="62"/>
    </row>
    <row r="2008" spans="3:4" x14ac:dyDescent="0.3">
      <c r="C2008" s="62"/>
      <c r="D2008" s="62"/>
    </row>
    <row r="2009" spans="3:4" x14ac:dyDescent="0.3">
      <c r="C2009" s="62"/>
      <c r="D2009" s="62"/>
    </row>
    <row r="2010" spans="3:4" x14ac:dyDescent="0.3">
      <c r="C2010" s="62"/>
      <c r="D2010" s="62"/>
    </row>
    <row r="2011" spans="3:4" x14ac:dyDescent="0.3">
      <c r="C2011" s="62"/>
      <c r="D2011" s="62"/>
    </row>
    <row r="2012" spans="3:4" x14ac:dyDescent="0.3">
      <c r="C2012" s="62"/>
      <c r="D2012" s="62"/>
    </row>
    <row r="2013" spans="3:4" x14ac:dyDescent="0.3">
      <c r="C2013" s="62"/>
      <c r="D2013" s="62"/>
    </row>
    <row r="2014" spans="3:4" x14ac:dyDescent="0.3">
      <c r="C2014" s="62"/>
      <c r="D2014" s="62"/>
    </row>
    <row r="2015" spans="3:4" x14ac:dyDescent="0.3">
      <c r="C2015" s="62"/>
      <c r="D2015" s="62"/>
    </row>
    <row r="2016" spans="3:4" x14ac:dyDescent="0.3">
      <c r="C2016" s="62"/>
      <c r="D2016" s="62"/>
    </row>
    <row r="2017" spans="3:4" x14ac:dyDescent="0.3">
      <c r="C2017" s="62"/>
      <c r="D2017" s="62"/>
    </row>
    <row r="2018" spans="3:4" x14ac:dyDescent="0.3">
      <c r="C2018" s="62"/>
      <c r="D2018" s="62"/>
    </row>
    <row r="2019" spans="3:4" x14ac:dyDescent="0.3">
      <c r="C2019" s="62"/>
      <c r="D2019" s="62"/>
    </row>
    <row r="2020" spans="3:4" x14ac:dyDescent="0.3">
      <c r="C2020" s="62"/>
      <c r="D2020" s="62"/>
    </row>
    <row r="2021" spans="3:4" x14ac:dyDescent="0.3">
      <c r="C2021" s="62"/>
      <c r="D2021" s="62"/>
    </row>
    <row r="2022" spans="3:4" x14ac:dyDescent="0.3">
      <c r="C2022" s="62"/>
      <c r="D2022" s="62"/>
    </row>
    <row r="2023" spans="3:4" x14ac:dyDescent="0.3">
      <c r="C2023" s="62"/>
      <c r="D2023" s="62"/>
    </row>
    <row r="2024" spans="3:4" x14ac:dyDescent="0.3">
      <c r="C2024" s="62"/>
      <c r="D2024" s="62"/>
    </row>
    <row r="2025" spans="3:4" x14ac:dyDescent="0.3">
      <c r="C2025" s="62"/>
      <c r="D2025" s="62"/>
    </row>
    <row r="2026" spans="3:4" x14ac:dyDescent="0.3">
      <c r="C2026" s="62"/>
      <c r="D2026" s="62"/>
    </row>
    <row r="2027" spans="3:4" x14ac:dyDescent="0.3">
      <c r="C2027" s="62"/>
      <c r="D2027" s="62"/>
    </row>
    <row r="2028" spans="3:4" x14ac:dyDescent="0.3">
      <c r="C2028" s="62"/>
      <c r="D2028" s="62"/>
    </row>
    <row r="2029" spans="3:4" x14ac:dyDescent="0.3">
      <c r="C2029" s="62"/>
      <c r="D2029" s="62"/>
    </row>
    <row r="2030" spans="3:4" x14ac:dyDescent="0.3">
      <c r="C2030" s="62"/>
      <c r="D2030" s="62"/>
    </row>
    <row r="2031" spans="3:4" x14ac:dyDescent="0.3">
      <c r="C2031" s="62"/>
      <c r="D2031" s="62"/>
    </row>
    <row r="2032" spans="3:4" x14ac:dyDescent="0.3">
      <c r="C2032" s="62"/>
      <c r="D2032" s="62"/>
    </row>
    <row r="2033" spans="3:4" x14ac:dyDescent="0.3">
      <c r="C2033" s="62"/>
      <c r="D2033" s="62"/>
    </row>
    <row r="2034" spans="3:4" x14ac:dyDescent="0.3">
      <c r="C2034" s="62"/>
      <c r="D2034" s="62"/>
    </row>
    <row r="2035" spans="3:4" x14ac:dyDescent="0.3">
      <c r="C2035" s="62"/>
      <c r="D2035" s="62"/>
    </row>
    <row r="2036" spans="3:4" x14ac:dyDescent="0.3">
      <c r="C2036" s="62"/>
      <c r="D2036" s="62"/>
    </row>
    <row r="2037" spans="3:4" x14ac:dyDescent="0.3">
      <c r="C2037" s="62"/>
      <c r="D2037" s="62"/>
    </row>
    <row r="2038" spans="3:4" x14ac:dyDescent="0.3">
      <c r="C2038" s="62"/>
      <c r="D2038" s="62"/>
    </row>
    <row r="2039" spans="3:4" x14ac:dyDescent="0.3">
      <c r="C2039" s="62"/>
      <c r="D2039" s="62"/>
    </row>
    <row r="2040" spans="3:4" x14ac:dyDescent="0.3">
      <c r="C2040" s="62"/>
      <c r="D2040" s="62"/>
    </row>
    <row r="2041" spans="3:4" x14ac:dyDescent="0.3">
      <c r="C2041" s="62"/>
      <c r="D2041" s="62"/>
    </row>
    <row r="2042" spans="3:4" x14ac:dyDescent="0.3">
      <c r="C2042" s="62"/>
      <c r="D2042" s="62"/>
    </row>
    <row r="2043" spans="3:4" x14ac:dyDescent="0.3">
      <c r="C2043" s="62"/>
      <c r="D2043" s="62"/>
    </row>
    <row r="2044" spans="3:4" x14ac:dyDescent="0.3">
      <c r="C2044" s="62"/>
      <c r="D2044" s="62"/>
    </row>
    <row r="2045" spans="3:4" x14ac:dyDescent="0.3">
      <c r="C2045" s="62"/>
      <c r="D2045" s="62"/>
    </row>
    <row r="2046" spans="3:4" x14ac:dyDescent="0.3">
      <c r="C2046" s="62"/>
      <c r="D2046" s="62"/>
    </row>
    <row r="2047" spans="3:4" x14ac:dyDescent="0.3">
      <c r="C2047" s="62"/>
      <c r="D2047" s="62"/>
    </row>
    <row r="2048" spans="3:4" x14ac:dyDescent="0.3">
      <c r="C2048" s="62"/>
      <c r="D2048" s="62"/>
    </row>
    <row r="2049" spans="3:4" x14ac:dyDescent="0.3">
      <c r="C2049" s="62"/>
      <c r="D2049" s="62"/>
    </row>
    <row r="2050" spans="3:4" x14ac:dyDescent="0.3">
      <c r="C2050" s="62"/>
      <c r="D2050" s="62"/>
    </row>
    <row r="2051" spans="3:4" x14ac:dyDescent="0.3">
      <c r="C2051" s="62"/>
      <c r="D2051" s="62"/>
    </row>
    <row r="2052" spans="3:4" x14ac:dyDescent="0.3">
      <c r="C2052" s="62"/>
      <c r="D2052" s="62"/>
    </row>
    <row r="2053" spans="3:4" x14ac:dyDescent="0.3">
      <c r="C2053" s="62"/>
      <c r="D2053" s="62"/>
    </row>
    <row r="2054" spans="3:4" x14ac:dyDescent="0.3">
      <c r="C2054" s="62"/>
      <c r="D2054" s="62"/>
    </row>
    <row r="2055" spans="3:4" x14ac:dyDescent="0.3">
      <c r="C2055" s="62"/>
      <c r="D2055" s="62"/>
    </row>
    <row r="2056" spans="3:4" x14ac:dyDescent="0.3">
      <c r="C2056" s="62"/>
      <c r="D2056" s="62"/>
    </row>
    <row r="2057" spans="3:4" x14ac:dyDescent="0.3">
      <c r="C2057" s="62"/>
      <c r="D2057" s="62"/>
    </row>
    <row r="2058" spans="3:4" x14ac:dyDescent="0.3">
      <c r="C2058" s="62"/>
      <c r="D2058" s="62"/>
    </row>
    <row r="2059" spans="3:4" x14ac:dyDescent="0.3">
      <c r="C2059" s="62"/>
      <c r="D2059" s="62"/>
    </row>
    <row r="2060" spans="3:4" x14ac:dyDescent="0.3">
      <c r="C2060" s="62"/>
      <c r="D2060" s="62"/>
    </row>
    <row r="2061" spans="3:4" x14ac:dyDescent="0.3">
      <c r="C2061" s="62"/>
      <c r="D2061" s="62"/>
    </row>
    <row r="2062" spans="3:4" x14ac:dyDescent="0.3">
      <c r="C2062" s="62"/>
      <c r="D2062" s="62"/>
    </row>
    <row r="2063" spans="3:4" x14ac:dyDescent="0.3">
      <c r="C2063" s="62"/>
      <c r="D2063" s="62"/>
    </row>
    <row r="2064" spans="3:4" x14ac:dyDescent="0.3">
      <c r="C2064" s="62"/>
      <c r="D2064" s="62"/>
    </row>
    <row r="2065" spans="3:4" x14ac:dyDescent="0.3">
      <c r="C2065" s="62"/>
      <c r="D2065" s="62"/>
    </row>
    <row r="2066" spans="3:4" x14ac:dyDescent="0.3">
      <c r="C2066" s="62"/>
      <c r="D2066" s="62"/>
    </row>
    <row r="2067" spans="3:4" x14ac:dyDescent="0.3">
      <c r="C2067" s="62"/>
      <c r="D2067" s="62"/>
    </row>
    <row r="2068" spans="3:4" x14ac:dyDescent="0.3">
      <c r="C2068" s="62"/>
      <c r="D2068" s="62"/>
    </row>
    <row r="2069" spans="3:4" x14ac:dyDescent="0.3">
      <c r="C2069" s="62"/>
      <c r="D2069" s="62"/>
    </row>
    <row r="2070" spans="3:4" x14ac:dyDescent="0.3">
      <c r="C2070" s="62"/>
      <c r="D2070" s="62"/>
    </row>
    <row r="2071" spans="3:4" x14ac:dyDescent="0.3">
      <c r="C2071" s="62"/>
      <c r="D2071" s="62"/>
    </row>
    <row r="2072" spans="3:4" x14ac:dyDescent="0.3">
      <c r="C2072" s="62"/>
      <c r="D2072" s="62"/>
    </row>
    <row r="2073" spans="3:4" x14ac:dyDescent="0.3">
      <c r="C2073" s="62"/>
      <c r="D2073" s="62"/>
    </row>
    <row r="2074" spans="3:4" x14ac:dyDescent="0.3">
      <c r="C2074" s="62"/>
      <c r="D2074" s="62"/>
    </row>
    <row r="2075" spans="3:4" x14ac:dyDescent="0.3">
      <c r="C2075" s="62"/>
      <c r="D2075" s="62"/>
    </row>
    <row r="2076" spans="3:4" x14ac:dyDescent="0.3">
      <c r="C2076" s="62"/>
      <c r="D2076" s="62"/>
    </row>
    <row r="2077" spans="3:4" x14ac:dyDescent="0.3">
      <c r="C2077" s="62"/>
      <c r="D2077" s="62"/>
    </row>
    <row r="2078" spans="3:4" x14ac:dyDescent="0.3">
      <c r="C2078" s="62"/>
      <c r="D2078" s="62"/>
    </row>
    <row r="2079" spans="3:4" x14ac:dyDescent="0.3">
      <c r="C2079" s="62"/>
      <c r="D2079" s="62"/>
    </row>
    <row r="2080" spans="3:4" x14ac:dyDescent="0.3">
      <c r="C2080" s="62"/>
      <c r="D2080" s="62"/>
    </row>
    <row r="2081" spans="3:4" x14ac:dyDescent="0.3">
      <c r="C2081" s="62"/>
      <c r="D2081" s="62"/>
    </row>
    <row r="2082" spans="3:4" x14ac:dyDescent="0.3">
      <c r="C2082" s="62"/>
      <c r="D2082" s="62"/>
    </row>
    <row r="2083" spans="3:4" x14ac:dyDescent="0.3">
      <c r="C2083" s="62"/>
      <c r="D2083" s="62"/>
    </row>
    <row r="2084" spans="3:4" x14ac:dyDescent="0.3">
      <c r="C2084" s="62"/>
      <c r="D2084" s="62"/>
    </row>
    <row r="2085" spans="3:4" x14ac:dyDescent="0.3">
      <c r="C2085" s="62"/>
      <c r="D2085" s="62"/>
    </row>
    <row r="2086" spans="3:4" x14ac:dyDescent="0.3">
      <c r="C2086" s="62"/>
      <c r="D2086" s="62"/>
    </row>
    <row r="2087" spans="3:4" x14ac:dyDescent="0.3">
      <c r="C2087" s="62"/>
      <c r="D2087" s="62"/>
    </row>
    <row r="2088" spans="3:4" x14ac:dyDescent="0.3">
      <c r="C2088" s="62"/>
      <c r="D2088" s="62"/>
    </row>
    <row r="2089" spans="3:4" x14ac:dyDescent="0.3">
      <c r="C2089" s="62"/>
      <c r="D2089" s="62"/>
    </row>
    <row r="2090" spans="3:4" x14ac:dyDescent="0.3">
      <c r="C2090" s="62"/>
      <c r="D2090" s="62"/>
    </row>
    <row r="2091" spans="3:4" x14ac:dyDescent="0.3">
      <c r="C2091" s="62"/>
      <c r="D2091" s="62"/>
    </row>
    <row r="2092" spans="3:4" x14ac:dyDescent="0.3">
      <c r="C2092" s="62"/>
      <c r="D2092" s="62"/>
    </row>
    <row r="2093" spans="3:4" x14ac:dyDescent="0.3">
      <c r="C2093" s="62"/>
      <c r="D2093" s="62"/>
    </row>
    <row r="2094" spans="3:4" x14ac:dyDescent="0.3">
      <c r="C2094" s="62"/>
      <c r="D2094" s="62"/>
    </row>
    <row r="2095" spans="3:4" x14ac:dyDescent="0.3">
      <c r="C2095" s="62"/>
      <c r="D2095" s="62"/>
    </row>
    <row r="2096" spans="3:4" x14ac:dyDescent="0.3">
      <c r="C2096" s="62"/>
      <c r="D2096" s="62"/>
    </row>
    <row r="2097" spans="3:4" x14ac:dyDescent="0.3">
      <c r="C2097" s="62"/>
      <c r="D2097" s="62"/>
    </row>
    <row r="2098" spans="3:4" x14ac:dyDescent="0.3">
      <c r="C2098" s="62"/>
      <c r="D2098" s="62"/>
    </row>
    <row r="2099" spans="3:4" x14ac:dyDescent="0.3">
      <c r="C2099" s="62"/>
      <c r="D2099" s="62"/>
    </row>
    <row r="2100" spans="3:4" x14ac:dyDescent="0.3">
      <c r="C2100" s="62"/>
      <c r="D2100" s="62"/>
    </row>
    <row r="2101" spans="3:4" x14ac:dyDescent="0.3">
      <c r="C2101" s="62"/>
      <c r="D2101" s="62"/>
    </row>
    <row r="2102" spans="3:4" x14ac:dyDescent="0.3">
      <c r="C2102" s="62"/>
      <c r="D2102" s="62"/>
    </row>
    <row r="2103" spans="3:4" x14ac:dyDescent="0.3">
      <c r="C2103" s="62"/>
      <c r="D2103" s="62"/>
    </row>
    <row r="2104" spans="3:4" x14ac:dyDescent="0.3">
      <c r="C2104" s="62"/>
      <c r="D2104" s="62"/>
    </row>
    <row r="2105" spans="3:4" x14ac:dyDescent="0.3">
      <c r="C2105" s="62"/>
      <c r="D2105" s="62"/>
    </row>
    <row r="2106" spans="3:4" x14ac:dyDescent="0.3">
      <c r="C2106" s="62"/>
      <c r="D2106" s="62"/>
    </row>
    <row r="2107" spans="3:4" x14ac:dyDescent="0.3">
      <c r="C2107" s="62"/>
      <c r="D2107" s="62"/>
    </row>
    <row r="2108" spans="3:4" x14ac:dyDescent="0.3">
      <c r="C2108" s="62"/>
      <c r="D2108" s="62"/>
    </row>
    <row r="2109" spans="3:4" x14ac:dyDescent="0.3">
      <c r="C2109" s="62"/>
      <c r="D2109" s="62"/>
    </row>
    <row r="2110" spans="3:4" x14ac:dyDescent="0.3">
      <c r="C2110" s="62"/>
      <c r="D2110" s="62"/>
    </row>
    <row r="2111" spans="3:4" x14ac:dyDescent="0.3">
      <c r="C2111" s="62"/>
      <c r="D2111" s="62"/>
    </row>
    <row r="2112" spans="3:4" x14ac:dyDescent="0.3">
      <c r="C2112" s="62"/>
      <c r="D2112" s="62"/>
    </row>
    <row r="2113" spans="3:4" x14ac:dyDescent="0.3">
      <c r="C2113" s="62"/>
      <c r="D2113" s="62"/>
    </row>
    <row r="2114" spans="3:4" x14ac:dyDescent="0.3">
      <c r="C2114" s="62"/>
      <c r="D2114" s="62"/>
    </row>
    <row r="2115" spans="3:4" x14ac:dyDescent="0.3">
      <c r="C2115" s="62"/>
      <c r="D2115" s="62"/>
    </row>
    <row r="2116" spans="3:4" x14ac:dyDescent="0.3">
      <c r="C2116" s="62"/>
      <c r="D2116" s="62"/>
    </row>
    <row r="2117" spans="3:4" x14ac:dyDescent="0.3">
      <c r="C2117" s="62"/>
      <c r="D2117" s="62"/>
    </row>
    <row r="2118" spans="3:4" x14ac:dyDescent="0.3">
      <c r="C2118" s="62"/>
      <c r="D2118" s="62"/>
    </row>
    <row r="2119" spans="3:4" x14ac:dyDescent="0.3">
      <c r="C2119" s="62"/>
      <c r="D2119" s="62"/>
    </row>
    <row r="2120" spans="3:4" x14ac:dyDescent="0.3">
      <c r="C2120" s="62"/>
      <c r="D2120" s="62"/>
    </row>
    <row r="2121" spans="3:4" x14ac:dyDescent="0.3">
      <c r="C2121" s="62"/>
      <c r="D2121" s="62"/>
    </row>
    <row r="2122" spans="3:4" x14ac:dyDescent="0.3">
      <c r="C2122" s="62"/>
      <c r="D2122" s="62"/>
    </row>
    <row r="2123" spans="3:4" x14ac:dyDescent="0.3">
      <c r="C2123" s="62"/>
      <c r="D2123" s="62"/>
    </row>
    <row r="2124" spans="3:4" x14ac:dyDescent="0.3">
      <c r="C2124" s="62"/>
      <c r="D2124" s="62"/>
    </row>
    <row r="2125" spans="3:4" x14ac:dyDescent="0.3">
      <c r="C2125" s="62"/>
      <c r="D2125" s="62"/>
    </row>
    <row r="2126" spans="3:4" x14ac:dyDescent="0.3">
      <c r="C2126" s="62"/>
      <c r="D2126" s="62"/>
    </row>
    <row r="2127" spans="3:4" x14ac:dyDescent="0.3">
      <c r="C2127" s="62"/>
      <c r="D2127" s="62"/>
    </row>
    <row r="2128" spans="3:4" x14ac:dyDescent="0.3">
      <c r="C2128" s="62"/>
      <c r="D2128" s="62"/>
    </row>
    <row r="2129" spans="3:4" x14ac:dyDescent="0.3">
      <c r="C2129" s="62"/>
      <c r="D2129" s="62"/>
    </row>
    <row r="2130" spans="3:4" x14ac:dyDescent="0.3">
      <c r="C2130" s="62"/>
      <c r="D2130" s="62"/>
    </row>
    <row r="2131" spans="3:4" x14ac:dyDescent="0.3">
      <c r="C2131" s="62"/>
      <c r="D2131" s="62"/>
    </row>
    <row r="2132" spans="3:4" x14ac:dyDescent="0.3">
      <c r="C2132" s="62"/>
      <c r="D2132" s="62"/>
    </row>
    <row r="2133" spans="3:4" x14ac:dyDescent="0.3">
      <c r="C2133" s="62"/>
      <c r="D2133" s="62"/>
    </row>
    <row r="2134" spans="3:4" x14ac:dyDescent="0.3">
      <c r="C2134" s="62"/>
      <c r="D2134" s="62"/>
    </row>
    <row r="2135" spans="3:4" x14ac:dyDescent="0.3">
      <c r="C2135" s="62"/>
      <c r="D2135" s="62"/>
    </row>
    <row r="2136" spans="3:4" x14ac:dyDescent="0.3">
      <c r="C2136" s="62"/>
      <c r="D2136" s="62"/>
    </row>
    <row r="2137" spans="3:4" x14ac:dyDescent="0.3">
      <c r="C2137" s="62"/>
      <c r="D2137" s="62"/>
    </row>
    <row r="2138" spans="3:4" x14ac:dyDescent="0.3">
      <c r="C2138" s="62"/>
      <c r="D2138" s="62"/>
    </row>
    <row r="2139" spans="3:4" x14ac:dyDescent="0.3">
      <c r="C2139" s="62"/>
      <c r="D2139" s="62"/>
    </row>
    <row r="2140" spans="3:4" x14ac:dyDescent="0.3">
      <c r="C2140" s="62"/>
      <c r="D2140" s="62"/>
    </row>
    <row r="2141" spans="3:4" x14ac:dyDescent="0.3">
      <c r="C2141" s="62"/>
      <c r="D2141" s="62"/>
    </row>
    <row r="2142" spans="3:4" x14ac:dyDescent="0.3">
      <c r="C2142" s="62"/>
      <c r="D2142" s="62"/>
    </row>
    <row r="2143" spans="3:4" x14ac:dyDescent="0.3">
      <c r="C2143" s="62"/>
      <c r="D2143" s="62"/>
    </row>
    <row r="2144" spans="3:4" x14ac:dyDescent="0.3">
      <c r="C2144" s="62"/>
      <c r="D2144" s="62"/>
    </row>
    <row r="2145" spans="3:4" x14ac:dyDescent="0.3">
      <c r="C2145" s="62"/>
      <c r="D2145" s="62"/>
    </row>
    <row r="2146" spans="3:4" x14ac:dyDescent="0.3">
      <c r="C2146" s="62"/>
      <c r="D2146" s="62"/>
    </row>
    <row r="2147" spans="3:4" x14ac:dyDescent="0.3">
      <c r="C2147" s="62"/>
      <c r="D2147" s="62"/>
    </row>
    <row r="2148" spans="3:4" x14ac:dyDescent="0.3">
      <c r="C2148" s="62"/>
      <c r="D2148" s="62"/>
    </row>
    <row r="2149" spans="3:4" x14ac:dyDescent="0.3">
      <c r="C2149" s="62"/>
      <c r="D2149" s="62"/>
    </row>
    <row r="2150" spans="3:4" x14ac:dyDescent="0.3">
      <c r="C2150" s="62"/>
      <c r="D2150" s="62"/>
    </row>
    <row r="2151" spans="3:4" x14ac:dyDescent="0.3">
      <c r="C2151" s="62"/>
      <c r="D2151" s="62"/>
    </row>
    <row r="2152" spans="3:4" x14ac:dyDescent="0.3">
      <c r="C2152" s="62"/>
      <c r="D2152" s="62"/>
    </row>
    <row r="2153" spans="3:4" x14ac:dyDescent="0.3">
      <c r="C2153" s="62"/>
      <c r="D2153" s="62"/>
    </row>
    <row r="2154" spans="3:4" x14ac:dyDescent="0.3">
      <c r="C2154" s="62"/>
      <c r="D2154" s="62"/>
    </row>
    <row r="2155" spans="3:4" x14ac:dyDescent="0.3">
      <c r="C2155" s="62"/>
      <c r="D2155" s="62"/>
    </row>
    <row r="2156" spans="3:4" x14ac:dyDescent="0.3">
      <c r="C2156" s="62"/>
      <c r="D2156" s="62"/>
    </row>
    <row r="2157" spans="3:4" x14ac:dyDescent="0.3">
      <c r="C2157" s="62"/>
      <c r="D2157" s="62"/>
    </row>
    <row r="2158" spans="3:4" x14ac:dyDescent="0.3">
      <c r="C2158" s="62"/>
      <c r="D2158" s="62"/>
    </row>
    <row r="2159" spans="3:4" x14ac:dyDescent="0.3">
      <c r="C2159" s="62"/>
      <c r="D2159" s="62"/>
    </row>
    <row r="2160" spans="3:4" x14ac:dyDescent="0.3">
      <c r="C2160" s="62"/>
      <c r="D2160" s="62"/>
    </row>
    <row r="2161" spans="3:4" x14ac:dyDescent="0.3">
      <c r="C2161" s="62"/>
      <c r="D2161" s="62"/>
    </row>
    <row r="2162" spans="3:4" x14ac:dyDescent="0.3">
      <c r="C2162" s="62"/>
      <c r="D2162" s="62"/>
    </row>
    <row r="2163" spans="3:4" x14ac:dyDescent="0.3">
      <c r="C2163" s="62"/>
      <c r="D2163" s="62"/>
    </row>
    <row r="2164" spans="3:4" x14ac:dyDescent="0.3">
      <c r="C2164" s="62"/>
      <c r="D2164" s="62"/>
    </row>
    <row r="2165" spans="3:4" x14ac:dyDescent="0.3">
      <c r="C2165" s="62"/>
      <c r="D2165" s="62"/>
    </row>
    <row r="2166" spans="3:4" x14ac:dyDescent="0.3">
      <c r="C2166" s="62"/>
      <c r="D2166" s="62"/>
    </row>
    <row r="2167" spans="3:4" x14ac:dyDescent="0.3">
      <c r="C2167" s="62"/>
      <c r="D2167" s="62"/>
    </row>
    <row r="2168" spans="3:4" x14ac:dyDescent="0.3">
      <c r="C2168" s="62"/>
      <c r="D2168" s="62"/>
    </row>
    <row r="2169" spans="3:4" x14ac:dyDescent="0.3">
      <c r="C2169" s="62"/>
      <c r="D2169" s="62"/>
    </row>
    <row r="2170" spans="3:4" x14ac:dyDescent="0.3">
      <c r="C2170" s="62"/>
      <c r="D2170" s="62"/>
    </row>
    <row r="2171" spans="3:4" x14ac:dyDescent="0.3">
      <c r="C2171" s="62"/>
      <c r="D2171" s="62"/>
    </row>
    <row r="2172" spans="3:4" x14ac:dyDescent="0.3">
      <c r="C2172" s="62"/>
      <c r="D2172" s="62"/>
    </row>
    <row r="2173" spans="3:4" x14ac:dyDescent="0.3">
      <c r="C2173" s="62"/>
      <c r="D2173" s="62"/>
    </row>
    <row r="2174" spans="3:4" x14ac:dyDescent="0.3">
      <c r="C2174" s="62"/>
      <c r="D2174" s="62"/>
    </row>
    <row r="2175" spans="3:4" x14ac:dyDescent="0.3">
      <c r="C2175" s="62"/>
      <c r="D2175" s="62"/>
    </row>
    <row r="2176" spans="3:4" x14ac:dyDescent="0.3">
      <c r="C2176" s="62"/>
      <c r="D2176" s="62"/>
    </row>
    <row r="2177" spans="3:4" x14ac:dyDescent="0.3">
      <c r="C2177" s="62"/>
      <c r="D2177" s="62"/>
    </row>
    <row r="2178" spans="3:4" x14ac:dyDescent="0.3">
      <c r="C2178" s="62"/>
      <c r="D2178" s="62"/>
    </row>
    <row r="2179" spans="3:4" x14ac:dyDescent="0.3">
      <c r="C2179" s="62"/>
      <c r="D2179" s="62"/>
    </row>
    <row r="2180" spans="3:4" x14ac:dyDescent="0.3">
      <c r="C2180" s="62"/>
      <c r="D2180" s="62"/>
    </row>
    <row r="2181" spans="3:4" x14ac:dyDescent="0.3">
      <c r="C2181" s="62"/>
      <c r="D2181" s="62"/>
    </row>
    <row r="2182" spans="3:4" x14ac:dyDescent="0.3">
      <c r="C2182" s="62"/>
      <c r="D2182" s="62"/>
    </row>
    <row r="2183" spans="3:4" x14ac:dyDescent="0.3">
      <c r="C2183" s="62"/>
      <c r="D2183" s="62"/>
    </row>
    <row r="2184" spans="3:4" x14ac:dyDescent="0.3">
      <c r="C2184" s="62"/>
      <c r="D2184" s="62"/>
    </row>
    <row r="2185" spans="3:4" x14ac:dyDescent="0.3">
      <c r="C2185" s="62"/>
      <c r="D2185" s="62"/>
    </row>
    <row r="2186" spans="3:4" x14ac:dyDescent="0.3">
      <c r="C2186" s="62"/>
      <c r="D2186" s="62"/>
    </row>
    <row r="2187" spans="3:4" x14ac:dyDescent="0.3">
      <c r="C2187" s="62"/>
      <c r="D2187" s="62"/>
    </row>
    <row r="2188" spans="3:4" x14ac:dyDescent="0.3">
      <c r="C2188" s="62"/>
      <c r="D2188" s="62"/>
    </row>
    <row r="2189" spans="3:4" x14ac:dyDescent="0.3">
      <c r="C2189" s="62"/>
      <c r="D2189" s="62"/>
    </row>
    <row r="2190" spans="3:4" x14ac:dyDescent="0.3">
      <c r="C2190" s="62"/>
      <c r="D2190" s="62"/>
    </row>
    <row r="2191" spans="3:4" x14ac:dyDescent="0.3">
      <c r="C2191" s="62"/>
      <c r="D2191" s="62"/>
    </row>
    <row r="2192" spans="3:4" x14ac:dyDescent="0.3">
      <c r="C2192" s="62"/>
      <c r="D2192" s="62"/>
    </row>
    <row r="2193" spans="3:4" x14ac:dyDescent="0.3">
      <c r="C2193" s="62"/>
      <c r="D2193" s="62"/>
    </row>
    <row r="2194" spans="3:4" x14ac:dyDescent="0.3">
      <c r="C2194" s="62"/>
      <c r="D2194" s="62"/>
    </row>
    <row r="2195" spans="3:4" x14ac:dyDescent="0.3">
      <c r="C2195" s="62"/>
      <c r="D2195" s="62"/>
    </row>
    <row r="2196" spans="3:4" x14ac:dyDescent="0.3">
      <c r="C2196" s="62"/>
      <c r="D2196" s="62"/>
    </row>
    <row r="2197" spans="3:4" x14ac:dyDescent="0.3">
      <c r="C2197" s="62"/>
      <c r="D2197" s="62"/>
    </row>
    <row r="2198" spans="3:4" x14ac:dyDescent="0.3">
      <c r="C2198" s="62"/>
      <c r="D2198" s="62"/>
    </row>
    <row r="2199" spans="3:4" x14ac:dyDescent="0.3">
      <c r="C2199" s="62"/>
      <c r="D2199" s="62"/>
    </row>
    <row r="2200" spans="3:4" x14ac:dyDescent="0.3">
      <c r="C2200" s="62"/>
      <c r="D2200" s="62"/>
    </row>
    <row r="2201" spans="3:4" x14ac:dyDescent="0.3">
      <c r="C2201" s="62"/>
      <c r="D2201" s="62"/>
    </row>
    <row r="2202" spans="3:4" x14ac:dyDescent="0.3">
      <c r="C2202" s="62"/>
      <c r="D2202" s="62"/>
    </row>
    <row r="2203" spans="3:4" x14ac:dyDescent="0.3">
      <c r="C2203" s="62"/>
      <c r="D2203" s="62"/>
    </row>
    <row r="2204" spans="3:4" x14ac:dyDescent="0.3">
      <c r="C2204" s="62"/>
      <c r="D2204" s="62"/>
    </row>
    <row r="2205" spans="3:4" x14ac:dyDescent="0.3">
      <c r="C2205" s="62"/>
      <c r="D2205" s="62"/>
    </row>
    <row r="2206" spans="3:4" x14ac:dyDescent="0.3">
      <c r="C2206" s="62"/>
      <c r="D2206" s="62"/>
    </row>
    <row r="2207" spans="3:4" x14ac:dyDescent="0.3">
      <c r="C2207" s="62"/>
      <c r="D2207" s="62"/>
    </row>
    <row r="2208" spans="3:4" x14ac:dyDescent="0.3">
      <c r="C2208" s="62"/>
      <c r="D2208" s="62"/>
    </row>
    <row r="2209" spans="3:4" x14ac:dyDescent="0.3">
      <c r="C2209" s="62"/>
      <c r="D2209" s="62"/>
    </row>
    <row r="2210" spans="3:4" x14ac:dyDescent="0.3">
      <c r="C2210" s="62"/>
      <c r="D2210" s="62"/>
    </row>
    <row r="2211" spans="3:4" x14ac:dyDescent="0.3">
      <c r="C2211" s="62"/>
      <c r="D2211" s="62"/>
    </row>
    <row r="2212" spans="3:4" x14ac:dyDescent="0.3">
      <c r="C2212" s="62"/>
      <c r="D2212" s="62"/>
    </row>
    <row r="2213" spans="3:4" x14ac:dyDescent="0.3">
      <c r="C2213" s="62"/>
      <c r="D2213" s="62"/>
    </row>
    <row r="2214" spans="3:4" x14ac:dyDescent="0.3">
      <c r="C2214" s="62"/>
      <c r="D2214" s="62"/>
    </row>
    <row r="2215" spans="3:4" x14ac:dyDescent="0.3">
      <c r="C2215" s="62"/>
      <c r="D2215" s="62"/>
    </row>
    <row r="2216" spans="3:4" x14ac:dyDescent="0.3">
      <c r="C2216" s="62"/>
      <c r="D2216" s="62"/>
    </row>
    <row r="2217" spans="3:4" x14ac:dyDescent="0.3">
      <c r="C2217" s="62"/>
      <c r="D2217" s="62"/>
    </row>
    <row r="2218" spans="3:4" x14ac:dyDescent="0.3">
      <c r="C2218" s="62"/>
      <c r="D2218" s="62"/>
    </row>
    <row r="2219" spans="3:4" x14ac:dyDescent="0.3">
      <c r="C2219" s="62"/>
      <c r="D2219" s="62"/>
    </row>
    <row r="2220" spans="3:4" x14ac:dyDescent="0.3">
      <c r="C2220" s="62"/>
      <c r="D2220" s="62"/>
    </row>
    <row r="2221" spans="3:4" x14ac:dyDescent="0.3">
      <c r="C2221" s="62"/>
      <c r="D2221" s="62"/>
    </row>
    <row r="2222" spans="3:4" x14ac:dyDescent="0.3">
      <c r="C2222" s="62"/>
      <c r="D2222" s="62"/>
    </row>
    <row r="2223" spans="3:4" x14ac:dyDescent="0.3">
      <c r="C2223" s="62"/>
      <c r="D2223" s="62"/>
    </row>
    <row r="2224" spans="3:4" x14ac:dyDescent="0.3">
      <c r="C2224" s="62"/>
      <c r="D2224" s="62"/>
    </row>
    <row r="2225" spans="3:4" x14ac:dyDescent="0.3">
      <c r="C2225" s="62"/>
      <c r="D2225" s="62"/>
    </row>
    <row r="2226" spans="3:4" x14ac:dyDescent="0.3">
      <c r="C2226" s="62"/>
      <c r="D2226" s="62"/>
    </row>
    <row r="2227" spans="3:4" x14ac:dyDescent="0.3">
      <c r="C2227" s="62"/>
      <c r="D2227" s="62"/>
    </row>
    <row r="2228" spans="3:4" x14ac:dyDescent="0.3">
      <c r="C2228" s="62"/>
      <c r="D2228" s="62"/>
    </row>
    <row r="2229" spans="3:4" x14ac:dyDescent="0.3">
      <c r="C2229" s="62"/>
      <c r="D2229" s="62"/>
    </row>
    <row r="2230" spans="3:4" x14ac:dyDescent="0.3">
      <c r="C2230" s="62"/>
      <c r="D2230" s="62"/>
    </row>
    <row r="2231" spans="3:4" x14ac:dyDescent="0.3">
      <c r="C2231" s="62"/>
      <c r="D2231" s="62"/>
    </row>
    <row r="2232" spans="3:4" x14ac:dyDescent="0.3">
      <c r="C2232" s="62"/>
      <c r="D2232" s="62"/>
    </row>
    <row r="2233" spans="3:4" x14ac:dyDescent="0.3">
      <c r="C2233" s="62"/>
      <c r="D2233" s="62"/>
    </row>
    <row r="2234" spans="3:4" x14ac:dyDescent="0.3">
      <c r="C2234" s="62"/>
      <c r="D2234" s="62"/>
    </row>
    <row r="2235" spans="3:4" x14ac:dyDescent="0.3">
      <c r="C2235" s="62"/>
      <c r="D2235" s="62"/>
    </row>
    <row r="2236" spans="3:4" x14ac:dyDescent="0.3">
      <c r="C2236" s="62"/>
      <c r="D2236" s="62"/>
    </row>
    <row r="2237" spans="3:4" x14ac:dyDescent="0.3">
      <c r="C2237" s="62"/>
      <c r="D2237" s="62"/>
    </row>
    <row r="2238" spans="3:4" x14ac:dyDescent="0.3">
      <c r="C2238" s="62"/>
      <c r="D2238" s="62"/>
    </row>
    <row r="2239" spans="3:4" x14ac:dyDescent="0.3">
      <c r="C2239" s="62"/>
      <c r="D2239" s="62"/>
    </row>
    <row r="2240" spans="3:4" x14ac:dyDescent="0.3">
      <c r="C2240" s="62"/>
      <c r="D2240" s="62"/>
    </row>
    <row r="2241" spans="3:4" x14ac:dyDescent="0.3">
      <c r="C2241" s="62"/>
      <c r="D2241" s="62"/>
    </row>
    <row r="2242" spans="3:4" x14ac:dyDescent="0.3">
      <c r="C2242" s="62"/>
      <c r="D2242" s="62"/>
    </row>
    <row r="2243" spans="3:4" x14ac:dyDescent="0.3">
      <c r="C2243" s="62"/>
      <c r="D2243" s="62"/>
    </row>
    <row r="2244" spans="3:4" x14ac:dyDescent="0.3">
      <c r="C2244" s="62"/>
      <c r="D2244" s="62"/>
    </row>
    <row r="2245" spans="3:4" x14ac:dyDescent="0.3">
      <c r="C2245" s="62"/>
      <c r="D2245" s="62"/>
    </row>
    <row r="2246" spans="3:4" x14ac:dyDescent="0.3">
      <c r="C2246" s="62"/>
      <c r="D2246" s="62"/>
    </row>
    <row r="2247" spans="3:4" x14ac:dyDescent="0.3">
      <c r="C2247" s="62"/>
      <c r="D2247" s="62"/>
    </row>
    <row r="2248" spans="3:4" x14ac:dyDescent="0.3">
      <c r="C2248" s="62"/>
      <c r="D2248" s="62"/>
    </row>
    <row r="2249" spans="3:4" x14ac:dyDescent="0.3">
      <c r="C2249" s="62"/>
      <c r="D2249" s="62"/>
    </row>
    <row r="2250" spans="3:4" x14ac:dyDescent="0.3">
      <c r="C2250" s="62"/>
      <c r="D2250" s="62"/>
    </row>
    <row r="2251" spans="3:4" x14ac:dyDescent="0.3">
      <c r="C2251" s="62"/>
      <c r="D2251" s="62"/>
    </row>
    <row r="2252" spans="3:4" x14ac:dyDescent="0.3">
      <c r="C2252" s="62"/>
      <c r="D2252" s="62"/>
    </row>
    <row r="2253" spans="3:4" x14ac:dyDescent="0.3">
      <c r="C2253" s="62"/>
      <c r="D2253" s="62"/>
    </row>
    <row r="2254" spans="3:4" x14ac:dyDescent="0.3">
      <c r="C2254" s="62"/>
      <c r="D2254" s="62"/>
    </row>
    <row r="2255" spans="3:4" x14ac:dyDescent="0.3">
      <c r="C2255" s="62"/>
      <c r="D2255" s="62"/>
    </row>
    <row r="2256" spans="3:4" x14ac:dyDescent="0.3">
      <c r="C2256" s="62"/>
      <c r="D2256" s="62"/>
    </row>
    <row r="2257" spans="3:4" x14ac:dyDescent="0.3">
      <c r="C2257" s="62"/>
      <c r="D2257" s="62"/>
    </row>
    <row r="2258" spans="3:4" x14ac:dyDescent="0.3">
      <c r="C2258" s="62"/>
      <c r="D2258" s="62"/>
    </row>
    <row r="2259" spans="3:4" x14ac:dyDescent="0.3">
      <c r="C2259" s="62"/>
      <c r="D2259" s="62"/>
    </row>
    <row r="2260" spans="3:4" x14ac:dyDescent="0.3">
      <c r="C2260" s="62"/>
      <c r="D2260" s="62"/>
    </row>
    <row r="2261" spans="3:4" x14ac:dyDescent="0.3">
      <c r="C2261" s="62"/>
      <c r="D2261" s="62"/>
    </row>
    <row r="2262" spans="3:4" x14ac:dyDescent="0.3">
      <c r="C2262" s="62"/>
      <c r="D2262" s="62"/>
    </row>
    <row r="2263" spans="3:4" x14ac:dyDescent="0.3">
      <c r="C2263" s="62"/>
      <c r="D2263" s="62"/>
    </row>
    <row r="2264" spans="3:4" x14ac:dyDescent="0.3">
      <c r="C2264" s="62"/>
      <c r="D2264" s="62"/>
    </row>
    <row r="2265" spans="3:4" x14ac:dyDescent="0.3">
      <c r="C2265" s="62"/>
      <c r="D2265" s="62"/>
    </row>
    <row r="2266" spans="3:4" x14ac:dyDescent="0.3">
      <c r="C2266" s="62"/>
      <c r="D2266" s="62"/>
    </row>
    <row r="2267" spans="3:4" x14ac:dyDescent="0.3">
      <c r="C2267" s="62"/>
      <c r="D2267" s="62"/>
    </row>
    <row r="2268" spans="3:4" x14ac:dyDescent="0.3">
      <c r="C2268" s="62"/>
      <c r="D2268" s="62"/>
    </row>
    <row r="2269" spans="3:4" x14ac:dyDescent="0.3">
      <c r="C2269" s="62"/>
      <c r="D2269" s="62"/>
    </row>
    <row r="2270" spans="3:4" x14ac:dyDescent="0.3">
      <c r="C2270" s="62"/>
      <c r="D2270" s="62"/>
    </row>
    <row r="2271" spans="3:4" x14ac:dyDescent="0.3">
      <c r="C2271" s="62"/>
      <c r="D2271" s="62"/>
    </row>
    <row r="2272" spans="3:4" x14ac:dyDescent="0.3">
      <c r="C2272" s="62"/>
      <c r="D2272" s="62"/>
    </row>
    <row r="2273" spans="3:4" x14ac:dyDescent="0.3">
      <c r="C2273" s="62"/>
      <c r="D2273" s="62"/>
    </row>
    <row r="2274" spans="3:4" x14ac:dyDescent="0.3">
      <c r="C2274" s="62"/>
      <c r="D2274" s="62"/>
    </row>
    <row r="2275" spans="3:4" x14ac:dyDescent="0.3">
      <c r="C2275" s="62"/>
      <c r="D2275" s="62"/>
    </row>
    <row r="2276" spans="3:4" x14ac:dyDescent="0.3">
      <c r="C2276" s="62"/>
      <c r="D2276" s="62"/>
    </row>
    <row r="2277" spans="3:4" x14ac:dyDescent="0.3">
      <c r="C2277" s="62"/>
      <c r="D2277" s="62"/>
    </row>
    <row r="2278" spans="3:4" x14ac:dyDescent="0.3">
      <c r="C2278" s="62"/>
      <c r="D2278" s="62"/>
    </row>
    <row r="2279" spans="3:4" x14ac:dyDescent="0.3">
      <c r="C2279" s="62"/>
      <c r="D2279" s="62"/>
    </row>
    <row r="2280" spans="3:4" x14ac:dyDescent="0.3">
      <c r="C2280" s="62"/>
      <c r="D2280" s="62"/>
    </row>
    <row r="2281" spans="3:4" x14ac:dyDescent="0.3">
      <c r="C2281" s="62"/>
      <c r="D2281" s="62"/>
    </row>
    <row r="2282" spans="3:4" x14ac:dyDescent="0.3">
      <c r="C2282" s="62"/>
      <c r="D2282" s="62"/>
    </row>
    <row r="2283" spans="3:4" x14ac:dyDescent="0.3">
      <c r="C2283" s="62"/>
      <c r="D2283" s="62"/>
    </row>
    <row r="2284" spans="3:4" x14ac:dyDescent="0.3">
      <c r="C2284" s="62"/>
      <c r="D2284" s="62"/>
    </row>
    <row r="2285" spans="3:4" x14ac:dyDescent="0.3">
      <c r="C2285" s="62"/>
      <c r="D2285" s="62"/>
    </row>
    <row r="2286" spans="3:4" x14ac:dyDescent="0.3">
      <c r="C2286" s="62"/>
      <c r="D2286" s="62"/>
    </row>
    <row r="2287" spans="3:4" x14ac:dyDescent="0.3">
      <c r="C2287" s="62"/>
      <c r="D2287" s="62"/>
    </row>
    <row r="2288" spans="3:4" x14ac:dyDescent="0.3">
      <c r="C2288" s="62"/>
      <c r="D2288" s="62"/>
    </row>
    <row r="2289" spans="3:4" x14ac:dyDescent="0.3">
      <c r="C2289" s="62"/>
      <c r="D2289" s="62"/>
    </row>
    <row r="2290" spans="3:4" x14ac:dyDescent="0.3">
      <c r="C2290" s="62"/>
      <c r="D2290" s="62"/>
    </row>
    <row r="2291" spans="3:4" x14ac:dyDescent="0.3">
      <c r="C2291" s="62"/>
      <c r="D2291" s="62"/>
    </row>
    <row r="2292" spans="3:4" x14ac:dyDescent="0.3">
      <c r="C2292" s="62"/>
      <c r="D2292" s="62"/>
    </row>
    <row r="2293" spans="3:4" x14ac:dyDescent="0.3">
      <c r="C2293" s="62"/>
      <c r="D2293" s="62"/>
    </row>
    <row r="2294" spans="3:4" x14ac:dyDescent="0.3">
      <c r="C2294" s="62"/>
      <c r="D2294" s="62"/>
    </row>
    <row r="2295" spans="3:4" x14ac:dyDescent="0.3">
      <c r="C2295" s="62"/>
      <c r="D2295" s="62"/>
    </row>
    <row r="2296" spans="3:4" x14ac:dyDescent="0.3">
      <c r="C2296" s="62"/>
      <c r="D2296" s="62"/>
    </row>
    <row r="2297" spans="3:4" x14ac:dyDescent="0.3">
      <c r="C2297" s="62"/>
      <c r="D2297" s="62"/>
    </row>
    <row r="2298" spans="3:4" x14ac:dyDescent="0.3">
      <c r="C2298" s="62"/>
      <c r="D2298" s="62"/>
    </row>
    <row r="2299" spans="3:4" x14ac:dyDescent="0.3">
      <c r="C2299" s="62"/>
      <c r="D2299" s="62"/>
    </row>
    <row r="2300" spans="3:4" x14ac:dyDescent="0.3">
      <c r="C2300" s="62"/>
      <c r="D2300" s="62"/>
    </row>
    <row r="2301" spans="3:4" x14ac:dyDescent="0.3">
      <c r="C2301" s="62"/>
      <c r="D2301" s="62"/>
    </row>
    <row r="2302" spans="3:4" x14ac:dyDescent="0.3">
      <c r="C2302" s="62"/>
      <c r="D2302" s="62"/>
    </row>
    <row r="2303" spans="3:4" x14ac:dyDescent="0.3">
      <c r="C2303" s="62"/>
      <c r="D2303" s="62"/>
    </row>
    <row r="2304" spans="3:4" x14ac:dyDescent="0.3">
      <c r="C2304" s="62"/>
      <c r="D2304" s="62"/>
    </row>
    <row r="2305" spans="3:4" x14ac:dyDescent="0.3">
      <c r="C2305" s="62"/>
      <c r="D2305" s="62"/>
    </row>
    <row r="2306" spans="3:4" x14ac:dyDescent="0.3">
      <c r="C2306" s="62"/>
      <c r="D2306" s="62"/>
    </row>
    <row r="2307" spans="3:4" x14ac:dyDescent="0.3">
      <c r="C2307" s="62"/>
      <c r="D2307" s="62"/>
    </row>
    <row r="2308" spans="3:4" x14ac:dyDescent="0.3">
      <c r="C2308" s="62"/>
      <c r="D2308" s="62"/>
    </row>
    <row r="2309" spans="3:4" x14ac:dyDescent="0.3">
      <c r="C2309" s="62"/>
      <c r="D2309" s="62"/>
    </row>
    <row r="2310" spans="3:4" x14ac:dyDescent="0.3">
      <c r="C2310" s="62"/>
      <c r="D2310" s="62"/>
    </row>
    <row r="2311" spans="3:4" x14ac:dyDescent="0.3">
      <c r="C2311" s="62"/>
      <c r="D2311" s="62"/>
    </row>
    <row r="2312" spans="3:4" x14ac:dyDescent="0.3">
      <c r="C2312" s="62"/>
      <c r="D2312" s="62"/>
    </row>
    <row r="2313" spans="3:4" x14ac:dyDescent="0.3">
      <c r="C2313" s="62"/>
      <c r="D2313" s="62"/>
    </row>
    <row r="2314" spans="3:4" x14ac:dyDescent="0.3">
      <c r="C2314" s="62"/>
      <c r="D2314" s="62"/>
    </row>
    <row r="2315" spans="3:4" x14ac:dyDescent="0.3">
      <c r="C2315" s="62"/>
      <c r="D2315" s="62"/>
    </row>
    <row r="2316" spans="3:4" x14ac:dyDescent="0.3">
      <c r="C2316" s="62"/>
      <c r="D2316" s="62"/>
    </row>
    <row r="2317" spans="3:4" x14ac:dyDescent="0.3">
      <c r="C2317" s="62"/>
      <c r="D2317" s="62"/>
    </row>
    <row r="2318" spans="3:4" x14ac:dyDescent="0.3">
      <c r="C2318" s="62"/>
      <c r="D2318" s="62"/>
    </row>
    <row r="2319" spans="3:4" x14ac:dyDescent="0.3">
      <c r="C2319" s="62"/>
      <c r="D2319" s="62"/>
    </row>
    <row r="2320" spans="3:4" x14ac:dyDescent="0.3">
      <c r="C2320" s="62"/>
      <c r="D2320" s="62"/>
    </row>
    <row r="2321" spans="3:4" x14ac:dyDescent="0.3">
      <c r="C2321" s="62"/>
      <c r="D2321" s="62"/>
    </row>
    <row r="2322" spans="3:4" x14ac:dyDescent="0.3">
      <c r="C2322" s="62"/>
      <c r="D2322" s="62"/>
    </row>
    <row r="2323" spans="3:4" x14ac:dyDescent="0.3">
      <c r="C2323" s="62"/>
      <c r="D2323" s="62"/>
    </row>
    <row r="2324" spans="3:4" x14ac:dyDescent="0.3">
      <c r="C2324" s="62"/>
      <c r="D2324" s="62"/>
    </row>
    <row r="2325" spans="3:4" x14ac:dyDescent="0.3">
      <c r="C2325" s="62"/>
      <c r="D2325" s="62"/>
    </row>
    <row r="2326" spans="3:4" x14ac:dyDescent="0.3">
      <c r="C2326" s="62"/>
      <c r="D2326" s="62"/>
    </row>
    <row r="2327" spans="3:4" x14ac:dyDescent="0.3">
      <c r="C2327" s="62"/>
      <c r="D2327" s="62"/>
    </row>
    <row r="2328" spans="3:4" x14ac:dyDescent="0.3">
      <c r="C2328" s="62"/>
      <c r="D2328" s="62"/>
    </row>
    <row r="2329" spans="3:4" x14ac:dyDescent="0.3">
      <c r="C2329" s="62"/>
      <c r="D2329" s="62"/>
    </row>
    <row r="2330" spans="3:4" x14ac:dyDescent="0.3">
      <c r="C2330" s="62"/>
      <c r="D2330" s="62"/>
    </row>
    <row r="2331" spans="3:4" x14ac:dyDescent="0.3">
      <c r="C2331" s="62"/>
      <c r="D2331" s="62"/>
    </row>
    <row r="2332" spans="3:4" x14ac:dyDescent="0.3">
      <c r="C2332" s="62"/>
      <c r="D2332" s="62"/>
    </row>
    <row r="2333" spans="3:4" x14ac:dyDescent="0.3">
      <c r="C2333" s="62"/>
      <c r="D2333" s="62"/>
    </row>
    <row r="2334" spans="3:4" x14ac:dyDescent="0.3">
      <c r="C2334" s="62"/>
      <c r="D2334" s="62"/>
    </row>
    <row r="2335" spans="3:4" x14ac:dyDescent="0.3">
      <c r="C2335" s="62"/>
      <c r="D2335" s="62"/>
    </row>
    <row r="2336" spans="3:4" x14ac:dyDescent="0.3">
      <c r="C2336" s="62"/>
      <c r="D2336" s="62"/>
    </row>
    <row r="2337" spans="3:4" x14ac:dyDescent="0.3">
      <c r="C2337" s="62"/>
      <c r="D2337" s="62"/>
    </row>
    <row r="2338" spans="3:4" x14ac:dyDescent="0.3">
      <c r="C2338" s="62"/>
      <c r="D2338" s="62"/>
    </row>
    <row r="2339" spans="3:4" x14ac:dyDescent="0.3">
      <c r="C2339" s="62"/>
      <c r="D2339" s="62"/>
    </row>
    <row r="2340" spans="3:4" x14ac:dyDescent="0.3">
      <c r="C2340" s="62"/>
      <c r="D2340" s="62"/>
    </row>
    <row r="2341" spans="3:4" x14ac:dyDescent="0.3">
      <c r="C2341" s="62"/>
      <c r="D2341" s="62"/>
    </row>
    <row r="2342" spans="3:4" x14ac:dyDescent="0.3">
      <c r="C2342" s="62"/>
      <c r="D2342" s="62"/>
    </row>
    <row r="2343" spans="3:4" x14ac:dyDescent="0.3">
      <c r="C2343" s="62"/>
      <c r="D2343" s="62"/>
    </row>
    <row r="2344" spans="3:4" x14ac:dyDescent="0.3">
      <c r="C2344" s="62"/>
      <c r="D2344" s="62"/>
    </row>
    <row r="2345" spans="3:4" x14ac:dyDescent="0.3">
      <c r="C2345" s="62"/>
      <c r="D2345" s="62"/>
    </row>
    <row r="2346" spans="3:4" x14ac:dyDescent="0.3">
      <c r="C2346" s="62"/>
      <c r="D2346" s="62"/>
    </row>
    <row r="2347" spans="3:4" x14ac:dyDescent="0.3">
      <c r="C2347" s="62"/>
      <c r="D2347" s="62"/>
    </row>
    <row r="2348" spans="3:4" x14ac:dyDescent="0.3">
      <c r="C2348" s="62"/>
      <c r="D2348" s="62"/>
    </row>
    <row r="2349" spans="3:4" x14ac:dyDescent="0.3">
      <c r="C2349" s="62"/>
      <c r="D2349" s="62"/>
    </row>
    <row r="2350" spans="3:4" x14ac:dyDescent="0.3">
      <c r="C2350" s="62"/>
      <c r="D2350" s="62"/>
    </row>
    <row r="2351" spans="3:4" x14ac:dyDescent="0.3">
      <c r="C2351" s="62"/>
      <c r="D2351" s="62"/>
    </row>
    <row r="2352" spans="3:4" x14ac:dyDescent="0.3">
      <c r="C2352" s="62"/>
      <c r="D2352" s="62"/>
    </row>
    <row r="2353" spans="3:4" x14ac:dyDescent="0.3">
      <c r="C2353" s="62"/>
      <c r="D2353" s="62"/>
    </row>
    <row r="2354" spans="3:4" x14ac:dyDescent="0.3">
      <c r="C2354" s="62"/>
      <c r="D2354" s="62"/>
    </row>
    <row r="2355" spans="3:4" x14ac:dyDescent="0.3">
      <c r="C2355" s="62"/>
      <c r="D2355" s="62"/>
    </row>
    <row r="2356" spans="3:4" x14ac:dyDescent="0.3">
      <c r="C2356" s="62"/>
      <c r="D2356" s="62"/>
    </row>
    <row r="2357" spans="3:4" x14ac:dyDescent="0.3">
      <c r="C2357" s="62"/>
      <c r="D2357" s="62"/>
    </row>
    <row r="2358" spans="3:4" x14ac:dyDescent="0.3">
      <c r="C2358" s="62"/>
      <c r="D2358" s="62"/>
    </row>
    <row r="2359" spans="3:4" x14ac:dyDescent="0.3">
      <c r="C2359" s="62"/>
      <c r="D2359" s="62"/>
    </row>
    <row r="2360" spans="3:4" x14ac:dyDescent="0.3">
      <c r="C2360" s="62"/>
      <c r="D2360" s="62"/>
    </row>
    <row r="2361" spans="3:4" x14ac:dyDescent="0.3">
      <c r="C2361" s="62"/>
      <c r="D2361" s="62"/>
    </row>
    <row r="2362" spans="3:4" x14ac:dyDescent="0.3">
      <c r="C2362" s="62"/>
      <c r="D2362" s="62"/>
    </row>
    <row r="2363" spans="3:4" x14ac:dyDescent="0.3">
      <c r="C2363" s="62"/>
      <c r="D2363" s="62"/>
    </row>
    <row r="2364" spans="3:4" x14ac:dyDescent="0.3">
      <c r="C2364" s="62"/>
      <c r="D2364" s="62"/>
    </row>
    <row r="2365" spans="3:4" x14ac:dyDescent="0.3">
      <c r="C2365" s="62"/>
      <c r="D2365" s="62"/>
    </row>
    <row r="2366" spans="3:4" x14ac:dyDescent="0.3">
      <c r="C2366" s="62"/>
      <c r="D2366" s="62"/>
    </row>
    <row r="2367" spans="3:4" x14ac:dyDescent="0.3">
      <c r="C2367" s="62"/>
      <c r="D2367" s="62"/>
    </row>
    <row r="2368" spans="3:4" x14ac:dyDescent="0.3">
      <c r="C2368" s="62"/>
      <c r="D2368" s="62"/>
    </row>
    <row r="2369" spans="3:4" x14ac:dyDescent="0.3">
      <c r="C2369" s="62"/>
      <c r="D2369" s="62"/>
    </row>
    <row r="2370" spans="3:4" x14ac:dyDescent="0.3">
      <c r="C2370" s="62"/>
      <c r="D2370" s="62"/>
    </row>
    <row r="2371" spans="3:4" x14ac:dyDescent="0.3">
      <c r="C2371" s="62"/>
      <c r="D2371" s="62"/>
    </row>
    <row r="2372" spans="3:4" x14ac:dyDescent="0.3">
      <c r="C2372" s="62"/>
      <c r="D2372" s="62"/>
    </row>
    <row r="2373" spans="3:4" x14ac:dyDescent="0.3">
      <c r="C2373" s="62"/>
      <c r="D2373" s="62"/>
    </row>
    <row r="2374" spans="3:4" x14ac:dyDescent="0.3">
      <c r="C2374" s="62"/>
      <c r="D2374" s="62"/>
    </row>
    <row r="2375" spans="3:4" x14ac:dyDescent="0.3">
      <c r="C2375" s="62"/>
      <c r="D2375" s="62"/>
    </row>
    <row r="2376" spans="3:4" x14ac:dyDescent="0.3">
      <c r="C2376" s="62"/>
      <c r="D2376" s="62"/>
    </row>
    <row r="2377" spans="3:4" x14ac:dyDescent="0.3">
      <c r="C2377" s="62"/>
      <c r="D2377" s="62"/>
    </row>
    <row r="2378" spans="3:4" x14ac:dyDescent="0.3">
      <c r="C2378" s="62"/>
      <c r="D2378" s="62"/>
    </row>
    <row r="2379" spans="3:4" x14ac:dyDescent="0.3">
      <c r="C2379" s="62"/>
      <c r="D2379" s="62"/>
    </row>
    <row r="2380" spans="3:4" x14ac:dyDescent="0.3">
      <c r="C2380" s="62"/>
      <c r="D2380" s="62"/>
    </row>
    <row r="2381" spans="3:4" x14ac:dyDescent="0.3">
      <c r="C2381" s="62"/>
      <c r="D2381" s="62"/>
    </row>
    <row r="2382" spans="3:4" x14ac:dyDescent="0.3">
      <c r="C2382" s="62"/>
      <c r="D2382" s="62"/>
    </row>
    <row r="2383" spans="3:4" x14ac:dyDescent="0.3">
      <c r="C2383" s="62"/>
      <c r="D2383" s="62"/>
    </row>
    <row r="2384" spans="3:4" x14ac:dyDescent="0.3">
      <c r="C2384" s="62"/>
      <c r="D2384" s="62"/>
    </row>
    <row r="2385" spans="3:4" x14ac:dyDescent="0.3">
      <c r="C2385" s="62"/>
      <c r="D2385" s="62"/>
    </row>
    <row r="2386" spans="3:4" x14ac:dyDescent="0.3">
      <c r="C2386" s="62"/>
      <c r="D2386" s="62"/>
    </row>
    <row r="2387" spans="3:4" x14ac:dyDescent="0.3">
      <c r="C2387" s="62"/>
      <c r="D2387" s="62"/>
    </row>
    <row r="2388" spans="3:4" x14ac:dyDescent="0.3">
      <c r="C2388" s="62"/>
      <c r="D2388" s="62"/>
    </row>
    <row r="2389" spans="3:4" x14ac:dyDescent="0.3">
      <c r="C2389" s="62"/>
      <c r="D2389" s="62"/>
    </row>
    <row r="2390" spans="3:4" x14ac:dyDescent="0.3">
      <c r="C2390" s="62"/>
      <c r="D2390" s="62"/>
    </row>
    <row r="2391" spans="3:4" x14ac:dyDescent="0.3">
      <c r="C2391" s="62"/>
      <c r="D2391" s="62"/>
    </row>
    <row r="2392" spans="3:4" x14ac:dyDescent="0.3">
      <c r="C2392" s="62"/>
      <c r="D2392" s="62"/>
    </row>
    <row r="2393" spans="3:4" x14ac:dyDescent="0.3">
      <c r="C2393" s="62"/>
      <c r="D2393" s="62"/>
    </row>
    <row r="2394" spans="3:4" x14ac:dyDescent="0.3">
      <c r="C2394" s="62"/>
      <c r="D2394" s="62"/>
    </row>
    <row r="2395" spans="3:4" x14ac:dyDescent="0.3">
      <c r="C2395" s="62"/>
      <c r="D2395" s="62"/>
    </row>
    <row r="2396" spans="3:4" x14ac:dyDescent="0.3">
      <c r="C2396" s="62"/>
      <c r="D2396" s="62"/>
    </row>
    <row r="2397" spans="3:4" x14ac:dyDescent="0.3">
      <c r="C2397" s="62"/>
      <c r="D2397" s="62"/>
    </row>
    <row r="2398" spans="3:4" x14ac:dyDescent="0.3">
      <c r="C2398" s="62"/>
      <c r="D2398" s="62"/>
    </row>
    <row r="2399" spans="3:4" x14ac:dyDescent="0.3">
      <c r="C2399" s="62"/>
      <c r="D2399" s="62"/>
    </row>
    <row r="2400" spans="3:4" x14ac:dyDescent="0.3">
      <c r="C2400" s="62"/>
      <c r="D2400" s="62"/>
    </row>
    <row r="2401" spans="3:4" x14ac:dyDescent="0.3">
      <c r="C2401" s="62"/>
      <c r="D2401" s="62"/>
    </row>
    <row r="2402" spans="3:4" x14ac:dyDescent="0.3">
      <c r="C2402" s="62"/>
      <c r="D2402" s="62"/>
    </row>
    <row r="2403" spans="3:4" x14ac:dyDescent="0.3">
      <c r="C2403" s="62"/>
      <c r="D2403" s="62"/>
    </row>
    <row r="2404" spans="3:4" x14ac:dyDescent="0.3">
      <c r="C2404" s="62"/>
      <c r="D2404" s="62"/>
    </row>
    <row r="2405" spans="3:4" x14ac:dyDescent="0.3">
      <c r="C2405" s="62"/>
      <c r="D2405" s="62"/>
    </row>
    <row r="2406" spans="3:4" x14ac:dyDescent="0.3">
      <c r="C2406" s="62"/>
      <c r="D2406" s="62"/>
    </row>
    <row r="2407" spans="3:4" x14ac:dyDescent="0.3">
      <c r="C2407" s="62"/>
      <c r="D2407" s="62"/>
    </row>
    <row r="2408" spans="3:4" x14ac:dyDescent="0.3">
      <c r="C2408" s="62"/>
      <c r="D2408" s="62"/>
    </row>
    <row r="2409" spans="3:4" x14ac:dyDescent="0.3">
      <c r="C2409" s="62"/>
      <c r="D2409" s="62"/>
    </row>
    <row r="2410" spans="3:4" x14ac:dyDescent="0.3">
      <c r="C2410" s="62"/>
      <c r="D2410" s="62"/>
    </row>
    <row r="2411" spans="3:4" x14ac:dyDescent="0.3">
      <c r="C2411" s="62"/>
      <c r="D2411" s="62"/>
    </row>
    <row r="2412" spans="3:4" x14ac:dyDescent="0.3">
      <c r="C2412" s="62"/>
      <c r="D2412" s="62"/>
    </row>
    <row r="2413" spans="3:4" x14ac:dyDescent="0.3">
      <c r="C2413" s="62"/>
      <c r="D2413" s="62"/>
    </row>
    <row r="2414" spans="3:4" x14ac:dyDescent="0.3">
      <c r="C2414" s="62"/>
      <c r="D2414" s="62"/>
    </row>
    <row r="2415" spans="3:4" x14ac:dyDescent="0.3">
      <c r="C2415" s="62"/>
      <c r="D2415" s="62"/>
    </row>
    <row r="2416" spans="3:4" x14ac:dyDescent="0.3">
      <c r="C2416" s="62"/>
      <c r="D2416" s="62"/>
    </row>
    <row r="2417" spans="3:4" x14ac:dyDescent="0.3">
      <c r="C2417" s="62"/>
      <c r="D2417" s="62"/>
    </row>
    <row r="2418" spans="3:4" x14ac:dyDescent="0.3">
      <c r="C2418" s="62"/>
      <c r="D2418" s="62"/>
    </row>
    <row r="2419" spans="3:4" x14ac:dyDescent="0.3">
      <c r="C2419" s="62"/>
      <c r="D2419" s="62"/>
    </row>
    <row r="2420" spans="3:4" x14ac:dyDescent="0.3">
      <c r="C2420" s="62"/>
      <c r="D2420" s="62"/>
    </row>
    <row r="2421" spans="3:4" x14ac:dyDescent="0.3">
      <c r="C2421" s="62"/>
      <c r="D2421" s="62"/>
    </row>
    <row r="2422" spans="3:4" x14ac:dyDescent="0.3">
      <c r="C2422" s="62"/>
      <c r="D2422" s="62"/>
    </row>
    <row r="2423" spans="3:4" x14ac:dyDescent="0.3">
      <c r="C2423" s="62"/>
      <c r="D2423" s="62"/>
    </row>
    <row r="2424" spans="3:4" x14ac:dyDescent="0.3">
      <c r="C2424" s="62"/>
      <c r="D2424" s="62"/>
    </row>
    <row r="2425" spans="3:4" x14ac:dyDescent="0.3">
      <c r="C2425" s="62"/>
      <c r="D2425" s="62"/>
    </row>
    <row r="2426" spans="3:4" x14ac:dyDescent="0.3">
      <c r="C2426" s="62"/>
      <c r="D2426" s="62"/>
    </row>
    <row r="2427" spans="3:4" x14ac:dyDescent="0.3">
      <c r="C2427" s="62"/>
      <c r="D2427" s="62"/>
    </row>
    <row r="2428" spans="3:4" x14ac:dyDescent="0.3">
      <c r="C2428" s="62"/>
      <c r="D2428" s="62"/>
    </row>
    <row r="2429" spans="3:4" x14ac:dyDescent="0.3">
      <c r="C2429" s="62"/>
      <c r="D2429" s="62"/>
    </row>
    <row r="2430" spans="3:4" x14ac:dyDescent="0.3">
      <c r="C2430" s="62"/>
      <c r="D2430" s="62"/>
    </row>
    <row r="2431" spans="3:4" x14ac:dyDescent="0.3">
      <c r="C2431" s="62"/>
      <c r="D2431" s="62"/>
    </row>
    <row r="2432" spans="3:4" x14ac:dyDescent="0.3">
      <c r="C2432" s="62"/>
      <c r="D2432" s="62"/>
    </row>
    <row r="2433" spans="3:4" x14ac:dyDescent="0.3">
      <c r="C2433" s="62"/>
      <c r="D2433" s="62"/>
    </row>
    <row r="2434" spans="3:4" x14ac:dyDescent="0.3">
      <c r="C2434" s="62"/>
      <c r="D2434" s="62"/>
    </row>
    <row r="2435" spans="3:4" x14ac:dyDescent="0.3">
      <c r="C2435" s="62"/>
      <c r="D2435" s="62"/>
    </row>
    <row r="2436" spans="3:4" x14ac:dyDescent="0.3">
      <c r="C2436" s="62"/>
      <c r="D2436" s="62"/>
    </row>
    <row r="2437" spans="3:4" x14ac:dyDescent="0.3">
      <c r="C2437" s="62"/>
      <c r="D2437" s="62"/>
    </row>
    <row r="2438" spans="3:4" x14ac:dyDescent="0.3">
      <c r="C2438" s="62"/>
      <c r="D2438" s="62"/>
    </row>
    <row r="2439" spans="3:4" x14ac:dyDescent="0.3">
      <c r="C2439" s="62"/>
      <c r="D2439" s="62"/>
    </row>
    <row r="2440" spans="3:4" x14ac:dyDescent="0.3">
      <c r="C2440" s="62"/>
      <c r="D2440" s="62"/>
    </row>
    <row r="2441" spans="3:4" x14ac:dyDescent="0.3">
      <c r="C2441" s="62"/>
      <c r="D2441" s="62"/>
    </row>
    <row r="2442" spans="3:4" x14ac:dyDescent="0.3">
      <c r="C2442" s="62"/>
      <c r="D2442" s="62"/>
    </row>
    <row r="2443" spans="3:4" x14ac:dyDescent="0.3">
      <c r="C2443" s="62"/>
      <c r="D2443" s="62"/>
    </row>
    <row r="2444" spans="3:4" x14ac:dyDescent="0.3">
      <c r="C2444" s="62"/>
      <c r="D2444" s="62"/>
    </row>
    <row r="2445" spans="3:4" x14ac:dyDescent="0.3">
      <c r="C2445" s="62"/>
      <c r="D2445" s="62"/>
    </row>
    <row r="2446" spans="3:4" x14ac:dyDescent="0.3">
      <c r="C2446" s="62"/>
      <c r="D2446" s="62"/>
    </row>
    <row r="2447" spans="3:4" x14ac:dyDescent="0.3">
      <c r="C2447" s="62"/>
      <c r="D2447" s="62"/>
    </row>
    <row r="2448" spans="3:4" x14ac:dyDescent="0.3">
      <c r="C2448" s="62"/>
      <c r="D2448" s="62"/>
    </row>
    <row r="2449" spans="3:4" x14ac:dyDescent="0.3">
      <c r="C2449" s="62"/>
      <c r="D2449" s="62"/>
    </row>
    <row r="2450" spans="3:4" x14ac:dyDescent="0.3">
      <c r="C2450" s="62"/>
      <c r="D2450" s="62"/>
    </row>
    <row r="2451" spans="3:4" x14ac:dyDescent="0.3">
      <c r="C2451" s="62"/>
      <c r="D2451" s="62"/>
    </row>
    <row r="2452" spans="3:4" x14ac:dyDescent="0.3">
      <c r="C2452" s="62"/>
      <c r="D2452" s="62"/>
    </row>
    <row r="2453" spans="3:4" x14ac:dyDescent="0.3">
      <c r="C2453" s="62"/>
      <c r="D2453" s="62"/>
    </row>
    <row r="2454" spans="3:4" x14ac:dyDescent="0.3">
      <c r="C2454" s="62"/>
      <c r="D2454" s="62"/>
    </row>
    <row r="2455" spans="3:4" x14ac:dyDescent="0.3">
      <c r="C2455" s="62"/>
      <c r="D2455" s="62"/>
    </row>
    <row r="2456" spans="3:4" x14ac:dyDescent="0.3">
      <c r="C2456" s="62"/>
      <c r="D2456" s="62"/>
    </row>
    <row r="2457" spans="3:4" x14ac:dyDescent="0.3">
      <c r="C2457" s="62"/>
      <c r="D2457" s="62"/>
    </row>
    <row r="2458" spans="3:4" x14ac:dyDescent="0.3">
      <c r="C2458" s="62"/>
      <c r="D2458" s="62"/>
    </row>
    <row r="2459" spans="3:4" x14ac:dyDescent="0.3">
      <c r="C2459" s="62"/>
      <c r="D2459" s="62"/>
    </row>
    <row r="2460" spans="3:4" x14ac:dyDescent="0.3">
      <c r="C2460" s="62"/>
      <c r="D2460" s="62"/>
    </row>
    <row r="2461" spans="3:4" x14ac:dyDescent="0.3">
      <c r="C2461" s="62"/>
      <c r="D2461" s="62"/>
    </row>
    <row r="2462" spans="3:4" x14ac:dyDescent="0.3">
      <c r="C2462" s="62"/>
      <c r="D2462" s="62"/>
    </row>
    <row r="2463" spans="3:4" x14ac:dyDescent="0.3">
      <c r="C2463" s="62"/>
      <c r="D2463" s="62"/>
    </row>
    <row r="2464" spans="3:4" x14ac:dyDescent="0.3">
      <c r="C2464" s="62"/>
      <c r="D2464" s="62"/>
    </row>
    <row r="2465" spans="3:4" x14ac:dyDescent="0.3">
      <c r="C2465" s="62"/>
      <c r="D2465" s="62"/>
    </row>
    <row r="2466" spans="3:4" x14ac:dyDescent="0.3">
      <c r="C2466" s="62"/>
      <c r="D2466" s="62"/>
    </row>
    <row r="2467" spans="3:4" x14ac:dyDescent="0.3">
      <c r="C2467" s="62"/>
      <c r="D2467" s="62"/>
    </row>
    <row r="2468" spans="3:4" x14ac:dyDescent="0.3">
      <c r="C2468" s="62"/>
      <c r="D2468" s="62"/>
    </row>
    <row r="2469" spans="3:4" x14ac:dyDescent="0.3">
      <c r="C2469" s="62"/>
      <c r="D2469" s="62"/>
    </row>
    <row r="2470" spans="3:4" x14ac:dyDescent="0.3">
      <c r="C2470" s="62"/>
      <c r="D2470" s="62"/>
    </row>
    <row r="2471" spans="3:4" x14ac:dyDescent="0.3">
      <c r="C2471" s="62"/>
      <c r="D2471" s="62"/>
    </row>
    <row r="2472" spans="3:4" x14ac:dyDescent="0.3">
      <c r="C2472" s="62"/>
      <c r="D2472" s="62"/>
    </row>
    <row r="2473" spans="3:4" x14ac:dyDescent="0.3">
      <c r="C2473" s="62"/>
      <c r="D2473" s="62"/>
    </row>
    <row r="2474" spans="3:4" x14ac:dyDescent="0.3">
      <c r="C2474" s="62"/>
      <c r="D2474" s="62"/>
    </row>
    <row r="2475" spans="3:4" x14ac:dyDescent="0.3">
      <c r="C2475" s="62"/>
      <c r="D2475" s="62"/>
    </row>
    <row r="2476" spans="3:4" x14ac:dyDescent="0.3">
      <c r="C2476" s="62"/>
      <c r="D2476" s="62"/>
    </row>
    <row r="2477" spans="3:4" x14ac:dyDescent="0.3">
      <c r="C2477" s="62"/>
      <c r="D2477" s="62"/>
    </row>
    <row r="2478" spans="3:4" x14ac:dyDescent="0.3">
      <c r="C2478" s="62"/>
      <c r="D2478" s="62"/>
    </row>
    <row r="2479" spans="3:4" x14ac:dyDescent="0.3">
      <c r="C2479" s="62"/>
      <c r="D2479" s="62"/>
    </row>
    <row r="2480" spans="3:4" x14ac:dyDescent="0.3">
      <c r="C2480" s="62"/>
      <c r="D2480" s="62"/>
    </row>
    <row r="2481" spans="3:4" x14ac:dyDescent="0.3">
      <c r="C2481" s="62"/>
      <c r="D2481" s="62"/>
    </row>
    <row r="2482" spans="3:4" x14ac:dyDescent="0.3">
      <c r="C2482" s="62"/>
      <c r="D2482" s="62"/>
    </row>
    <row r="2483" spans="3:4" x14ac:dyDescent="0.3">
      <c r="C2483" s="62"/>
      <c r="D2483" s="62"/>
    </row>
    <row r="2484" spans="3:4" x14ac:dyDescent="0.3">
      <c r="C2484" s="62"/>
      <c r="D2484" s="62"/>
    </row>
    <row r="2485" spans="3:4" x14ac:dyDescent="0.3">
      <c r="C2485" s="62"/>
      <c r="D2485" s="62"/>
    </row>
    <row r="2486" spans="3:4" x14ac:dyDescent="0.3">
      <c r="C2486" s="62"/>
      <c r="D2486" s="62"/>
    </row>
    <row r="2487" spans="3:4" x14ac:dyDescent="0.3">
      <c r="C2487" s="62"/>
      <c r="D2487" s="62"/>
    </row>
    <row r="2488" spans="3:4" x14ac:dyDescent="0.3">
      <c r="C2488" s="62"/>
      <c r="D2488" s="62"/>
    </row>
    <row r="2489" spans="3:4" x14ac:dyDescent="0.3">
      <c r="C2489" s="62"/>
      <c r="D2489" s="62"/>
    </row>
    <row r="2490" spans="3:4" x14ac:dyDescent="0.3">
      <c r="C2490" s="62"/>
      <c r="D2490" s="62"/>
    </row>
    <row r="2491" spans="3:4" x14ac:dyDescent="0.3">
      <c r="C2491" s="62"/>
      <c r="D2491" s="62"/>
    </row>
    <row r="2492" spans="3:4" x14ac:dyDescent="0.3">
      <c r="C2492" s="62"/>
      <c r="D2492" s="62"/>
    </row>
    <row r="2493" spans="3:4" x14ac:dyDescent="0.3">
      <c r="C2493" s="62"/>
      <c r="D2493" s="62"/>
    </row>
    <row r="2494" spans="3:4" x14ac:dyDescent="0.3">
      <c r="C2494" s="62"/>
      <c r="D2494" s="62"/>
    </row>
    <row r="2495" spans="3:4" x14ac:dyDescent="0.3">
      <c r="C2495" s="62"/>
      <c r="D2495" s="62"/>
    </row>
    <row r="2496" spans="3:4" x14ac:dyDescent="0.3">
      <c r="C2496" s="62"/>
      <c r="D2496" s="62"/>
    </row>
    <row r="2497" spans="3:4" x14ac:dyDescent="0.3">
      <c r="C2497" s="62"/>
      <c r="D2497" s="62"/>
    </row>
    <row r="2498" spans="3:4" x14ac:dyDescent="0.3">
      <c r="C2498" s="62"/>
      <c r="D2498" s="62"/>
    </row>
    <row r="2499" spans="3:4" x14ac:dyDescent="0.3">
      <c r="C2499" s="62"/>
      <c r="D2499" s="62"/>
    </row>
    <row r="2500" spans="3:4" x14ac:dyDescent="0.3">
      <c r="C2500" s="62"/>
      <c r="D2500" s="62"/>
    </row>
    <row r="2501" spans="3:4" x14ac:dyDescent="0.3">
      <c r="C2501" s="62"/>
      <c r="D2501" s="62"/>
    </row>
    <row r="2502" spans="3:4" x14ac:dyDescent="0.3">
      <c r="C2502" s="62"/>
      <c r="D2502" s="62"/>
    </row>
    <row r="2503" spans="3:4" x14ac:dyDescent="0.3">
      <c r="C2503" s="62"/>
      <c r="D2503" s="62"/>
    </row>
    <row r="2504" spans="3:4" x14ac:dyDescent="0.3">
      <c r="C2504" s="62"/>
      <c r="D2504" s="62"/>
    </row>
    <row r="2505" spans="3:4" x14ac:dyDescent="0.3">
      <c r="C2505" s="62"/>
      <c r="D2505" s="62"/>
    </row>
    <row r="2506" spans="3:4" x14ac:dyDescent="0.3">
      <c r="C2506" s="62"/>
      <c r="D2506" s="62"/>
    </row>
    <row r="2507" spans="3:4" x14ac:dyDescent="0.3">
      <c r="C2507" s="62"/>
      <c r="D2507" s="62"/>
    </row>
    <row r="2508" spans="3:4" x14ac:dyDescent="0.3">
      <c r="C2508" s="62"/>
      <c r="D2508" s="62"/>
    </row>
    <row r="2509" spans="3:4" x14ac:dyDescent="0.3">
      <c r="C2509" s="62"/>
      <c r="D2509" s="62"/>
    </row>
    <row r="2510" spans="3:4" x14ac:dyDescent="0.3">
      <c r="C2510" s="62"/>
      <c r="D2510" s="62"/>
    </row>
    <row r="2511" spans="3:4" x14ac:dyDescent="0.3">
      <c r="C2511" s="62"/>
      <c r="D2511" s="62"/>
    </row>
    <row r="2512" spans="3:4" x14ac:dyDescent="0.3">
      <c r="C2512" s="62"/>
      <c r="D2512" s="62"/>
    </row>
    <row r="2513" spans="3:4" x14ac:dyDescent="0.3">
      <c r="C2513" s="62"/>
      <c r="D2513" s="62"/>
    </row>
    <row r="2514" spans="3:4" x14ac:dyDescent="0.3">
      <c r="C2514" s="62"/>
      <c r="D2514" s="62"/>
    </row>
    <row r="2515" spans="3:4" x14ac:dyDescent="0.3">
      <c r="C2515" s="62"/>
      <c r="D2515" s="62"/>
    </row>
    <row r="2516" spans="3:4" x14ac:dyDescent="0.3">
      <c r="C2516" s="62"/>
      <c r="D2516" s="62"/>
    </row>
    <row r="2517" spans="3:4" x14ac:dyDescent="0.3">
      <c r="C2517" s="62"/>
      <c r="D2517" s="62"/>
    </row>
    <row r="2518" spans="3:4" x14ac:dyDescent="0.3">
      <c r="C2518" s="62"/>
      <c r="D2518" s="62"/>
    </row>
    <row r="2519" spans="3:4" x14ac:dyDescent="0.3">
      <c r="C2519" s="62"/>
      <c r="D2519" s="62"/>
    </row>
    <row r="2520" spans="3:4" x14ac:dyDescent="0.3">
      <c r="C2520" s="62"/>
      <c r="D2520" s="62"/>
    </row>
    <row r="2521" spans="3:4" x14ac:dyDescent="0.3">
      <c r="C2521" s="62"/>
      <c r="D2521" s="62"/>
    </row>
    <row r="2522" spans="3:4" x14ac:dyDescent="0.3">
      <c r="C2522" s="62"/>
      <c r="D2522" s="62"/>
    </row>
    <row r="2523" spans="3:4" x14ac:dyDescent="0.3">
      <c r="C2523" s="62"/>
      <c r="D2523" s="62"/>
    </row>
    <row r="2524" spans="3:4" x14ac:dyDescent="0.3">
      <c r="C2524" s="62"/>
      <c r="D2524" s="62"/>
    </row>
    <row r="2525" spans="3:4" x14ac:dyDescent="0.3">
      <c r="C2525" s="62"/>
      <c r="D2525" s="62"/>
    </row>
    <row r="2526" spans="3:4" x14ac:dyDescent="0.3">
      <c r="C2526" s="62"/>
      <c r="D2526" s="62"/>
    </row>
    <row r="2527" spans="3:4" x14ac:dyDescent="0.3">
      <c r="C2527" s="62"/>
      <c r="D2527" s="62"/>
    </row>
    <row r="2528" spans="3:4" x14ac:dyDescent="0.3">
      <c r="C2528" s="62"/>
      <c r="D2528" s="62"/>
    </row>
    <row r="2529" spans="3:4" x14ac:dyDescent="0.3">
      <c r="C2529" s="62"/>
      <c r="D2529" s="62"/>
    </row>
    <row r="2530" spans="3:4" x14ac:dyDescent="0.3">
      <c r="C2530" s="62"/>
      <c r="D2530" s="62"/>
    </row>
    <row r="2531" spans="3:4" x14ac:dyDescent="0.3">
      <c r="C2531" s="62"/>
      <c r="D2531" s="62"/>
    </row>
    <row r="2532" spans="3:4" x14ac:dyDescent="0.3">
      <c r="C2532" s="62"/>
      <c r="D2532" s="62"/>
    </row>
    <row r="2533" spans="3:4" x14ac:dyDescent="0.3">
      <c r="C2533" s="62"/>
      <c r="D2533" s="62"/>
    </row>
    <row r="2534" spans="3:4" x14ac:dyDescent="0.3">
      <c r="C2534" s="62"/>
      <c r="D2534" s="62"/>
    </row>
    <row r="2535" spans="3:4" x14ac:dyDescent="0.3">
      <c r="C2535" s="62"/>
      <c r="D2535" s="62"/>
    </row>
    <row r="2536" spans="3:4" x14ac:dyDescent="0.3">
      <c r="C2536" s="62"/>
      <c r="D2536" s="62"/>
    </row>
    <row r="2537" spans="3:4" x14ac:dyDescent="0.3">
      <c r="C2537" s="62"/>
      <c r="D2537" s="62"/>
    </row>
    <row r="2538" spans="3:4" x14ac:dyDescent="0.3">
      <c r="C2538" s="62"/>
      <c r="D2538" s="62"/>
    </row>
    <row r="2539" spans="3:4" x14ac:dyDescent="0.3">
      <c r="C2539" s="62"/>
      <c r="D2539" s="62"/>
    </row>
    <row r="2540" spans="3:4" x14ac:dyDescent="0.3">
      <c r="C2540" s="62"/>
      <c r="D2540" s="62"/>
    </row>
    <row r="2541" spans="3:4" x14ac:dyDescent="0.3">
      <c r="C2541" s="62"/>
      <c r="D2541" s="62"/>
    </row>
    <row r="2542" spans="3:4" x14ac:dyDescent="0.3">
      <c r="C2542" s="62"/>
      <c r="D2542" s="62"/>
    </row>
    <row r="2543" spans="3:4" x14ac:dyDescent="0.3">
      <c r="C2543" s="62"/>
      <c r="D2543" s="62"/>
    </row>
    <row r="2544" spans="3:4" x14ac:dyDescent="0.3">
      <c r="C2544" s="62"/>
      <c r="D2544" s="62"/>
    </row>
    <row r="2545" spans="3:4" x14ac:dyDescent="0.3">
      <c r="C2545" s="62"/>
      <c r="D2545" s="62"/>
    </row>
    <row r="2546" spans="3:4" x14ac:dyDescent="0.3">
      <c r="C2546" s="62"/>
      <c r="D2546" s="62"/>
    </row>
    <row r="2547" spans="3:4" x14ac:dyDescent="0.3">
      <c r="C2547" s="62"/>
      <c r="D2547" s="62"/>
    </row>
    <row r="2548" spans="3:4" x14ac:dyDescent="0.3">
      <c r="C2548" s="62"/>
      <c r="D2548" s="62"/>
    </row>
    <row r="2549" spans="3:4" x14ac:dyDescent="0.3">
      <c r="C2549" s="62"/>
      <c r="D2549" s="62"/>
    </row>
    <row r="2550" spans="3:4" x14ac:dyDescent="0.3">
      <c r="C2550" s="62"/>
      <c r="D2550" s="62"/>
    </row>
    <row r="2551" spans="3:4" x14ac:dyDescent="0.3">
      <c r="C2551" s="62"/>
      <c r="D2551" s="62"/>
    </row>
    <row r="2552" spans="3:4" x14ac:dyDescent="0.3">
      <c r="C2552" s="62"/>
      <c r="D2552" s="62"/>
    </row>
    <row r="2553" spans="3:4" x14ac:dyDescent="0.3">
      <c r="C2553" s="62"/>
      <c r="D2553" s="62"/>
    </row>
    <row r="2554" spans="3:4" x14ac:dyDescent="0.3">
      <c r="C2554" s="62"/>
      <c r="D2554" s="62"/>
    </row>
    <row r="2555" spans="3:4" x14ac:dyDescent="0.3">
      <c r="C2555" s="62"/>
      <c r="D2555" s="62"/>
    </row>
    <row r="2556" spans="3:4" x14ac:dyDescent="0.3">
      <c r="C2556" s="62"/>
      <c r="D2556" s="62"/>
    </row>
    <row r="2557" spans="3:4" x14ac:dyDescent="0.3">
      <c r="C2557" s="62"/>
      <c r="D2557" s="62"/>
    </row>
    <row r="2558" spans="3:4" x14ac:dyDescent="0.3">
      <c r="C2558" s="62"/>
      <c r="D2558" s="62"/>
    </row>
    <row r="2559" spans="3:4" x14ac:dyDescent="0.3">
      <c r="C2559" s="62"/>
      <c r="D2559" s="62"/>
    </row>
    <row r="2560" spans="3:4" x14ac:dyDescent="0.3">
      <c r="C2560" s="62"/>
      <c r="D2560" s="62"/>
    </row>
    <row r="2561" spans="3:4" x14ac:dyDescent="0.3">
      <c r="C2561" s="62"/>
      <c r="D2561" s="62"/>
    </row>
    <row r="2562" spans="3:4" x14ac:dyDescent="0.3">
      <c r="C2562" s="62"/>
      <c r="D2562" s="62"/>
    </row>
    <row r="2563" spans="3:4" x14ac:dyDescent="0.3">
      <c r="C2563" s="62"/>
      <c r="D2563" s="62"/>
    </row>
    <row r="2564" spans="3:4" x14ac:dyDescent="0.3">
      <c r="C2564" s="62"/>
      <c r="D2564" s="62"/>
    </row>
    <row r="2565" spans="3:4" x14ac:dyDescent="0.3">
      <c r="C2565" s="62"/>
      <c r="D2565" s="62"/>
    </row>
    <row r="2566" spans="3:4" x14ac:dyDescent="0.3">
      <c r="C2566" s="62"/>
      <c r="D2566" s="62"/>
    </row>
    <row r="2567" spans="3:4" x14ac:dyDescent="0.3">
      <c r="C2567" s="62"/>
      <c r="D2567" s="62"/>
    </row>
    <row r="2568" spans="3:4" x14ac:dyDescent="0.3">
      <c r="C2568" s="62"/>
      <c r="D2568" s="62"/>
    </row>
    <row r="2569" spans="3:4" x14ac:dyDescent="0.3">
      <c r="C2569" s="62"/>
      <c r="D2569" s="62"/>
    </row>
    <row r="2570" spans="3:4" x14ac:dyDescent="0.3">
      <c r="C2570" s="62"/>
      <c r="D2570" s="62"/>
    </row>
    <row r="2571" spans="3:4" x14ac:dyDescent="0.3">
      <c r="C2571" s="62"/>
      <c r="D2571" s="62"/>
    </row>
    <row r="2572" spans="3:4" x14ac:dyDescent="0.3">
      <c r="C2572" s="62"/>
      <c r="D2572" s="62"/>
    </row>
    <row r="2573" spans="3:4" x14ac:dyDescent="0.3">
      <c r="C2573" s="62"/>
      <c r="D2573" s="62"/>
    </row>
    <row r="2574" spans="3:4" x14ac:dyDescent="0.3">
      <c r="C2574" s="62"/>
      <c r="D2574" s="62"/>
    </row>
    <row r="2575" spans="3:4" x14ac:dyDescent="0.3">
      <c r="C2575" s="62"/>
      <c r="D2575" s="62"/>
    </row>
    <row r="2576" spans="3:4" x14ac:dyDescent="0.3">
      <c r="C2576" s="62"/>
      <c r="D2576" s="62"/>
    </row>
    <row r="2577" spans="3:4" x14ac:dyDescent="0.3">
      <c r="C2577" s="62"/>
      <c r="D2577" s="62"/>
    </row>
    <row r="2578" spans="3:4" x14ac:dyDescent="0.3">
      <c r="C2578" s="62"/>
      <c r="D2578" s="62"/>
    </row>
    <row r="2579" spans="3:4" x14ac:dyDescent="0.3">
      <c r="C2579" s="62"/>
      <c r="D2579" s="62"/>
    </row>
    <row r="2580" spans="3:4" x14ac:dyDescent="0.3">
      <c r="C2580" s="62"/>
      <c r="D2580" s="62"/>
    </row>
    <row r="2581" spans="3:4" x14ac:dyDescent="0.3">
      <c r="C2581" s="62"/>
      <c r="D2581" s="62"/>
    </row>
    <row r="2582" spans="3:4" x14ac:dyDescent="0.3">
      <c r="C2582" s="62"/>
      <c r="D2582" s="62"/>
    </row>
    <row r="2583" spans="3:4" x14ac:dyDescent="0.3">
      <c r="C2583" s="62"/>
      <c r="D2583" s="62"/>
    </row>
    <row r="2584" spans="3:4" x14ac:dyDescent="0.3">
      <c r="C2584" s="62"/>
      <c r="D2584" s="62"/>
    </row>
    <row r="2585" spans="3:4" x14ac:dyDescent="0.3">
      <c r="C2585" s="62"/>
      <c r="D2585" s="62"/>
    </row>
    <row r="2586" spans="3:4" x14ac:dyDescent="0.3">
      <c r="C2586" s="62"/>
      <c r="D2586" s="62"/>
    </row>
    <row r="2587" spans="3:4" x14ac:dyDescent="0.3">
      <c r="C2587" s="62"/>
      <c r="D2587" s="62"/>
    </row>
    <row r="2588" spans="3:4" x14ac:dyDescent="0.3">
      <c r="C2588" s="62"/>
      <c r="D2588" s="62"/>
    </row>
    <row r="2589" spans="3:4" x14ac:dyDescent="0.3">
      <c r="C2589" s="62"/>
      <c r="D2589" s="62"/>
    </row>
    <row r="2590" spans="3:4" x14ac:dyDescent="0.3">
      <c r="C2590" s="62"/>
      <c r="D2590" s="62"/>
    </row>
    <row r="2591" spans="3:4" x14ac:dyDescent="0.3">
      <c r="C2591" s="62"/>
      <c r="D2591" s="62"/>
    </row>
    <row r="2592" spans="3:4" x14ac:dyDescent="0.3">
      <c r="C2592" s="62"/>
      <c r="D2592" s="62"/>
    </row>
    <row r="2593" spans="3:4" x14ac:dyDescent="0.3">
      <c r="C2593" s="62"/>
      <c r="D2593" s="62"/>
    </row>
    <row r="2594" spans="3:4" x14ac:dyDescent="0.3">
      <c r="C2594" s="62"/>
      <c r="D2594" s="62"/>
    </row>
    <row r="2595" spans="3:4" x14ac:dyDescent="0.3">
      <c r="C2595" s="62"/>
      <c r="D2595" s="62"/>
    </row>
    <row r="2596" spans="3:4" x14ac:dyDescent="0.3">
      <c r="C2596" s="62"/>
      <c r="D2596" s="62"/>
    </row>
    <row r="2597" spans="3:4" x14ac:dyDescent="0.3">
      <c r="C2597" s="62"/>
      <c r="D2597" s="62"/>
    </row>
    <row r="2598" spans="3:4" x14ac:dyDescent="0.3">
      <c r="C2598" s="62"/>
      <c r="D2598" s="62"/>
    </row>
    <row r="2599" spans="3:4" x14ac:dyDescent="0.3">
      <c r="C2599" s="62"/>
      <c r="D2599" s="62"/>
    </row>
    <row r="2600" spans="3:4" x14ac:dyDescent="0.3">
      <c r="C2600" s="62"/>
      <c r="D2600" s="62"/>
    </row>
    <row r="2601" spans="3:4" x14ac:dyDescent="0.3">
      <c r="C2601" s="62"/>
      <c r="D2601" s="62"/>
    </row>
    <row r="2602" spans="3:4" x14ac:dyDescent="0.3">
      <c r="C2602" s="62"/>
      <c r="D2602" s="62"/>
    </row>
    <row r="2603" spans="3:4" x14ac:dyDescent="0.3">
      <c r="C2603" s="62"/>
      <c r="D2603" s="62"/>
    </row>
    <row r="2604" spans="3:4" x14ac:dyDescent="0.3">
      <c r="C2604" s="62"/>
      <c r="D2604" s="62"/>
    </row>
    <row r="2605" spans="3:4" x14ac:dyDescent="0.3">
      <c r="C2605" s="62"/>
      <c r="D2605" s="62"/>
    </row>
    <row r="2606" spans="3:4" x14ac:dyDescent="0.3">
      <c r="C2606" s="62"/>
      <c r="D2606" s="62"/>
    </row>
    <row r="2607" spans="3:4" x14ac:dyDescent="0.3">
      <c r="C2607" s="62"/>
      <c r="D2607" s="62"/>
    </row>
    <row r="2608" spans="3:4" x14ac:dyDescent="0.3">
      <c r="C2608" s="62"/>
      <c r="D2608" s="62"/>
    </row>
    <row r="2609" spans="3:4" x14ac:dyDescent="0.3">
      <c r="C2609" s="62"/>
      <c r="D2609" s="62"/>
    </row>
    <row r="2610" spans="3:4" x14ac:dyDescent="0.3">
      <c r="C2610" s="62"/>
      <c r="D2610" s="62"/>
    </row>
    <row r="2611" spans="3:4" x14ac:dyDescent="0.3">
      <c r="C2611" s="62"/>
      <c r="D2611" s="62"/>
    </row>
    <row r="2612" spans="3:4" x14ac:dyDescent="0.3">
      <c r="C2612" s="62"/>
      <c r="D2612" s="62"/>
    </row>
    <row r="2613" spans="3:4" x14ac:dyDescent="0.3">
      <c r="C2613" s="62"/>
      <c r="D2613" s="62"/>
    </row>
    <row r="2614" spans="3:4" x14ac:dyDescent="0.3">
      <c r="C2614" s="62"/>
      <c r="D2614" s="62"/>
    </row>
    <row r="2615" spans="3:4" x14ac:dyDescent="0.3">
      <c r="C2615" s="62"/>
      <c r="D2615" s="62"/>
    </row>
    <row r="2616" spans="3:4" x14ac:dyDescent="0.3">
      <c r="C2616" s="62"/>
      <c r="D2616" s="62"/>
    </row>
    <row r="2617" spans="3:4" x14ac:dyDescent="0.3">
      <c r="C2617" s="62"/>
      <c r="D2617" s="62"/>
    </row>
    <row r="2618" spans="3:4" x14ac:dyDescent="0.3">
      <c r="C2618" s="62"/>
      <c r="D2618" s="62"/>
    </row>
    <row r="2619" spans="3:4" x14ac:dyDescent="0.3">
      <c r="C2619" s="62"/>
      <c r="D2619" s="62"/>
    </row>
    <row r="2620" spans="3:4" x14ac:dyDescent="0.3">
      <c r="C2620" s="62"/>
      <c r="D2620" s="62"/>
    </row>
    <row r="2621" spans="3:4" x14ac:dyDescent="0.3">
      <c r="C2621" s="62"/>
      <c r="D2621" s="62"/>
    </row>
    <row r="2622" spans="3:4" x14ac:dyDescent="0.3">
      <c r="C2622" s="62"/>
      <c r="D2622" s="62"/>
    </row>
    <row r="2623" spans="3:4" x14ac:dyDescent="0.3">
      <c r="C2623" s="62"/>
      <c r="D2623" s="62"/>
    </row>
    <row r="2624" spans="3:4" x14ac:dyDescent="0.3">
      <c r="C2624" s="62"/>
      <c r="D2624" s="62"/>
    </row>
    <row r="2625" spans="3:4" x14ac:dyDescent="0.3">
      <c r="C2625" s="62"/>
      <c r="D2625" s="62"/>
    </row>
    <row r="2626" spans="3:4" x14ac:dyDescent="0.3">
      <c r="C2626" s="62"/>
      <c r="D2626" s="62"/>
    </row>
    <row r="2627" spans="3:4" x14ac:dyDescent="0.3">
      <c r="C2627" s="62"/>
      <c r="D2627" s="62"/>
    </row>
    <row r="2628" spans="3:4" x14ac:dyDescent="0.3">
      <c r="C2628" s="62"/>
      <c r="D2628" s="62"/>
    </row>
    <row r="2629" spans="3:4" x14ac:dyDescent="0.3">
      <c r="C2629" s="62"/>
      <c r="D2629" s="62"/>
    </row>
    <row r="2630" spans="3:4" x14ac:dyDescent="0.3">
      <c r="C2630" s="62"/>
      <c r="D2630" s="62"/>
    </row>
    <row r="2631" spans="3:4" x14ac:dyDescent="0.3">
      <c r="C2631" s="62"/>
      <c r="D2631" s="62"/>
    </row>
    <row r="2632" spans="3:4" x14ac:dyDescent="0.3">
      <c r="C2632" s="62"/>
      <c r="D2632" s="62"/>
    </row>
    <row r="2633" spans="3:4" x14ac:dyDescent="0.3">
      <c r="C2633" s="62"/>
      <c r="D2633" s="62"/>
    </row>
    <row r="2634" spans="3:4" x14ac:dyDescent="0.3">
      <c r="C2634" s="62"/>
      <c r="D2634" s="62"/>
    </row>
    <row r="2635" spans="3:4" x14ac:dyDescent="0.3">
      <c r="C2635" s="62"/>
      <c r="D2635" s="62"/>
    </row>
    <row r="2636" spans="3:4" x14ac:dyDescent="0.3">
      <c r="C2636" s="62"/>
      <c r="D2636" s="62"/>
    </row>
    <row r="2637" spans="3:4" x14ac:dyDescent="0.3">
      <c r="C2637" s="62"/>
      <c r="D2637" s="62"/>
    </row>
    <row r="2638" spans="3:4" x14ac:dyDescent="0.3">
      <c r="C2638" s="62"/>
      <c r="D2638" s="62"/>
    </row>
    <row r="2639" spans="3:4" x14ac:dyDescent="0.3">
      <c r="C2639" s="62"/>
      <c r="D2639" s="62"/>
    </row>
    <row r="2640" spans="3:4" x14ac:dyDescent="0.3">
      <c r="C2640" s="62"/>
      <c r="D2640" s="62"/>
    </row>
    <row r="2641" spans="3:4" x14ac:dyDescent="0.3">
      <c r="C2641" s="62"/>
      <c r="D2641" s="62"/>
    </row>
    <row r="2642" spans="3:4" x14ac:dyDescent="0.3">
      <c r="C2642" s="62"/>
      <c r="D2642" s="62"/>
    </row>
    <row r="2643" spans="3:4" x14ac:dyDescent="0.3">
      <c r="C2643" s="62"/>
      <c r="D2643" s="62"/>
    </row>
    <row r="2644" spans="3:4" x14ac:dyDescent="0.3">
      <c r="C2644" s="62"/>
      <c r="D2644" s="62"/>
    </row>
    <row r="2645" spans="3:4" x14ac:dyDescent="0.3">
      <c r="C2645" s="62"/>
      <c r="D2645" s="62"/>
    </row>
    <row r="2646" spans="3:4" x14ac:dyDescent="0.3">
      <c r="C2646" s="62"/>
      <c r="D2646" s="62"/>
    </row>
    <row r="2647" spans="3:4" x14ac:dyDescent="0.3">
      <c r="C2647" s="62"/>
      <c r="D2647" s="62"/>
    </row>
    <row r="2648" spans="3:4" x14ac:dyDescent="0.3">
      <c r="C2648" s="62"/>
      <c r="D2648" s="62"/>
    </row>
    <row r="2649" spans="3:4" x14ac:dyDescent="0.3">
      <c r="C2649" s="62"/>
      <c r="D2649" s="62"/>
    </row>
    <row r="2650" spans="3:4" x14ac:dyDescent="0.3">
      <c r="C2650" s="62"/>
      <c r="D2650" s="62"/>
    </row>
    <row r="2651" spans="3:4" x14ac:dyDescent="0.3">
      <c r="C2651" s="62"/>
      <c r="D2651" s="62"/>
    </row>
    <row r="2652" spans="3:4" x14ac:dyDescent="0.3">
      <c r="C2652" s="62"/>
      <c r="D2652" s="62"/>
    </row>
    <row r="2653" spans="3:4" x14ac:dyDescent="0.3">
      <c r="C2653" s="62"/>
      <c r="D2653" s="62"/>
    </row>
    <row r="2654" spans="3:4" x14ac:dyDescent="0.3">
      <c r="C2654" s="62"/>
      <c r="D2654" s="62"/>
    </row>
    <row r="2655" spans="3:4" x14ac:dyDescent="0.3">
      <c r="C2655" s="62"/>
      <c r="D2655" s="62"/>
    </row>
    <row r="2656" spans="3:4" x14ac:dyDescent="0.3">
      <c r="C2656" s="62"/>
      <c r="D2656" s="62"/>
    </row>
    <row r="2657" spans="3:4" x14ac:dyDescent="0.3">
      <c r="C2657" s="62"/>
      <c r="D2657" s="62"/>
    </row>
    <row r="2658" spans="3:4" x14ac:dyDescent="0.3">
      <c r="C2658" s="62"/>
      <c r="D2658" s="62"/>
    </row>
    <row r="2659" spans="3:4" x14ac:dyDescent="0.3">
      <c r="C2659" s="62"/>
      <c r="D2659" s="62"/>
    </row>
    <row r="2660" spans="3:4" x14ac:dyDescent="0.3">
      <c r="C2660" s="62"/>
      <c r="D2660" s="62"/>
    </row>
    <row r="2661" spans="3:4" x14ac:dyDescent="0.3">
      <c r="C2661" s="62"/>
      <c r="D2661" s="62"/>
    </row>
    <row r="2662" spans="3:4" x14ac:dyDescent="0.3">
      <c r="C2662" s="62"/>
      <c r="D2662" s="62"/>
    </row>
    <row r="2663" spans="3:4" x14ac:dyDescent="0.3">
      <c r="C2663" s="62"/>
      <c r="D2663" s="62"/>
    </row>
    <row r="2664" spans="3:4" x14ac:dyDescent="0.3">
      <c r="C2664" s="62"/>
      <c r="D2664" s="62"/>
    </row>
    <row r="2665" spans="3:4" x14ac:dyDescent="0.3">
      <c r="C2665" s="62"/>
      <c r="D2665" s="62"/>
    </row>
    <row r="2666" spans="3:4" x14ac:dyDescent="0.3">
      <c r="C2666" s="62"/>
      <c r="D2666" s="62"/>
    </row>
    <row r="2667" spans="3:4" x14ac:dyDescent="0.3">
      <c r="C2667" s="62"/>
      <c r="D2667" s="62"/>
    </row>
    <row r="2668" spans="3:4" x14ac:dyDescent="0.3">
      <c r="C2668" s="62"/>
      <c r="D2668" s="62"/>
    </row>
    <row r="2669" spans="3:4" x14ac:dyDescent="0.3">
      <c r="C2669" s="62"/>
      <c r="D2669" s="62"/>
    </row>
    <row r="2670" spans="3:4" x14ac:dyDescent="0.3">
      <c r="C2670" s="62"/>
      <c r="D2670" s="62"/>
    </row>
    <row r="2671" spans="3:4" x14ac:dyDescent="0.3">
      <c r="C2671" s="62"/>
      <c r="D2671" s="62"/>
    </row>
    <row r="2672" spans="3:4" x14ac:dyDescent="0.3">
      <c r="C2672" s="62"/>
      <c r="D2672" s="62"/>
    </row>
    <row r="2673" spans="3:4" x14ac:dyDescent="0.3">
      <c r="C2673" s="62"/>
      <c r="D2673" s="62"/>
    </row>
    <row r="2674" spans="3:4" x14ac:dyDescent="0.3">
      <c r="C2674" s="62"/>
      <c r="D2674" s="62"/>
    </row>
    <row r="2675" spans="3:4" x14ac:dyDescent="0.3">
      <c r="C2675" s="62"/>
      <c r="D2675" s="62"/>
    </row>
    <row r="2676" spans="3:4" x14ac:dyDescent="0.3">
      <c r="C2676" s="62"/>
      <c r="D2676" s="62"/>
    </row>
    <row r="2677" spans="3:4" x14ac:dyDescent="0.3">
      <c r="C2677" s="62"/>
      <c r="D2677" s="62"/>
    </row>
    <row r="2678" spans="3:4" x14ac:dyDescent="0.3">
      <c r="C2678" s="62"/>
      <c r="D2678" s="62"/>
    </row>
    <row r="2679" spans="3:4" x14ac:dyDescent="0.3">
      <c r="C2679" s="62"/>
      <c r="D2679" s="62"/>
    </row>
    <row r="2680" spans="3:4" x14ac:dyDescent="0.3">
      <c r="C2680" s="62"/>
      <c r="D2680" s="62"/>
    </row>
    <row r="2681" spans="3:4" x14ac:dyDescent="0.3">
      <c r="C2681" s="62"/>
      <c r="D2681" s="62"/>
    </row>
    <row r="2682" spans="3:4" x14ac:dyDescent="0.3">
      <c r="C2682" s="62"/>
      <c r="D2682" s="62"/>
    </row>
    <row r="2683" spans="3:4" x14ac:dyDescent="0.3">
      <c r="C2683" s="62"/>
      <c r="D2683" s="62"/>
    </row>
    <row r="2684" spans="3:4" x14ac:dyDescent="0.3">
      <c r="C2684" s="62"/>
      <c r="D2684" s="62"/>
    </row>
    <row r="2685" spans="3:4" x14ac:dyDescent="0.3">
      <c r="C2685" s="62"/>
      <c r="D2685" s="62"/>
    </row>
    <row r="2686" spans="3:4" x14ac:dyDescent="0.3">
      <c r="C2686" s="62"/>
      <c r="D2686" s="62"/>
    </row>
    <row r="2687" spans="3:4" x14ac:dyDescent="0.3">
      <c r="C2687" s="62"/>
      <c r="D2687" s="62"/>
    </row>
    <row r="2688" spans="3:4" x14ac:dyDescent="0.3">
      <c r="C2688" s="62"/>
      <c r="D2688" s="62"/>
    </row>
    <row r="2689" spans="3:4" x14ac:dyDescent="0.3">
      <c r="C2689" s="62"/>
      <c r="D2689" s="62"/>
    </row>
    <row r="2690" spans="3:4" x14ac:dyDescent="0.3">
      <c r="C2690" s="62"/>
      <c r="D2690" s="62"/>
    </row>
    <row r="2691" spans="3:4" x14ac:dyDescent="0.3">
      <c r="C2691" s="62"/>
      <c r="D2691" s="62"/>
    </row>
    <row r="2692" spans="3:4" x14ac:dyDescent="0.3">
      <c r="C2692" s="62"/>
      <c r="D2692" s="62"/>
    </row>
    <row r="2693" spans="3:4" x14ac:dyDescent="0.3">
      <c r="C2693" s="62"/>
      <c r="D2693" s="62"/>
    </row>
    <row r="2694" spans="3:4" x14ac:dyDescent="0.3">
      <c r="C2694" s="62"/>
      <c r="D2694" s="62"/>
    </row>
    <row r="2695" spans="3:4" x14ac:dyDescent="0.3">
      <c r="C2695" s="62"/>
      <c r="D2695" s="62"/>
    </row>
    <row r="2696" spans="3:4" x14ac:dyDescent="0.3">
      <c r="C2696" s="62"/>
      <c r="D2696" s="62"/>
    </row>
    <row r="2697" spans="3:4" x14ac:dyDescent="0.3">
      <c r="C2697" s="62"/>
      <c r="D2697" s="62"/>
    </row>
    <row r="2698" spans="3:4" x14ac:dyDescent="0.3">
      <c r="C2698" s="62"/>
      <c r="D2698" s="62"/>
    </row>
    <row r="2699" spans="3:4" x14ac:dyDescent="0.3">
      <c r="C2699" s="62"/>
      <c r="D2699" s="62"/>
    </row>
    <row r="2700" spans="3:4" x14ac:dyDescent="0.3">
      <c r="C2700" s="62"/>
      <c r="D2700" s="62"/>
    </row>
    <row r="2701" spans="3:4" x14ac:dyDescent="0.3">
      <c r="C2701" s="62"/>
      <c r="D2701" s="62"/>
    </row>
    <row r="2702" spans="3:4" x14ac:dyDescent="0.3">
      <c r="C2702" s="62"/>
      <c r="D2702" s="62"/>
    </row>
    <row r="2703" spans="3:4" x14ac:dyDescent="0.3">
      <c r="C2703" s="62"/>
      <c r="D2703" s="62"/>
    </row>
    <row r="2704" spans="3:4" x14ac:dyDescent="0.3">
      <c r="C2704" s="62"/>
      <c r="D2704" s="62"/>
    </row>
    <row r="2705" spans="3:4" x14ac:dyDescent="0.3">
      <c r="C2705" s="62"/>
      <c r="D2705" s="62"/>
    </row>
    <row r="2706" spans="3:4" x14ac:dyDescent="0.3">
      <c r="C2706" s="62"/>
      <c r="D2706" s="62"/>
    </row>
    <row r="2707" spans="3:4" x14ac:dyDescent="0.3">
      <c r="C2707" s="62"/>
      <c r="D2707" s="62"/>
    </row>
    <row r="2708" spans="3:4" x14ac:dyDescent="0.3">
      <c r="C2708" s="62"/>
      <c r="D2708" s="62"/>
    </row>
    <row r="2709" spans="3:4" x14ac:dyDescent="0.3">
      <c r="C2709" s="62"/>
      <c r="D2709" s="62"/>
    </row>
    <row r="2710" spans="3:4" x14ac:dyDescent="0.3">
      <c r="C2710" s="62"/>
      <c r="D2710" s="62"/>
    </row>
    <row r="2711" spans="3:4" x14ac:dyDescent="0.3">
      <c r="C2711" s="62"/>
      <c r="D2711" s="62"/>
    </row>
    <row r="2712" spans="3:4" x14ac:dyDescent="0.3">
      <c r="C2712" s="62"/>
      <c r="D2712" s="62"/>
    </row>
    <row r="2713" spans="3:4" x14ac:dyDescent="0.3">
      <c r="C2713" s="62"/>
      <c r="D2713" s="62"/>
    </row>
    <row r="2714" spans="3:4" x14ac:dyDescent="0.3">
      <c r="C2714" s="62"/>
      <c r="D2714" s="62"/>
    </row>
    <row r="2715" spans="3:4" x14ac:dyDescent="0.3">
      <c r="C2715" s="62"/>
      <c r="D2715" s="62"/>
    </row>
    <row r="2716" spans="3:4" x14ac:dyDescent="0.3">
      <c r="C2716" s="62"/>
      <c r="D2716" s="62"/>
    </row>
    <row r="2717" spans="3:4" x14ac:dyDescent="0.3">
      <c r="C2717" s="62"/>
      <c r="D2717" s="62"/>
    </row>
    <row r="2718" spans="3:4" x14ac:dyDescent="0.3">
      <c r="C2718" s="62"/>
      <c r="D2718" s="62"/>
    </row>
    <row r="2719" spans="3:4" x14ac:dyDescent="0.3">
      <c r="C2719" s="62"/>
      <c r="D2719" s="62"/>
    </row>
    <row r="2720" spans="3:4" x14ac:dyDescent="0.3">
      <c r="C2720" s="62"/>
      <c r="D2720" s="62"/>
    </row>
    <row r="2721" spans="3:4" x14ac:dyDescent="0.3">
      <c r="C2721" s="62"/>
      <c r="D2721" s="62"/>
    </row>
    <row r="2722" spans="3:4" x14ac:dyDescent="0.3">
      <c r="C2722" s="62"/>
      <c r="D2722" s="62"/>
    </row>
    <row r="2723" spans="3:4" x14ac:dyDescent="0.3">
      <c r="C2723" s="62"/>
      <c r="D2723" s="62"/>
    </row>
    <row r="2724" spans="3:4" x14ac:dyDescent="0.3">
      <c r="C2724" s="62"/>
      <c r="D2724" s="62"/>
    </row>
    <row r="2725" spans="3:4" x14ac:dyDescent="0.3">
      <c r="C2725" s="62"/>
      <c r="D2725" s="62"/>
    </row>
    <row r="2726" spans="3:4" x14ac:dyDescent="0.3">
      <c r="C2726" s="62"/>
      <c r="D2726" s="62"/>
    </row>
    <row r="2727" spans="3:4" x14ac:dyDescent="0.3">
      <c r="C2727" s="62"/>
      <c r="D2727" s="62"/>
    </row>
    <row r="2728" spans="3:4" x14ac:dyDescent="0.3">
      <c r="C2728" s="62"/>
      <c r="D2728" s="62"/>
    </row>
    <row r="2729" spans="3:4" x14ac:dyDescent="0.3">
      <c r="C2729" s="62"/>
      <c r="D2729" s="62"/>
    </row>
    <row r="2730" spans="3:4" x14ac:dyDescent="0.3">
      <c r="C2730" s="62"/>
      <c r="D2730" s="62"/>
    </row>
    <row r="2731" spans="3:4" x14ac:dyDescent="0.3">
      <c r="C2731" s="62"/>
      <c r="D2731" s="62"/>
    </row>
    <row r="2732" spans="3:4" x14ac:dyDescent="0.3">
      <c r="C2732" s="62"/>
      <c r="D2732" s="62"/>
    </row>
    <row r="2733" spans="3:4" x14ac:dyDescent="0.3">
      <c r="C2733" s="62"/>
      <c r="D2733" s="62"/>
    </row>
    <row r="2734" spans="3:4" x14ac:dyDescent="0.3">
      <c r="C2734" s="62"/>
      <c r="D2734" s="62"/>
    </row>
    <row r="2735" spans="3:4" x14ac:dyDescent="0.3">
      <c r="C2735" s="62"/>
      <c r="D2735" s="62"/>
    </row>
    <row r="2736" spans="3:4" x14ac:dyDescent="0.3">
      <c r="C2736" s="62"/>
      <c r="D2736" s="62"/>
    </row>
    <row r="2737" spans="3:4" x14ac:dyDescent="0.3">
      <c r="C2737" s="62"/>
      <c r="D2737" s="62"/>
    </row>
    <row r="2738" spans="3:4" x14ac:dyDescent="0.3">
      <c r="C2738" s="62"/>
      <c r="D2738" s="62"/>
    </row>
    <row r="2739" spans="3:4" x14ac:dyDescent="0.3">
      <c r="C2739" s="62"/>
      <c r="D2739" s="62"/>
    </row>
    <row r="2740" spans="3:4" x14ac:dyDescent="0.3">
      <c r="C2740" s="62"/>
      <c r="D2740" s="62"/>
    </row>
    <row r="2741" spans="3:4" x14ac:dyDescent="0.3">
      <c r="C2741" s="62"/>
      <c r="D2741" s="62"/>
    </row>
    <row r="2742" spans="3:4" x14ac:dyDescent="0.3">
      <c r="C2742" s="62"/>
      <c r="D2742" s="62"/>
    </row>
    <row r="2743" spans="3:4" x14ac:dyDescent="0.3">
      <c r="C2743" s="62"/>
      <c r="D2743" s="62"/>
    </row>
    <row r="2744" spans="3:4" x14ac:dyDescent="0.3">
      <c r="C2744" s="62"/>
      <c r="D2744" s="62"/>
    </row>
    <row r="2745" spans="3:4" x14ac:dyDescent="0.3">
      <c r="C2745" s="62"/>
      <c r="D2745" s="62"/>
    </row>
    <row r="2746" spans="3:4" x14ac:dyDescent="0.3">
      <c r="C2746" s="62"/>
      <c r="D2746" s="62"/>
    </row>
    <row r="2747" spans="3:4" x14ac:dyDescent="0.3">
      <c r="C2747" s="62"/>
      <c r="D2747" s="62"/>
    </row>
    <row r="2748" spans="3:4" x14ac:dyDescent="0.3">
      <c r="C2748" s="62"/>
      <c r="D2748" s="62"/>
    </row>
    <row r="2749" spans="3:4" x14ac:dyDescent="0.3">
      <c r="C2749" s="62"/>
      <c r="D2749" s="62"/>
    </row>
    <row r="2750" spans="3:4" x14ac:dyDescent="0.3">
      <c r="C2750" s="62"/>
      <c r="D2750" s="62"/>
    </row>
    <row r="2751" spans="3:4" x14ac:dyDescent="0.3">
      <c r="C2751" s="62"/>
      <c r="D2751" s="62"/>
    </row>
    <row r="2752" spans="3:4" x14ac:dyDescent="0.3">
      <c r="C2752" s="62"/>
      <c r="D2752" s="62"/>
    </row>
    <row r="2753" spans="3:4" x14ac:dyDescent="0.3">
      <c r="C2753" s="62"/>
      <c r="D2753" s="62"/>
    </row>
    <row r="2754" spans="3:4" x14ac:dyDescent="0.3">
      <c r="C2754" s="62"/>
      <c r="D2754" s="62"/>
    </row>
    <row r="2755" spans="3:4" x14ac:dyDescent="0.3">
      <c r="C2755" s="62"/>
      <c r="D2755" s="62"/>
    </row>
    <row r="2756" spans="3:4" x14ac:dyDescent="0.3">
      <c r="C2756" s="62"/>
      <c r="D2756" s="62"/>
    </row>
    <row r="2757" spans="3:4" x14ac:dyDescent="0.3">
      <c r="C2757" s="62"/>
      <c r="D2757" s="62"/>
    </row>
    <row r="2758" spans="3:4" x14ac:dyDescent="0.3">
      <c r="C2758" s="62"/>
      <c r="D2758" s="62"/>
    </row>
    <row r="2759" spans="3:4" x14ac:dyDescent="0.3">
      <c r="C2759" s="62"/>
      <c r="D2759" s="62"/>
    </row>
    <row r="2760" spans="3:4" x14ac:dyDescent="0.3">
      <c r="C2760" s="62"/>
      <c r="D2760" s="62"/>
    </row>
    <row r="2761" spans="3:4" x14ac:dyDescent="0.3">
      <c r="C2761" s="62"/>
      <c r="D2761" s="62"/>
    </row>
    <row r="2762" spans="3:4" x14ac:dyDescent="0.3">
      <c r="C2762" s="62"/>
      <c r="D2762" s="62"/>
    </row>
    <row r="2763" spans="3:4" x14ac:dyDescent="0.3">
      <c r="C2763" s="62"/>
      <c r="D2763" s="62"/>
    </row>
    <row r="2764" spans="3:4" x14ac:dyDescent="0.3">
      <c r="C2764" s="62"/>
      <c r="D2764" s="62"/>
    </row>
    <row r="2765" spans="3:4" x14ac:dyDescent="0.3">
      <c r="C2765" s="62"/>
      <c r="D2765" s="62"/>
    </row>
    <row r="2766" spans="3:4" x14ac:dyDescent="0.3">
      <c r="C2766" s="62"/>
      <c r="D2766" s="62"/>
    </row>
    <row r="2767" spans="3:4" x14ac:dyDescent="0.3">
      <c r="C2767" s="62"/>
      <c r="D2767" s="62"/>
    </row>
    <row r="2768" spans="3:4" x14ac:dyDescent="0.3">
      <c r="C2768" s="62"/>
      <c r="D2768" s="62"/>
    </row>
    <row r="2769" spans="3:4" x14ac:dyDescent="0.3">
      <c r="C2769" s="62"/>
      <c r="D2769" s="62"/>
    </row>
    <row r="2770" spans="3:4" x14ac:dyDescent="0.3">
      <c r="C2770" s="62"/>
      <c r="D2770" s="62"/>
    </row>
    <row r="2771" spans="3:4" x14ac:dyDescent="0.3">
      <c r="C2771" s="62"/>
      <c r="D2771" s="62"/>
    </row>
    <row r="2772" spans="3:4" x14ac:dyDescent="0.3">
      <c r="C2772" s="62"/>
      <c r="D2772" s="62"/>
    </row>
    <row r="2773" spans="3:4" x14ac:dyDescent="0.3">
      <c r="C2773" s="62"/>
      <c r="D2773" s="62"/>
    </row>
    <row r="2774" spans="3:4" x14ac:dyDescent="0.3">
      <c r="C2774" s="62"/>
      <c r="D2774" s="62"/>
    </row>
    <row r="2775" spans="3:4" x14ac:dyDescent="0.3">
      <c r="C2775" s="62"/>
      <c r="D2775" s="62"/>
    </row>
    <row r="2776" spans="3:4" x14ac:dyDescent="0.3">
      <c r="C2776" s="62"/>
      <c r="D2776" s="62"/>
    </row>
    <row r="2777" spans="3:4" x14ac:dyDescent="0.3">
      <c r="C2777" s="62"/>
      <c r="D2777" s="62"/>
    </row>
    <row r="2778" spans="3:4" x14ac:dyDescent="0.3">
      <c r="C2778" s="62"/>
      <c r="D2778" s="62"/>
    </row>
    <row r="2779" spans="3:4" x14ac:dyDescent="0.3">
      <c r="C2779" s="62"/>
      <c r="D2779" s="62"/>
    </row>
    <row r="2780" spans="3:4" x14ac:dyDescent="0.3">
      <c r="C2780" s="62"/>
      <c r="D2780" s="62"/>
    </row>
    <row r="2781" spans="3:4" x14ac:dyDescent="0.3">
      <c r="C2781" s="62"/>
      <c r="D2781" s="62"/>
    </row>
    <row r="2782" spans="3:4" x14ac:dyDescent="0.3">
      <c r="C2782" s="62"/>
      <c r="D2782" s="62"/>
    </row>
    <row r="2783" spans="3:4" x14ac:dyDescent="0.3">
      <c r="C2783" s="62"/>
      <c r="D2783" s="62"/>
    </row>
    <row r="2784" spans="3:4" x14ac:dyDescent="0.3">
      <c r="C2784" s="62"/>
      <c r="D2784" s="62"/>
    </row>
    <row r="2785" spans="3:4" x14ac:dyDescent="0.3">
      <c r="C2785" s="62"/>
      <c r="D2785" s="62"/>
    </row>
    <row r="2786" spans="3:4" x14ac:dyDescent="0.3">
      <c r="C2786" s="62"/>
      <c r="D2786" s="62"/>
    </row>
    <row r="2787" spans="3:4" x14ac:dyDescent="0.3">
      <c r="C2787" s="62"/>
      <c r="D2787" s="62"/>
    </row>
    <row r="2788" spans="3:4" x14ac:dyDescent="0.3">
      <c r="C2788" s="62"/>
      <c r="D2788" s="62"/>
    </row>
    <row r="2789" spans="3:4" x14ac:dyDescent="0.3">
      <c r="C2789" s="62"/>
      <c r="D2789" s="62"/>
    </row>
    <row r="2790" spans="3:4" x14ac:dyDescent="0.3">
      <c r="C2790" s="62"/>
      <c r="D2790" s="62"/>
    </row>
    <row r="2791" spans="3:4" x14ac:dyDescent="0.3">
      <c r="C2791" s="62"/>
      <c r="D2791" s="62"/>
    </row>
    <row r="2792" spans="3:4" x14ac:dyDescent="0.3">
      <c r="C2792" s="62"/>
      <c r="D2792" s="62"/>
    </row>
    <row r="2793" spans="3:4" x14ac:dyDescent="0.3">
      <c r="C2793" s="62"/>
      <c r="D2793" s="62"/>
    </row>
    <row r="2794" spans="3:4" x14ac:dyDescent="0.3">
      <c r="C2794" s="62"/>
      <c r="D2794" s="62"/>
    </row>
    <row r="2795" spans="3:4" x14ac:dyDescent="0.3">
      <c r="C2795" s="62"/>
      <c r="D2795" s="62"/>
    </row>
    <row r="2796" spans="3:4" x14ac:dyDescent="0.3">
      <c r="C2796" s="62"/>
      <c r="D2796" s="62"/>
    </row>
    <row r="2797" spans="3:4" x14ac:dyDescent="0.3">
      <c r="C2797" s="62"/>
      <c r="D2797" s="62"/>
    </row>
    <row r="2798" spans="3:4" x14ac:dyDescent="0.3">
      <c r="C2798" s="62"/>
      <c r="D2798" s="62"/>
    </row>
    <row r="2799" spans="3:4" x14ac:dyDescent="0.3">
      <c r="C2799" s="62"/>
      <c r="D2799" s="62"/>
    </row>
    <row r="2800" spans="3:4" x14ac:dyDescent="0.3">
      <c r="C2800" s="62"/>
      <c r="D2800" s="62"/>
    </row>
    <row r="2801" spans="3:4" x14ac:dyDescent="0.3">
      <c r="C2801" s="62"/>
      <c r="D2801" s="62"/>
    </row>
    <row r="2802" spans="3:4" x14ac:dyDescent="0.3">
      <c r="C2802" s="62"/>
      <c r="D2802" s="62"/>
    </row>
    <row r="2803" spans="3:4" x14ac:dyDescent="0.3">
      <c r="C2803" s="62"/>
      <c r="D2803" s="62"/>
    </row>
    <row r="2804" spans="3:4" x14ac:dyDescent="0.3">
      <c r="C2804" s="62"/>
      <c r="D2804" s="62"/>
    </row>
    <row r="2805" spans="3:4" x14ac:dyDescent="0.3">
      <c r="C2805" s="62"/>
      <c r="D2805" s="62"/>
    </row>
    <row r="2806" spans="3:4" x14ac:dyDescent="0.3">
      <c r="C2806" s="62"/>
      <c r="D2806" s="62"/>
    </row>
    <row r="2807" spans="3:4" x14ac:dyDescent="0.3">
      <c r="C2807" s="62"/>
      <c r="D2807" s="62"/>
    </row>
    <row r="2808" spans="3:4" x14ac:dyDescent="0.3">
      <c r="C2808" s="62"/>
      <c r="D2808" s="62"/>
    </row>
    <row r="2809" spans="3:4" x14ac:dyDescent="0.3">
      <c r="C2809" s="62"/>
      <c r="D2809" s="62"/>
    </row>
    <row r="2810" spans="3:4" x14ac:dyDescent="0.3">
      <c r="C2810" s="62"/>
      <c r="D2810" s="62"/>
    </row>
    <row r="2811" spans="3:4" x14ac:dyDescent="0.3">
      <c r="C2811" s="62"/>
      <c r="D2811" s="62"/>
    </row>
    <row r="2812" spans="3:4" x14ac:dyDescent="0.3">
      <c r="C2812" s="62"/>
      <c r="D2812" s="62"/>
    </row>
    <row r="2813" spans="3:4" x14ac:dyDescent="0.3">
      <c r="C2813" s="62"/>
      <c r="D2813" s="62"/>
    </row>
    <row r="2814" spans="3:4" x14ac:dyDescent="0.3">
      <c r="C2814" s="62"/>
      <c r="D2814" s="62"/>
    </row>
    <row r="2815" spans="3:4" x14ac:dyDescent="0.3">
      <c r="C2815" s="62"/>
      <c r="D2815" s="62"/>
    </row>
    <row r="2816" spans="3:4" x14ac:dyDescent="0.3">
      <c r="C2816" s="62"/>
      <c r="D2816" s="62"/>
    </row>
    <row r="2817" spans="3:4" x14ac:dyDescent="0.3">
      <c r="C2817" s="62"/>
      <c r="D2817" s="62"/>
    </row>
    <row r="2818" spans="3:4" x14ac:dyDescent="0.3">
      <c r="C2818" s="62"/>
      <c r="D2818" s="62"/>
    </row>
    <row r="2819" spans="3:4" x14ac:dyDescent="0.3">
      <c r="C2819" s="62"/>
      <c r="D2819" s="62"/>
    </row>
    <row r="2820" spans="3:4" x14ac:dyDescent="0.3">
      <c r="C2820" s="62"/>
      <c r="D2820" s="62"/>
    </row>
    <row r="2821" spans="3:4" x14ac:dyDescent="0.3">
      <c r="C2821" s="62"/>
      <c r="D2821" s="62"/>
    </row>
    <row r="2822" spans="3:4" x14ac:dyDescent="0.3">
      <c r="C2822" s="62"/>
      <c r="D2822" s="62"/>
    </row>
    <row r="2823" spans="3:4" x14ac:dyDescent="0.3">
      <c r="C2823" s="62"/>
      <c r="D2823" s="62"/>
    </row>
    <row r="2824" spans="3:4" x14ac:dyDescent="0.3">
      <c r="C2824" s="62"/>
      <c r="D2824" s="62"/>
    </row>
    <row r="2825" spans="3:4" x14ac:dyDescent="0.3">
      <c r="C2825" s="62"/>
      <c r="D2825" s="62"/>
    </row>
    <row r="2826" spans="3:4" x14ac:dyDescent="0.3">
      <c r="C2826" s="62"/>
      <c r="D2826" s="62"/>
    </row>
    <row r="2827" spans="3:4" x14ac:dyDescent="0.3">
      <c r="C2827" s="62"/>
      <c r="D2827" s="62"/>
    </row>
    <row r="2828" spans="3:4" x14ac:dyDescent="0.3">
      <c r="C2828" s="62"/>
      <c r="D2828" s="62"/>
    </row>
    <row r="2829" spans="3:4" x14ac:dyDescent="0.3">
      <c r="C2829" s="62"/>
      <c r="D2829" s="62"/>
    </row>
    <row r="2830" spans="3:4" x14ac:dyDescent="0.3">
      <c r="C2830" s="62"/>
      <c r="D2830" s="62"/>
    </row>
    <row r="2831" spans="3:4" x14ac:dyDescent="0.3">
      <c r="C2831" s="62"/>
      <c r="D2831" s="62"/>
    </row>
    <row r="2832" spans="3:4" x14ac:dyDescent="0.3">
      <c r="C2832" s="62"/>
      <c r="D2832" s="62"/>
    </row>
    <row r="2833" spans="3:4" x14ac:dyDescent="0.3">
      <c r="C2833" s="62"/>
      <c r="D2833" s="62"/>
    </row>
    <row r="2834" spans="3:4" x14ac:dyDescent="0.3">
      <c r="C2834" s="62"/>
      <c r="D2834" s="62"/>
    </row>
    <row r="2835" spans="3:4" x14ac:dyDescent="0.3">
      <c r="C2835" s="62"/>
      <c r="D2835" s="62"/>
    </row>
    <row r="2836" spans="3:4" x14ac:dyDescent="0.3">
      <c r="C2836" s="62"/>
      <c r="D2836" s="62"/>
    </row>
    <row r="2837" spans="3:4" x14ac:dyDescent="0.3">
      <c r="C2837" s="62"/>
      <c r="D2837" s="62"/>
    </row>
    <row r="2838" spans="3:4" x14ac:dyDescent="0.3">
      <c r="C2838" s="62"/>
      <c r="D2838" s="62"/>
    </row>
    <row r="2839" spans="3:4" x14ac:dyDescent="0.3">
      <c r="C2839" s="62"/>
      <c r="D2839" s="62"/>
    </row>
    <row r="2840" spans="3:4" x14ac:dyDescent="0.3">
      <c r="C2840" s="62"/>
      <c r="D2840" s="62"/>
    </row>
    <row r="2841" spans="3:4" x14ac:dyDescent="0.3">
      <c r="C2841" s="62"/>
      <c r="D2841" s="62"/>
    </row>
    <row r="2842" spans="3:4" x14ac:dyDescent="0.3">
      <c r="C2842" s="62"/>
      <c r="D2842" s="62"/>
    </row>
    <row r="2843" spans="3:4" x14ac:dyDescent="0.3">
      <c r="C2843" s="62"/>
      <c r="D2843" s="62"/>
    </row>
    <row r="2844" spans="3:4" x14ac:dyDescent="0.3">
      <c r="C2844" s="62"/>
      <c r="D2844" s="62"/>
    </row>
    <row r="2845" spans="3:4" x14ac:dyDescent="0.3">
      <c r="C2845" s="62"/>
      <c r="D2845" s="62"/>
    </row>
    <row r="2846" spans="3:4" x14ac:dyDescent="0.3">
      <c r="C2846" s="62"/>
      <c r="D2846" s="62"/>
    </row>
    <row r="2847" spans="3:4" x14ac:dyDescent="0.3">
      <c r="C2847" s="62"/>
      <c r="D2847" s="62"/>
    </row>
    <row r="2848" spans="3:4" x14ac:dyDescent="0.3">
      <c r="C2848" s="62"/>
      <c r="D2848" s="62"/>
    </row>
    <row r="2849" spans="3:4" x14ac:dyDescent="0.3">
      <c r="C2849" s="62"/>
      <c r="D2849" s="62"/>
    </row>
    <row r="2850" spans="3:4" x14ac:dyDescent="0.3">
      <c r="C2850" s="62"/>
      <c r="D2850" s="62"/>
    </row>
    <row r="2851" spans="3:4" x14ac:dyDescent="0.3">
      <c r="C2851" s="62"/>
      <c r="D2851" s="62"/>
    </row>
    <row r="2852" spans="3:4" x14ac:dyDescent="0.3">
      <c r="C2852" s="62"/>
      <c r="D2852" s="62"/>
    </row>
    <row r="2853" spans="3:4" x14ac:dyDescent="0.3">
      <c r="C2853" s="62"/>
      <c r="D2853" s="62"/>
    </row>
    <row r="2854" spans="3:4" x14ac:dyDescent="0.3">
      <c r="C2854" s="62"/>
      <c r="D2854" s="62"/>
    </row>
    <row r="2855" spans="3:4" x14ac:dyDescent="0.3">
      <c r="C2855" s="62"/>
      <c r="D2855" s="62"/>
    </row>
    <row r="2856" spans="3:4" x14ac:dyDescent="0.3">
      <c r="C2856" s="62"/>
      <c r="D2856" s="62"/>
    </row>
    <row r="2857" spans="3:4" x14ac:dyDescent="0.3">
      <c r="C2857" s="62"/>
      <c r="D2857" s="62"/>
    </row>
    <row r="2858" spans="3:4" x14ac:dyDescent="0.3">
      <c r="C2858" s="62"/>
      <c r="D2858" s="62"/>
    </row>
    <row r="2859" spans="3:4" x14ac:dyDescent="0.3">
      <c r="C2859" s="62"/>
      <c r="D2859" s="62"/>
    </row>
    <row r="2860" spans="3:4" x14ac:dyDescent="0.3">
      <c r="C2860" s="62"/>
      <c r="D2860" s="62"/>
    </row>
    <row r="2861" spans="3:4" x14ac:dyDescent="0.3">
      <c r="C2861" s="62"/>
      <c r="D2861" s="62"/>
    </row>
    <row r="2862" spans="3:4" x14ac:dyDescent="0.3">
      <c r="C2862" s="62"/>
      <c r="D2862" s="62"/>
    </row>
    <row r="2863" spans="3:4" x14ac:dyDescent="0.3">
      <c r="C2863" s="62"/>
      <c r="D2863" s="62"/>
    </row>
    <row r="2864" spans="3:4" x14ac:dyDescent="0.3">
      <c r="C2864" s="62"/>
      <c r="D2864" s="62"/>
    </row>
    <row r="2865" spans="3:4" x14ac:dyDescent="0.3">
      <c r="C2865" s="62"/>
      <c r="D2865" s="62"/>
    </row>
    <row r="2866" spans="3:4" x14ac:dyDescent="0.3">
      <c r="C2866" s="62"/>
      <c r="D2866" s="62"/>
    </row>
    <row r="2867" spans="3:4" x14ac:dyDescent="0.3">
      <c r="C2867" s="62"/>
      <c r="D2867" s="62"/>
    </row>
    <row r="2868" spans="3:4" x14ac:dyDescent="0.3">
      <c r="C2868" s="62"/>
      <c r="D2868" s="62"/>
    </row>
    <row r="2869" spans="3:4" x14ac:dyDescent="0.3">
      <c r="C2869" s="62"/>
      <c r="D2869" s="62"/>
    </row>
    <row r="2870" spans="3:4" x14ac:dyDescent="0.3">
      <c r="C2870" s="62"/>
      <c r="D2870" s="62"/>
    </row>
    <row r="2871" spans="3:4" x14ac:dyDescent="0.3">
      <c r="C2871" s="62"/>
      <c r="D2871" s="62"/>
    </row>
    <row r="2872" spans="3:4" x14ac:dyDescent="0.3">
      <c r="C2872" s="62"/>
      <c r="D2872" s="62"/>
    </row>
    <row r="2873" spans="3:4" x14ac:dyDescent="0.3">
      <c r="C2873" s="62"/>
      <c r="D2873" s="62"/>
    </row>
    <row r="2874" spans="3:4" x14ac:dyDescent="0.3">
      <c r="C2874" s="62"/>
      <c r="D2874" s="62"/>
    </row>
    <row r="2875" spans="3:4" x14ac:dyDescent="0.3">
      <c r="C2875" s="62"/>
      <c r="D2875" s="62"/>
    </row>
    <row r="2876" spans="3:4" x14ac:dyDescent="0.3">
      <c r="C2876" s="62"/>
      <c r="D2876" s="62"/>
    </row>
    <row r="2877" spans="3:4" x14ac:dyDescent="0.3">
      <c r="C2877" s="62"/>
      <c r="D2877" s="62"/>
    </row>
    <row r="2878" spans="3:4" x14ac:dyDescent="0.3">
      <c r="C2878" s="62"/>
      <c r="D2878" s="62"/>
    </row>
    <row r="2879" spans="3:4" x14ac:dyDescent="0.3">
      <c r="C2879" s="62"/>
      <c r="D2879" s="62"/>
    </row>
    <row r="2880" spans="3:4" x14ac:dyDescent="0.3">
      <c r="C2880" s="62"/>
      <c r="D2880" s="62"/>
    </row>
    <row r="2881" spans="3:4" x14ac:dyDescent="0.3">
      <c r="C2881" s="62"/>
      <c r="D2881" s="62"/>
    </row>
    <row r="2882" spans="3:4" x14ac:dyDescent="0.3">
      <c r="C2882" s="62"/>
      <c r="D2882" s="62"/>
    </row>
    <row r="2883" spans="3:4" x14ac:dyDescent="0.3">
      <c r="C2883" s="62"/>
      <c r="D2883" s="62"/>
    </row>
    <row r="2884" spans="3:4" x14ac:dyDescent="0.3">
      <c r="C2884" s="62"/>
      <c r="D2884" s="62"/>
    </row>
    <row r="2885" spans="3:4" x14ac:dyDescent="0.3">
      <c r="C2885" s="62"/>
      <c r="D2885" s="62"/>
    </row>
    <row r="2886" spans="3:4" x14ac:dyDescent="0.3">
      <c r="C2886" s="62"/>
      <c r="D2886" s="62"/>
    </row>
    <row r="2887" spans="3:4" x14ac:dyDescent="0.3">
      <c r="C2887" s="62"/>
      <c r="D2887" s="62"/>
    </row>
    <row r="2888" spans="3:4" x14ac:dyDescent="0.3">
      <c r="C2888" s="62"/>
      <c r="D2888" s="62"/>
    </row>
    <row r="2889" spans="3:4" x14ac:dyDescent="0.3">
      <c r="C2889" s="62"/>
      <c r="D2889" s="62"/>
    </row>
    <row r="2890" spans="3:4" x14ac:dyDescent="0.3">
      <c r="C2890" s="62"/>
      <c r="D2890" s="62"/>
    </row>
    <row r="2891" spans="3:4" x14ac:dyDescent="0.3">
      <c r="C2891" s="62"/>
      <c r="D2891" s="62"/>
    </row>
    <row r="2892" spans="3:4" x14ac:dyDescent="0.3">
      <c r="C2892" s="62"/>
      <c r="D2892" s="62"/>
    </row>
    <row r="2893" spans="3:4" x14ac:dyDescent="0.3">
      <c r="C2893" s="62"/>
      <c r="D2893" s="62"/>
    </row>
    <row r="2894" spans="3:4" x14ac:dyDescent="0.3">
      <c r="C2894" s="62"/>
      <c r="D2894" s="62"/>
    </row>
    <row r="2895" spans="3:4" x14ac:dyDescent="0.3">
      <c r="C2895" s="62"/>
      <c r="D2895" s="62"/>
    </row>
    <row r="2896" spans="3:4" x14ac:dyDescent="0.3">
      <c r="C2896" s="62"/>
      <c r="D2896" s="62"/>
    </row>
    <row r="2897" spans="3:4" x14ac:dyDescent="0.3">
      <c r="C2897" s="62"/>
      <c r="D2897" s="62"/>
    </row>
    <row r="2898" spans="3:4" x14ac:dyDescent="0.3">
      <c r="C2898" s="62"/>
      <c r="D2898" s="62"/>
    </row>
    <row r="2899" spans="3:4" x14ac:dyDescent="0.3">
      <c r="C2899" s="62"/>
      <c r="D2899" s="62"/>
    </row>
    <row r="2900" spans="3:4" x14ac:dyDescent="0.3">
      <c r="C2900" s="62"/>
      <c r="D2900" s="62"/>
    </row>
    <row r="2901" spans="3:4" x14ac:dyDescent="0.3">
      <c r="C2901" s="62"/>
      <c r="D2901" s="62"/>
    </row>
    <row r="2902" spans="3:4" x14ac:dyDescent="0.3">
      <c r="C2902" s="62"/>
      <c r="D2902" s="62"/>
    </row>
    <row r="2903" spans="3:4" x14ac:dyDescent="0.3">
      <c r="C2903" s="62"/>
      <c r="D2903" s="62"/>
    </row>
    <row r="2904" spans="3:4" x14ac:dyDescent="0.3">
      <c r="C2904" s="62"/>
      <c r="D2904" s="62"/>
    </row>
    <row r="2905" spans="3:4" x14ac:dyDescent="0.3">
      <c r="C2905" s="62"/>
      <c r="D2905" s="62"/>
    </row>
    <row r="2906" spans="3:4" x14ac:dyDescent="0.3">
      <c r="C2906" s="62"/>
      <c r="D2906" s="62"/>
    </row>
    <row r="2907" spans="3:4" x14ac:dyDescent="0.3">
      <c r="C2907" s="62"/>
      <c r="D2907" s="62"/>
    </row>
    <row r="2908" spans="3:4" x14ac:dyDescent="0.3">
      <c r="C2908" s="62"/>
      <c r="D2908" s="62"/>
    </row>
    <row r="2909" spans="3:4" x14ac:dyDescent="0.3">
      <c r="C2909" s="62"/>
      <c r="D2909" s="62"/>
    </row>
    <row r="2910" spans="3:4" x14ac:dyDescent="0.3">
      <c r="C2910" s="62"/>
      <c r="D2910" s="62"/>
    </row>
    <row r="2911" spans="3:4" x14ac:dyDescent="0.3">
      <c r="C2911" s="62"/>
      <c r="D2911" s="62"/>
    </row>
    <row r="2912" spans="3:4" x14ac:dyDescent="0.3">
      <c r="C2912" s="62"/>
      <c r="D2912" s="62"/>
    </row>
    <row r="2913" spans="3:4" x14ac:dyDescent="0.3">
      <c r="C2913" s="62"/>
      <c r="D2913" s="62"/>
    </row>
    <row r="2914" spans="3:4" x14ac:dyDescent="0.3">
      <c r="C2914" s="62"/>
      <c r="D2914" s="62"/>
    </row>
    <row r="2915" spans="3:4" x14ac:dyDescent="0.3">
      <c r="C2915" s="62"/>
      <c r="D2915" s="62"/>
    </row>
    <row r="2916" spans="3:4" x14ac:dyDescent="0.3">
      <c r="C2916" s="62"/>
      <c r="D2916" s="62"/>
    </row>
    <row r="2917" spans="3:4" x14ac:dyDescent="0.3">
      <c r="C2917" s="62"/>
      <c r="D2917" s="62"/>
    </row>
    <row r="2918" spans="3:4" x14ac:dyDescent="0.3">
      <c r="C2918" s="62"/>
      <c r="D2918" s="62"/>
    </row>
    <row r="2919" spans="3:4" x14ac:dyDescent="0.3">
      <c r="C2919" s="62"/>
      <c r="D2919" s="62"/>
    </row>
    <row r="2920" spans="3:4" x14ac:dyDescent="0.3">
      <c r="C2920" s="62"/>
      <c r="D2920" s="62"/>
    </row>
    <row r="2921" spans="3:4" x14ac:dyDescent="0.3">
      <c r="C2921" s="62"/>
      <c r="D2921" s="62"/>
    </row>
    <row r="2922" spans="3:4" x14ac:dyDescent="0.3">
      <c r="C2922" s="62"/>
      <c r="D2922" s="62"/>
    </row>
    <row r="2923" spans="3:4" x14ac:dyDescent="0.3">
      <c r="C2923" s="62"/>
      <c r="D2923" s="62"/>
    </row>
    <row r="2924" spans="3:4" x14ac:dyDescent="0.3">
      <c r="C2924" s="62"/>
      <c r="D2924" s="62"/>
    </row>
    <row r="2925" spans="3:4" x14ac:dyDescent="0.3">
      <c r="C2925" s="62"/>
      <c r="D2925" s="62"/>
    </row>
    <row r="2926" spans="3:4" x14ac:dyDescent="0.3">
      <c r="C2926" s="62"/>
      <c r="D2926" s="62"/>
    </row>
    <row r="2927" spans="3:4" x14ac:dyDescent="0.3">
      <c r="C2927" s="62"/>
      <c r="D2927" s="62"/>
    </row>
    <row r="2928" spans="3:4" x14ac:dyDescent="0.3">
      <c r="C2928" s="62"/>
      <c r="D2928" s="62"/>
    </row>
    <row r="2929" spans="3:4" x14ac:dyDescent="0.3">
      <c r="C2929" s="62"/>
      <c r="D2929" s="62"/>
    </row>
    <row r="2930" spans="3:4" x14ac:dyDescent="0.3">
      <c r="C2930" s="62"/>
      <c r="D2930" s="62"/>
    </row>
    <row r="2931" spans="3:4" x14ac:dyDescent="0.3">
      <c r="C2931" s="62"/>
      <c r="D2931" s="62"/>
    </row>
    <row r="2932" spans="3:4" x14ac:dyDescent="0.3">
      <c r="C2932" s="62"/>
      <c r="D2932" s="62"/>
    </row>
    <row r="2933" spans="3:4" x14ac:dyDescent="0.3">
      <c r="C2933" s="62"/>
      <c r="D2933" s="62"/>
    </row>
    <row r="2934" spans="3:4" x14ac:dyDescent="0.3">
      <c r="C2934" s="62"/>
      <c r="D2934" s="62"/>
    </row>
    <row r="2935" spans="3:4" x14ac:dyDescent="0.3">
      <c r="C2935" s="62"/>
      <c r="D2935" s="62"/>
    </row>
    <row r="2936" spans="3:4" x14ac:dyDescent="0.3">
      <c r="C2936" s="62"/>
      <c r="D2936" s="62"/>
    </row>
    <row r="2937" spans="3:4" x14ac:dyDescent="0.3">
      <c r="C2937" s="62"/>
      <c r="D2937" s="62"/>
    </row>
    <row r="2938" spans="3:4" x14ac:dyDescent="0.3">
      <c r="C2938" s="62"/>
      <c r="D2938" s="62"/>
    </row>
    <row r="2939" spans="3:4" x14ac:dyDescent="0.3">
      <c r="C2939" s="62"/>
      <c r="D2939" s="62"/>
    </row>
    <row r="2940" spans="3:4" x14ac:dyDescent="0.3">
      <c r="C2940" s="62"/>
      <c r="D2940" s="62"/>
    </row>
    <row r="2941" spans="3:4" x14ac:dyDescent="0.3">
      <c r="C2941" s="62"/>
      <c r="D2941" s="62"/>
    </row>
    <row r="2942" spans="3:4" x14ac:dyDescent="0.3">
      <c r="C2942" s="62"/>
      <c r="D2942" s="62"/>
    </row>
    <row r="2943" spans="3:4" x14ac:dyDescent="0.3">
      <c r="C2943" s="62"/>
      <c r="D2943" s="62"/>
    </row>
    <row r="2944" spans="3:4" x14ac:dyDescent="0.3">
      <c r="C2944" s="62"/>
      <c r="D2944" s="62"/>
    </row>
    <row r="2945" spans="3:4" x14ac:dyDescent="0.3">
      <c r="C2945" s="62"/>
      <c r="D2945" s="62"/>
    </row>
    <row r="2946" spans="3:4" x14ac:dyDescent="0.3">
      <c r="C2946" s="62"/>
      <c r="D2946" s="62"/>
    </row>
    <row r="2947" spans="3:4" x14ac:dyDescent="0.3">
      <c r="C2947" s="62"/>
      <c r="D2947" s="62"/>
    </row>
    <row r="2948" spans="3:4" x14ac:dyDescent="0.3">
      <c r="C2948" s="62"/>
      <c r="D2948" s="62"/>
    </row>
    <row r="2949" spans="3:4" x14ac:dyDescent="0.3">
      <c r="C2949" s="62"/>
      <c r="D2949" s="62"/>
    </row>
    <row r="2950" spans="3:4" x14ac:dyDescent="0.3">
      <c r="C2950" s="62"/>
      <c r="D2950" s="62"/>
    </row>
    <row r="2951" spans="3:4" x14ac:dyDescent="0.3">
      <c r="C2951" s="62"/>
      <c r="D2951" s="62"/>
    </row>
    <row r="2952" spans="3:4" x14ac:dyDescent="0.3">
      <c r="C2952" s="62"/>
      <c r="D2952" s="62"/>
    </row>
    <row r="2953" spans="3:4" x14ac:dyDescent="0.3">
      <c r="C2953" s="62"/>
      <c r="D2953" s="62"/>
    </row>
    <row r="2954" spans="3:4" x14ac:dyDescent="0.3">
      <c r="C2954" s="62"/>
      <c r="D2954" s="62"/>
    </row>
    <row r="2955" spans="3:4" x14ac:dyDescent="0.3">
      <c r="C2955" s="62"/>
      <c r="D2955" s="62"/>
    </row>
    <row r="2956" spans="3:4" x14ac:dyDescent="0.3">
      <c r="C2956" s="62"/>
      <c r="D2956" s="62"/>
    </row>
    <row r="2957" spans="3:4" x14ac:dyDescent="0.3">
      <c r="C2957" s="62"/>
      <c r="D2957" s="62"/>
    </row>
    <row r="2958" spans="3:4" x14ac:dyDescent="0.3">
      <c r="C2958" s="62"/>
      <c r="D2958" s="62"/>
    </row>
    <row r="2959" spans="3:4" x14ac:dyDescent="0.3">
      <c r="C2959" s="62"/>
      <c r="D2959" s="62"/>
    </row>
    <row r="2960" spans="3:4" x14ac:dyDescent="0.3">
      <c r="C2960" s="62"/>
      <c r="D2960" s="62"/>
    </row>
    <row r="2961" spans="3:4" x14ac:dyDescent="0.3">
      <c r="C2961" s="62"/>
      <c r="D2961" s="62"/>
    </row>
    <row r="2962" spans="3:4" x14ac:dyDescent="0.3">
      <c r="C2962" s="62"/>
      <c r="D2962" s="62"/>
    </row>
    <row r="2963" spans="3:4" x14ac:dyDescent="0.3">
      <c r="C2963" s="62"/>
      <c r="D2963" s="62"/>
    </row>
    <row r="2964" spans="3:4" x14ac:dyDescent="0.3">
      <c r="C2964" s="62"/>
      <c r="D2964" s="62"/>
    </row>
    <row r="2965" spans="3:4" x14ac:dyDescent="0.3">
      <c r="C2965" s="62"/>
      <c r="D2965" s="62"/>
    </row>
    <row r="2966" spans="3:4" x14ac:dyDescent="0.3">
      <c r="C2966" s="62"/>
      <c r="D2966" s="62"/>
    </row>
    <row r="2967" spans="3:4" x14ac:dyDescent="0.3">
      <c r="C2967" s="62"/>
      <c r="D2967" s="62"/>
    </row>
    <row r="2968" spans="3:4" x14ac:dyDescent="0.3">
      <c r="C2968" s="62"/>
      <c r="D2968" s="62"/>
    </row>
    <row r="2969" spans="3:4" x14ac:dyDescent="0.3">
      <c r="C2969" s="62"/>
      <c r="D2969" s="62"/>
    </row>
    <row r="2970" spans="3:4" x14ac:dyDescent="0.3">
      <c r="C2970" s="62"/>
      <c r="D2970" s="62"/>
    </row>
    <row r="2971" spans="3:4" x14ac:dyDescent="0.3">
      <c r="C2971" s="62"/>
      <c r="D2971" s="62"/>
    </row>
    <row r="2972" spans="3:4" x14ac:dyDescent="0.3">
      <c r="C2972" s="62"/>
      <c r="D2972" s="62"/>
    </row>
    <row r="2973" spans="3:4" x14ac:dyDescent="0.3">
      <c r="C2973" s="62"/>
      <c r="D2973" s="62"/>
    </row>
    <row r="2974" spans="3:4" x14ac:dyDescent="0.3">
      <c r="C2974" s="62"/>
      <c r="D2974" s="62"/>
    </row>
    <row r="2975" spans="3:4" x14ac:dyDescent="0.3">
      <c r="C2975" s="62"/>
      <c r="D2975" s="62"/>
    </row>
    <row r="2976" spans="3:4" x14ac:dyDescent="0.3">
      <c r="C2976" s="62"/>
      <c r="D2976" s="62"/>
    </row>
    <row r="2977" spans="3:4" x14ac:dyDescent="0.3">
      <c r="C2977" s="62"/>
      <c r="D2977" s="62"/>
    </row>
    <row r="2978" spans="3:4" x14ac:dyDescent="0.3">
      <c r="C2978" s="62"/>
      <c r="D2978" s="62"/>
    </row>
    <row r="2979" spans="3:4" x14ac:dyDescent="0.3">
      <c r="C2979" s="62"/>
      <c r="D2979" s="62"/>
    </row>
    <row r="2980" spans="3:4" x14ac:dyDescent="0.3">
      <c r="C2980" s="62"/>
      <c r="D2980" s="62"/>
    </row>
    <row r="2981" spans="3:4" x14ac:dyDescent="0.3">
      <c r="C2981" s="62"/>
      <c r="D2981" s="62"/>
    </row>
    <row r="2982" spans="3:4" x14ac:dyDescent="0.3">
      <c r="C2982" s="62"/>
      <c r="D2982" s="62"/>
    </row>
    <row r="2983" spans="3:4" x14ac:dyDescent="0.3">
      <c r="C2983" s="62"/>
      <c r="D2983" s="62"/>
    </row>
    <row r="2984" spans="3:4" x14ac:dyDescent="0.3">
      <c r="C2984" s="62"/>
      <c r="D2984" s="62"/>
    </row>
    <row r="2985" spans="3:4" x14ac:dyDescent="0.3">
      <c r="C2985" s="62"/>
      <c r="D2985" s="62"/>
    </row>
    <row r="2986" spans="3:4" x14ac:dyDescent="0.3">
      <c r="C2986" s="62"/>
      <c r="D2986" s="62"/>
    </row>
    <row r="2987" spans="3:4" x14ac:dyDescent="0.3">
      <c r="C2987" s="62"/>
      <c r="D2987" s="62"/>
    </row>
    <row r="2988" spans="3:4" x14ac:dyDescent="0.3">
      <c r="C2988" s="62"/>
      <c r="D2988" s="62"/>
    </row>
    <row r="2989" spans="3:4" x14ac:dyDescent="0.3">
      <c r="C2989" s="62"/>
      <c r="D2989" s="62"/>
    </row>
    <row r="2990" spans="3:4" x14ac:dyDescent="0.3">
      <c r="C2990" s="62"/>
      <c r="D2990" s="62"/>
    </row>
    <row r="2991" spans="3:4" x14ac:dyDescent="0.3">
      <c r="C2991" s="62"/>
      <c r="D2991" s="62"/>
    </row>
    <row r="2992" spans="3:4" x14ac:dyDescent="0.3">
      <c r="C2992" s="62"/>
      <c r="D2992" s="62"/>
    </row>
    <row r="2993" spans="3:4" x14ac:dyDescent="0.3">
      <c r="C2993" s="62"/>
      <c r="D2993" s="62"/>
    </row>
    <row r="2994" spans="3:4" x14ac:dyDescent="0.3">
      <c r="C2994" s="62"/>
      <c r="D2994" s="62"/>
    </row>
    <row r="2995" spans="3:4" x14ac:dyDescent="0.3">
      <c r="C2995" s="62"/>
      <c r="D2995" s="62"/>
    </row>
    <row r="2996" spans="3:4" x14ac:dyDescent="0.3">
      <c r="C2996" s="62"/>
      <c r="D2996" s="62"/>
    </row>
    <row r="2997" spans="3:4" x14ac:dyDescent="0.3">
      <c r="C2997" s="62"/>
      <c r="D2997" s="62"/>
    </row>
    <row r="2998" spans="3:4" x14ac:dyDescent="0.3">
      <c r="C2998" s="62"/>
      <c r="D2998" s="62"/>
    </row>
    <row r="2999" spans="3:4" x14ac:dyDescent="0.3">
      <c r="C2999" s="62"/>
      <c r="D2999" s="62"/>
    </row>
    <row r="3000" spans="3:4" x14ac:dyDescent="0.3">
      <c r="C3000" s="62"/>
      <c r="D3000" s="62"/>
    </row>
    <row r="3001" spans="3:4" x14ac:dyDescent="0.3">
      <c r="C3001" s="62"/>
      <c r="D3001" s="62"/>
    </row>
    <row r="3002" spans="3:4" x14ac:dyDescent="0.3">
      <c r="C3002" s="62"/>
      <c r="D3002" s="62"/>
    </row>
    <row r="3003" spans="3:4" x14ac:dyDescent="0.3">
      <c r="C3003" s="62"/>
      <c r="D3003" s="62"/>
    </row>
    <row r="3004" spans="3:4" x14ac:dyDescent="0.3">
      <c r="C3004" s="62"/>
      <c r="D3004" s="62"/>
    </row>
    <row r="3005" spans="3:4" x14ac:dyDescent="0.3">
      <c r="C3005" s="62"/>
      <c r="D3005" s="62"/>
    </row>
    <row r="3006" spans="3:4" x14ac:dyDescent="0.3">
      <c r="C3006" s="62"/>
      <c r="D3006" s="62"/>
    </row>
    <row r="3007" spans="3:4" x14ac:dyDescent="0.3">
      <c r="C3007" s="62"/>
      <c r="D3007" s="62"/>
    </row>
    <row r="3008" spans="3:4" x14ac:dyDescent="0.3">
      <c r="C3008" s="62"/>
      <c r="D3008" s="62"/>
    </row>
    <row r="3009" spans="3:4" x14ac:dyDescent="0.3">
      <c r="C3009" s="62"/>
      <c r="D3009" s="62"/>
    </row>
    <row r="3010" spans="3:4" x14ac:dyDescent="0.3">
      <c r="C3010" s="62"/>
      <c r="D3010" s="62"/>
    </row>
    <row r="3011" spans="3:4" x14ac:dyDescent="0.3">
      <c r="C3011" s="62"/>
      <c r="D3011" s="62"/>
    </row>
    <row r="3012" spans="3:4" x14ac:dyDescent="0.3">
      <c r="C3012" s="62"/>
      <c r="D3012" s="62"/>
    </row>
    <row r="3013" spans="3:4" x14ac:dyDescent="0.3">
      <c r="C3013" s="62"/>
      <c r="D3013" s="62"/>
    </row>
    <row r="3014" spans="3:4" x14ac:dyDescent="0.3">
      <c r="C3014" s="62"/>
      <c r="D3014" s="62"/>
    </row>
    <row r="3015" spans="3:4" x14ac:dyDescent="0.3">
      <c r="C3015" s="62"/>
      <c r="D3015" s="62"/>
    </row>
    <row r="3016" spans="3:4" x14ac:dyDescent="0.3">
      <c r="C3016" s="62"/>
      <c r="D3016" s="62"/>
    </row>
    <row r="3017" spans="3:4" x14ac:dyDescent="0.3">
      <c r="C3017" s="62"/>
      <c r="D3017" s="62"/>
    </row>
    <row r="3018" spans="3:4" x14ac:dyDescent="0.3">
      <c r="C3018" s="62"/>
      <c r="D3018" s="62"/>
    </row>
    <row r="3019" spans="3:4" x14ac:dyDescent="0.3">
      <c r="C3019" s="62"/>
      <c r="D3019" s="62"/>
    </row>
    <row r="3020" spans="3:4" x14ac:dyDescent="0.3">
      <c r="C3020" s="62"/>
      <c r="D3020" s="62"/>
    </row>
    <row r="3021" spans="3:4" x14ac:dyDescent="0.3">
      <c r="C3021" s="62"/>
      <c r="D3021" s="62"/>
    </row>
    <row r="3022" spans="3:4" x14ac:dyDescent="0.3">
      <c r="C3022" s="62"/>
      <c r="D3022" s="62"/>
    </row>
    <row r="3023" spans="3:4" x14ac:dyDescent="0.3">
      <c r="C3023" s="62"/>
      <c r="D3023" s="62"/>
    </row>
    <row r="3024" spans="3:4" x14ac:dyDescent="0.3">
      <c r="C3024" s="62"/>
      <c r="D3024" s="62"/>
    </row>
    <row r="3025" spans="3:4" x14ac:dyDescent="0.3">
      <c r="C3025" s="62"/>
      <c r="D3025" s="62"/>
    </row>
    <row r="3026" spans="3:4" x14ac:dyDescent="0.3">
      <c r="C3026" s="62"/>
      <c r="D3026" s="62"/>
    </row>
    <row r="3027" spans="3:4" x14ac:dyDescent="0.3">
      <c r="C3027" s="62"/>
      <c r="D3027" s="62"/>
    </row>
    <row r="3028" spans="3:4" x14ac:dyDescent="0.3">
      <c r="C3028" s="62"/>
      <c r="D3028" s="62"/>
    </row>
    <row r="3029" spans="3:4" x14ac:dyDescent="0.3">
      <c r="C3029" s="62"/>
      <c r="D3029" s="62"/>
    </row>
    <row r="3030" spans="3:4" x14ac:dyDescent="0.3">
      <c r="C3030" s="62"/>
      <c r="D3030" s="62"/>
    </row>
    <row r="3031" spans="3:4" x14ac:dyDescent="0.3">
      <c r="C3031" s="62"/>
      <c r="D3031" s="62"/>
    </row>
    <row r="3032" spans="3:4" x14ac:dyDescent="0.3">
      <c r="C3032" s="62"/>
      <c r="D3032" s="62"/>
    </row>
    <row r="3033" spans="3:4" x14ac:dyDescent="0.3">
      <c r="C3033" s="62"/>
      <c r="D3033" s="62"/>
    </row>
    <row r="3034" spans="3:4" x14ac:dyDescent="0.3">
      <c r="C3034" s="62"/>
      <c r="D3034" s="62"/>
    </row>
    <row r="3035" spans="3:4" x14ac:dyDescent="0.3">
      <c r="C3035" s="62"/>
      <c r="D3035" s="62"/>
    </row>
    <row r="3036" spans="3:4" x14ac:dyDescent="0.3">
      <c r="C3036" s="62"/>
      <c r="D3036" s="62"/>
    </row>
    <row r="3037" spans="3:4" x14ac:dyDescent="0.3">
      <c r="C3037" s="62"/>
      <c r="D3037" s="62"/>
    </row>
    <row r="3038" spans="3:4" x14ac:dyDescent="0.3">
      <c r="C3038" s="62"/>
      <c r="D3038" s="62"/>
    </row>
    <row r="3039" spans="3:4" x14ac:dyDescent="0.3">
      <c r="C3039" s="62"/>
      <c r="D3039" s="62"/>
    </row>
    <row r="3040" spans="3:4" x14ac:dyDescent="0.3">
      <c r="C3040" s="62"/>
      <c r="D3040" s="62"/>
    </row>
    <row r="3041" spans="3:4" x14ac:dyDescent="0.3">
      <c r="C3041" s="62"/>
      <c r="D3041" s="62"/>
    </row>
    <row r="3042" spans="3:4" x14ac:dyDescent="0.3">
      <c r="C3042" s="62"/>
      <c r="D3042" s="62"/>
    </row>
    <row r="3043" spans="3:4" x14ac:dyDescent="0.3">
      <c r="C3043" s="62"/>
      <c r="D3043" s="62"/>
    </row>
    <row r="3044" spans="3:4" x14ac:dyDescent="0.3">
      <c r="C3044" s="62"/>
      <c r="D3044" s="62"/>
    </row>
    <row r="3045" spans="3:4" x14ac:dyDescent="0.3">
      <c r="C3045" s="62"/>
      <c r="D3045" s="62"/>
    </row>
    <row r="3046" spans="3:4" x14ac:dyDescent="0.3">
      <c r="C3046" s="62"/>
      <c r="D3046" s="62"/>
    </row>
    <row r="3047" spans="3:4" x14ac:dyDescent="0.3">
      <c r="C3047" s="62"/>
      <c r="D3047" s="62"/>
    </row>
    <row r="3048" spans="3:4" x14ac:dyDescent="0.3">
      <c r="C3048" s="62"/>
      <c r="D3048" s="62"/>
    </row>
    <row r="3049" spans="3:4" x14ac:dyDescent="0.3">
      <c r="C3049" s="62"/>
      <c r="D3049" s="62"/>
    </row>
    <row r="3050" spans="3:4" x14ac:dyDescent="0.3">
      <c r="C3050" s="62"/>
      <c r="D3050" s="62"/>
    </row>
    <row r="3051" spans="3:4" x14ac:dyDescent="0.3">
      <c r="C3051" s="62"/>
      <c r="D3051" s="62"/>
    </row>
    <row r="3052" spans="3:4" x14ac:dyDescent="0.3">
      <c r="C3052" s="62"/>
      <c r="D3052" s="62"/>
    </row>
    <row r="3053" spans="3:4" x14ac:dyDescent="0.3">
      <c r="C3053" s="62"/>
      <c r="D3053" s="62"/>
    </row>
    <row r="3054" spans="3:4" x14ac:dyDescent="0.3">
      <c r="C3054" s="62"/>
      <c r="D3054" s="62"/>
    </row>
    <row r="3055" spans="3:4" x14ac:dyDescent="0.3">
      <c r="C3055" s="62"/>
      <c r="D3055" s="62"/>
    </row>
    <row r="3056" spans="3:4" x14ac:dyDescent="0.3">
      <c r="C3056" s="62"/>
      <c r="D3056" s="62"/>
    </row>
    <row r="3057" spans="3:4" x14ac:dyDescent="0.3">
      <c r="C3057" s="62"/>
      <c r="D3057" s="62"/>
    </row>
    <row r="3058" spans="3:4" x14ac:dyDescent="0.3">
      <c r="C3058" s="62"/>
      <c r="D3058" s="62"/>
    </row>
    <row r="3059" spans="3:4" x14ac:dyDescent="0.3">
      <c r="C3059" s="62"/>
      <c r="D3059" s="62"/>
    </row>
    <row r="3060" spans="3:4" x14ac:dyDescent="0.3">
      <c r="C3060" s="62"/>
      <c r="D3060" s="62"/>
    </row>
    <row r="3061" spans="3:4" x14ac:dyDescent="0.3">
      <c r="C3061" s="62"/>
      <c r="D3061" s="62"/>
    </row>
    <row r="3062" spans="3:4" x14ac:dyDescent="0.3">
      <c r="C3062" s="62"/>
      <c r="D3062" s="62"/>
    </row>
    <row r="3063" spans="3:4" x14ac:dyDescent="0.3">
      <c r="C3063" s="62"/>
      <c r="D3063" s="62"/>
    </row>
    <row r="3064" spans="3:4" x14ac:dyDescent="0.3">
      <c r="C3064" s="62"/>
      <c r="D3064" s="62"/>
    </row>
    <row r="3065" spans="3:4" x14ac:dyDescent="0.3">
      <c r="C3065" s="62"/>
      <c r="D3065" s="62"/>
    </row>
    <row r="3066" spans="3:4" x14ac:dyDescent="0.3">
      <c r="C3066" s="62"/>
      <c r="D3066" s="62"/>
    </row>
    <row r="3067" spans="3:4" x14ac:dyDescent="0.3">
      <c r="C3067" s="62"/>
      <c r="D3067" s="62"/>
    </row>
    <row r="3068" spans="3:4" x14ac:dyDescent="0.3">
      <c r="C3068" s="62"/>
      <c r="D3068" s="62"/>
    </row>
    <row r="3069" spans="3:4" x14ac:dyDescent="0.3">
      <c r="C3069" s="62"/>
      <c r="D3069" s="62"/>
    </row>
    <row r="3070" spans="3:4" x14ac:dyDescent="0.3">
      <c r="C3070" s="62"/>
      <c r="D3070" s="62"/>
    </row>
    <row r="3071" spans="3:4" x14ac:dyDescent="0.3">
      <c r="C3071" s="62"/>
      <c r="D3071" s="62"/>
    </row>
    <row r="3072" spans="3:4" x14ac:dyDescent="0.3">
      <c r="C3072" s="62"/>
      <c r="D3072" s="62"/>
    </row>
    <row r="3073" spans="3:4" x14ac:dyDescent="0.3">
      <c r="C3073" s="62"/>
      <c r="D3073" s="62"/>
    </row>
    <row r="3074" spans="3:4" x14ac:dyDescent="0.3">
      <c r="C3074" s="62"/>
      <c r="D3074" s="62"/>
    </row>
    <row r="3075" spans="3:4" x14ac:dyDescent="0.3">
      <c r="C3075" s="62"/>
      <c r="D3075" s="62"/>
    </row>
    <row r="3076" spans="3:4" x14ac:dyDescent="0.3">
      <c r="C3076" s="62"/>
      <c r="D3076" s="62"/>
    </row>
    <row r="3077" spans="3:4" x14ac:dyDescent="0.3">
      <c r="C3077" s="62"/>
      <c r="D3077" s="62"/>
    </row>
    <row r="3078" spans="3:4" x14ac:dyDescent="0.3">
      <c r="C3078" s="62"/>
      <c r="D3078" s="62"/>
    </row>
    <row r="3079" spans="3:4" x14ac:dyDescent="0.3">
      <c r="C3079" s="62"/>
      <c r="D3079" s="62"/>
    </row>
    <row r="3080" spans="3:4" x14ac:dyDescent="0.3">
      <c r="C3080" s="62"/>
      <c r="D3080" s="62"/>
    </row>
    <row r="3081" spans="3:4" x14ac:dyDescent="0.3">
      <c r="C3081" s="62"/>
      <c r="D3081" s="62"/>
    </row>
    <row r="3082" spans="3:4" x14ac:dyDescent="0.3">
      <c r="C3082" s="62"/>
      <c r="D3082" s="62"/>
    </row>
    <row r="3083" spans="3:4" x14ac:dyDescent="0.3">
      <c r="C3083" s="62"/>
      <c r="D3083" s="62"/>
    </row>
    <row r="3084" spans="3:4" x14ac:dyDescent="0.3">
      <c r="C3084" s="62"/>
      <c r="D3084" s="62"/>
    </row>
    <row r="3085" spans="3:4" x14ac:dyDescent="0.3">
      <c r="C3085" s="62"/>
      <c r="D3085" s="62"/>
    </row>
    <row r="3086" spans="3:4" x14ac:dyDescent="0.3">
      <c r="C3086" s="62"/>
      <c r="D3086" s="62"/>
    </row>
    <row r="3087" spans="3:4" x14ac:dyDescent="0.3">
      <c r="C3087" s="62"/>
      <c r="D3087" s="62"/>
    </row>
    <row r="3088" spans="3:4" x14ac:dyDescent="0.3">
      <c r="C3088" s="62"/>
      <c r="D3088" s="62"/>
    </row>
    <row r="3089" spans="3:4" x14ac:dyDescent="0.3">
      <c r="C3089" s="62"/>
      <c r="D3089" s="62"/>
    </row>
    <row r="3090" spans="3:4" x14ac:dyDescent="0.3">
      <c r="C3090" s="62"/>
      <c r="D3090" s="62"/>
    </row>
    <row r="3091" spans="3:4" x14ac:dyDescent="0.3">
      <c r="C3091" s="62"/>
      <c r="D3091" s="62"/>
    </row>
    <row r="3092" spans="3:4" x14ac:dyDescent="0.3">
      <c r="C3092" s="62"/>
      <c r="D3092" s="62"/>
    </row>
    <row r="3093" spans="3:4" x14ac:dyDescent="0.3">
      <c r="C3093" s="62"/>
      <c r="D3093" s="62"/>
    </row>
    <row r="3094" spans="3:4" x14ac:dyDescent="0.3">
      <c r="C3094" s="62"/>
      <c r="D3094" s="62"/>
    </row>
    <row r="3095" spans="3:4" x14ac:dyDescent="0.3">
      <c r="C3095" s="62"/>
      <c r="D3095" s="62"/>
    </row>
    <row r="3096" spans="3:4" x14ac:dyDescent="0.3">
      <c r="C3096" s="62"/>
      <c r="D3096" s="62"/>
    </row>
    <row r="3097" spans="3:4" x14ac:dyDescent="0.3">
      <c r="C3097" s="62"/>
      <c r="D3097" s="62"/>
    </row>
    <row r="3098" spans="3:4" x14ac:dyDescent="0.3">
      <c r="C3098" s="62"/>
      <c r="D3098" s="62"/>
    </row>
    <row r="3099" spans="3:4" x14ac:dyDescent="0.3">
      <c r="C3099" s="62"/>
      <c r="D3099" s="62"/>
    </row>
    <row r="3100" spans="3:4" x14ac:dyDescent="0.3">
      <c r="C3100" s="62"/>
      <c r="D3100" s="62"/>
    </row>
    <row r="3101" spans="3:4" x14ac:dyDescent="0.3">
      <c r="C3101" s="62"/>
      <c r="D3101" s="62"/>
    </row>
    <row r="3102" spans="3:4" x14ac:dyDescent="0.3">
      <c r="C3102" s="62"/>
      <c r="D3102" s="62"/>
    </row>
    <row r="3103" spans="3:4" x14ac:dyDescent="0.3">
      <c r="C3103" s="62"/>
      <c r="D3103" s="62"/>
    </row>
    <row r="3104" spans="3:4" x14ac:dyDescent="0.3">
      <c r="C3104" s="62"/>
      <c r="D3104" s="62"/>
    </row>
    <row r="3105" spans="3:4" x14ac:dyDescent="0.3">
      <c r="C3105" s="62"/>
      <c r="D3105" s="62"/>
    </row>
    <row r="3106" spans="3:4" x14ac:dyDescent="0.3">
      <c r="C3106" s="62"/>
      <c r="D3106" s="62"/>
    </row>
    <row r="3107" spans="3:4" x14ac:dyDescent="0.3">
      <c r="C3107" s="62"/>
      <c r="D3107" s="62"/>
    </row>
    <row r="3108" spans="3:4" x14ac:dyDescent="0.3">
      <c r="C3108" s="62"/>
      <c r="D3108" s="62"/>
    </row>
    <row r="3109" spans="3:4" x14ac:dyDescent="0.3">
      <c r="C3109" s="62"/>
      <c r="D3109" s="62"/>
    </row>
    <row r="3110" spans="3:4" x14ac:dyDescent="0.3">
      <c r="C3110" s="62"/>
      <c r="D3110" s="62"/>
    </row>
    <row r="3111" spans="3:4" x14ac:dyDescent="0.3">
      <c r="C3111" s="62"/>
      <c r="D3111" s="62"/>
    </row>
    <row r="3112" spans="3:4" x14ac:dyDescent="0.3">
      <c r="C3112" s="62"/>
      <c r="D3112" s="62"/>
    </row>
    <row r="3113" spans="3:4" x14ac:dyDescent="0.3">
      <c r="C3113" s="62"/>
      <c r="D3113" s="62"/>
    </row>
    <row r="3114" spans="3:4" x14ac:dyDescent="0.3">
      <c r="C3114" s="62"/>
      <c r="D3114" s="62"/>
    </row>
    <row r="3115" spans="3:4" x14ac:dyDescent="0.3">
      <c r="C3115" s="62"/>
      <c r="D3115" s="62"/>
    </row>
    <row r="3116" spans="3:4" x14ac:dyDescent="0.3">
      <c r="C3116" s="62"/>
      <c r="D3116" s="62"/>
    </row>
    <row r="3117" spans="3:4" x14ac:dyDescent="0.3">
      <c r="C3117" s="62"/>
      <c r="D3117" s="62"/>
    </row>
    <row r="3118" spans="3:4" x14ac:dyDescent="0.3">
      <c r="C3118" s="62"/>
      <c r="D3118" s="62"/>
    </row>
    <row r="3119" spans="3:4" x14ac:dyDescent="0.3">
      <c r="C3119" s="62"/>
      <c r="D3119" s="62"/>
    </row>
    <row r="3120" spans="3:4" x14ac:dyDescent="0.3">
      <c r="C3120" s="62"/>
      <c r="D3120" s="62"/>
    </row>
    <row r="3121" spans="3:4" x14ac:dyDescent="0.3">
      <c r="C3121" s="62"/>
      <c r="D3121" s="62"/>
    </row>
    <row r="3122" spans="3:4" x14ac:dyDescent="0.3">
      <c r="C3122" s="62"/>
      <c r="D3122" s="62"/>
    </row>
    <row r="3123" spans="3:4" x14ac:dyDescent="0.3">
      <c r="C3123" s="62"/>
      <c r="D3123" s="62"/>
    </row>
    <row r="3124" spans="3:4" x14ac:dyDescent="0.3">
      <c r="C3124" s="62"/>
      <c r="D3124" s="62"/>
    </row>
    <row r="3125" spans="3:4" x14ac:dyDescent="0.3">
      <c r="C3125" s="62"/>
      <c r="D3125" s="62"/>
    </row>
    <row r="3126" spans="3:4" x14ac:dyDescent="0.3">
      <c r="C3126" s="62"/>
      <c r="D3126" s="62"/>
    </row>
    <row r="3127" spans="3:4" x14ac:dyDescent="0.3">
      <c r="C3127" s="62"/>
      <c r="D3127" s="62"/>
    </row>
    <row r="3128" spans="3:4" x14ac:dyDescent="0.3">
      <c r="C3128" s="62"/>
      <c r="D3128" s="62"/>
    </row>
    <row r="3129" spans="3:4" x14ac:dyDescent="0.3">
      <c r="C3129" s="62"/>
      <c r="D3129" s="62"/>
    </row>
    <row r="3130" spans="3:4" x14ac:dyDescent="0.3">
      <c r="C3130" s="62"/>
      <c r="D3130" s="62"/>
    </row>
    <row r="3131" spans="3:4" x14ac:dyDescent="0.3">
      <c r="C3131" s="62"/>
      <c r="D3131" s="62"/>
    </row>
    <row r="3132" spans="3:4" x14ac:dyDescent="0.3">
      <c r="C3132" s="62"/>
      <c r="D3132" s="62"/>
    </row>
    <row r="3133" spans="3:4" x14ac:dyDescent="0.3">
      <c r="C3133" s="62"/>
      <c r="D3133" s="62"/>
    </row>
    <row r="3134" spans="3:4" x14ac:dyDescent="0.3">
      <c r="C3134" s="62"/>
      <c r="D3134" s="62"/>
    </row>
    <row r="3135" spans="3:4" x14ac:dyDescent="0.3">
      <c r="C3135" s="62"/>
      <c r="D3135" s="62"/>
    </row>
    <row r="3136" spans="3:4" x14ac:dyDescent="0.3">
      <c r="C3136" s="62"/>
      <c r="D3136" s="62"/>
    </row>
    <row r="3137" spans="3:4" x14ac:dyDescent="0.3">
      <c r="C3137" s="62"/>
      <c r="D3137" s="62"/>
    </row>
    <row r="3138" spans="3:4" x14ac:dyDescent="0.3">
      <c r="C3138" s="62"/>
      <c r="D3138" s="62"/>
    </row>
    <row r="3139" spans="3:4" x14ac:dyDescent="0.3">
      <c r="C3139" s="62"/>
      <c r="D3139" s="62"/>
    </row>
    <row r="3140" spans="3:4" x14ac:dyDescent="0.3">
      <c r="C3140" s="62"/>
      <c r="D3140" s="62"/>
    </row>
    <row r="3141" spans="3:4" x14ac:dyDescent="0.3">
      <c r="C3141" s="62"/>
      <c r="D3141" s="62"/>
    </row>
    <row r="3142" spans="3:4" x14ac:dyDescent="0.3">
      <c r="C3142" s="62"/>
      <c r="D3142" s="62"/>
    </row>
    <row r="3143" spans="3:4" x14ac:dyDescent="0.3">
      <c r="C3143" s="62"/>
      <c r="D3143" s="62"/>
    </row>
    <row r="3144" spans="3:4" x14ac:dyDescent="0.3">
      <c r="C3144" s="62"/>
      <c r="D3144" s="62"/>
    </row>
    <row r="3145" spans="3:4" x14ac:dyDescent="0.3">
      <c r="C3145" s="62"/>
      <c r="D3145" s="62"/>
    </row>
    <row r="3146" spans="3:4" x14ac:dyDescent="0.3">
      <c r="C3146" s="62"/>
      <c r="D3146" s="62"/>
    </row>
    <row r="3147" spans="3:4" x14ac:dyDescent="0.3">
      <c r="C3147" s="62"/>
      <c r="D3147" s="62"/>
    </row>
    <row r="3148" spans="3:4" x14ac:dyDescent="0.3">
      <c r="C3148" s="62"/>
      <c r="D3148" s="62"/>
    </row>
    <row r="3149" spans="3:4" x14ac:dyDescent="0.3">
      <c r="C3149" s="62"/>
      <c r="D3149" s="62"/>
    </row>
    <row r="3150" spans="3:4" x14ac:dyDescent="0.3">
      <c r="C3150" s="62"/>
      <c r="D3150" s="62"/>
    </row>
    <row r="3151" spans="3:4" x14ac:dyDescent="0.3">
      <c r="C3151" s="62"/>
      <c r="D3151" s="62"/>
    </row>
    <row r="3152" spans="3:4" x14ac:dyDescent="0.3">
      <c r="C3152" s="62"/>
      <c r="D3152" s="62"/>
    </row>
    <row r="3153" spans="3:4" x14ac:dyDescent="0.3">
      <c r="C3153" s="62"/>
      <c r="D3153" s="62"/>
    </row>
    <row r="3154" spans="3:4" x14ac:dyDescent="0.3">
      <c r="C3154" s="62"/>
      <c r="D3154" s="62"/>
    </row>
    <row r="3155" spans="3:4" x14ac:dyDescent="0.3">
      <c r="C3155" s="62"/>
      <c r="D3155" s="62"/>
    </row>
    <row r="3156" spans="3:4" x14ac:dyDescent="0.3">
      <c r="C3156" s="62"/>
      <c r="D3156" s="62"/>
    </row>
    <row r="3157" spans="3:4" x14ac:dyDescent="0.3">
      <c r="C3157" s="62"/>
      <c r="D3157" s="62"/>
    </row>
    <row r="3158" spans="3:4" x14ac:dyDescent="0.3">
      <c r="C3158" s="62"/>
      <c r="D3158" s="62"/>
    </row>
    <row r="3159" spans="3:4" x14ac:dyDescent="0.3">
      <c r="C3159" s="62"/>
      <c r="D3159" s="62"/>
    </row>
    <row r="3160" spans="3:4" x14ac:dyDescent="0.3">
      <c r="C3160" s="62"/>
      <c r="D3160" s="62"/>
    </row>
    <row r="3161" spans="3:4" x14ac:dyDescent="0.3">
      <c r="C3161" s="62"/>
      <c r="D3161" s="62"/>
    </row>
    <row r="3162" spans="3:4" x14ac:dyDescent="0.3">
      <c r="C3162" s="62"/>
      <c r="D3162" s="62"/>
    </row>
    <row r="3163" spans="3:4" x14ac:dyDescent="0.3">
      <c r="C3163" s="62"/>
      <c r="D3163" s="62"/>
    </row>
    <row r="3164" spans="3:4" x14ac:dyDescent="0.3">
      <c r="C3164" s="62"/>
      <c r="D3164" s="62"/>
    </row>
    <row r="3165" spans="3:4" x14ac:dyDescent="0.3">
      <c r="C3165" s="62"/>
      <c r="D3165" s="62"/>
    </row>
    <row r="3166" spans="3:4" x14ac:dyDescent="0.3">
      <c r="C3166" s="62"/>
      <c r="D3166" s="62"/>
    </row>
    <row r="3167" spans="3:4" x14ac:dyDescent="0.3">
      <c r="C3167" s="62"/>
      <c r="D3167" s="62"/>
    </row>
    <row r="3168" spans="3:4" x14ac:dyDescent="0.3">
      <c r="C3168" s="62"/>
      <c r="D3168" s="62"/>
    </row>
    <row r="3169" spans="3:4" x14ac:dyDescent="0.3">
      <c r="C3169" s="62"/>
      <c r="D3169" s="62"/>
    </row>
    <row r="3170" spans="3:4" x14ac:dyDescent="0.3">
      <c r="C3170" s="62"/>
      <c r="D3170" s="62"/>
    </row>
    <row r="3171" spans="3:4" x14ac:dyDescent="0.3">
      <c r="C3171" s="62"/>
      <c r="D3171" s="62"/>
    </row>
    <row r="3172" spans="3:4" x14ac:dyDescent="0.3">
      <c r="C3172" s="62"/>
      <c r="D3172" s="62"/>
    </row>
    <row r="3173" spans="3:4" x14ac:dyDescent="0.3">
      <c r="C3173" s="62"/>
      <c r="D3173" s="62"/>
    </row>
    <row r="3174" spans="3:4" x14ac:dyDescent="0.3">
      <c r="C3174" s="62"/>
      <c r="D3174" s="62"/>
    </row>
    <row r="3175" spans="3:4" x14ac:dyDescent="0.3">
      <c r="C3175" s="62"/>
      <c r="D3175" s="62"/>
    </row>
    <row r="3176" spans="3:4" x14ac:dyDescent="0.3">
      <c r="C3176" s="62"/>
      <c r="D3176" s="62"/>
    </row>
    <row r="3177" spans="3:4" x14ac:dyDescent="0.3">
      <c r="C3177" s="62"/>
      <c r="D3177" s="62"/>
    </row>
    <row r="3178" spans="3:4" x14ac:dyDescent="0.3">
      <c r="C3178" s="62"/>
      <c r="D3178" s="62"/>
    </row>
    <row r="3179" spans="3:4" x14ac:dyDescent="0.3">
      <c r="C3179" s="62"/>
      <c r="D3179" s="62"/>
    </row>
    <row r="3180" spans="3:4" x14ac:dyDescent="0.3">
      <c r="C3180" s="62"/>
      <c r="D3180" s="62"/>
    </row>
    <row r="3181" spans="3:4" x14ac:dyDescent="0.3">
      <c r="C3181" s="62"/>
      <c r="D3181" s="62"/>
    </row>
    <row r="3182" spans="3:4" x14ac:dyDescent="0.3">
      <c r="C3182" s="62"/>
      <c r="D3182" s="62"/>
    </row>
    <row r="3183" spans="3:4" x14ac:dyDescent="0.3">
      <c r="C3183" s="62"/>
      <c r="D3183" s="62"/>
    </row>
    <row r="3184" spans="3:4" x14ac:dyDescent="0.3">
      <c r="C3184" s="62"/>
      <c r="D3184" s="62"/>
    </row>
    <row r="3185" spans="3:4" x14ac:dyDescent="0.3">
      <c r="C3185" s="62"/>
      <c r="D3185" s="62"/>
    </row>
    <row r="3186" spans="3:4" x14ac:dyDescent="0.3">
      <c r="C3186" s="62"/>
      <c r="D3186" s="62"/>
    </row>
    <row r="3187" spans="3:4" x14ac:dyDescent="0.3">
      <c r="C3187" s="62"/>
      <c r="D3187" s="62"/>
    </row>
    <row r="3188" spans="3:4" x14ac:dyDescent="0.3">
      <c r="C3188" s="62"/>
      <c r="D3188" s="62"/>
    </row>
    <row r="3189" spans="3:4" x14ac:dyDescent="0.3">
      <c r="C3189" s="62"/>
      <c r="D3189" s="62"/>
    </row>
    <row r="3190" spans="3:4" x14ac:dyDescent="0.3">
      <c r="C3190" s="62"/>
      <c r="D3190" s="62"/>
    </row>
    <row r="3191" spans="3:4" x14ac:dyDescent="0.3">
      <c r="C3191" s="62"/>
      <c r="D3191" s="62"/>
    </row>
    <row r="3192" spans="3:4" x14ac:dyDescent="0.3">
      <c r="C3192" s="62"/>
      <c r="D3192" s="62"/>
    </row>
    <row r="3193" spans="3:4" x14ac:dyDescent="0.3">
      <c r="C3193" s="62"/>
      <c r="D3193" s="62"/>
    </row>
    <row r="3194" spans="3:4" x14ac:dyDescent="0.3">
      <c r="C3194" s="62"/>
      <c r="D3194" s="62"/>
    </row>
    <row r="3195" spans="3:4" x14ac:dyDescent="0.3">
      <c r="C3195" s="62"/>
      <c r="D3195" s="62"/>
    </row>
    <row r="3196" spans="3:4" x14ac:dyDescent="0.3">
      <c r="C3196" s="62"/>
      <c r="D3196" s="62"/>
    </row>
    <row r="3197" spans="3:4" x14ac:dyDescent="0.3">
      <c r="C3197" s="62"/>
      <c r="D3197" s="62"/>
    </row>
    <row r="3198" spans="3:4" x14ac:dyDescent="0.3">
      <c r="C3198" s="62"/>
      <c r="D3198" s="62"/>
    </row>
    <row r="3199" spans="3:4" x14ac:dyDescent="0.3">
      <c r="C3199" s="62"/>
      <c r="D3199" s="62"/>
    </row>
    <row r="3200" spans="3:4" x14ac:dyDescent="0.3">
      <c r="C3200" s="62"/>
      <c r="D3200" s="62"/>
    </row>
    <row r="3201" spans="3:4" x14ac:dyDescent="0.3">
      <c r="C3201" s="62"/>
      <c r="D3201" s="62"/>
    </row>
    <row r="3202" spans="3:4" x14ac:dyDescent="0.3">
      <c r="C3202" s="62"/>
      <c r="D3202" s="62"/>
    </row>
    <row r="3203" spans="3:4" x14ac:dyDescent="0.3">
      <c r="C3203" s="62"/>
      <c r="D3203" s="62"/>
    </row>
    <row r="3204" spans="3:4" x14ac:dyDescent="0.3">
      <c r="C3204" s="62"/>
      <c r="D3204" s="62"/>
    </row>
    <row r="3205" spans="3:4" x14ac:dyDescent="0.3">
      <c r="C3205" s="62"/>
      <c r="D3205" s="62"/>
    </row>
    <row r="3206" spans="3:4" x14ac:dyDescent="0.3">
      <c r="C3206" s="62"/>
      <c r="D3206" s="62"/>
    </row>
    <row r="3207" spans="3:4" x14ac:dyDescent="0.3">
      <c r="C3207" s="62"/>
      <c r="D3207" s="62"/>
    </row>
    <row r="3208" spans="3:4" x14ac:dyDescent="0.3">
      <c r="C3208" s="62"/>
      <c r="D3208" s="62"/>
    </row>
    <row r="3209" spans="3:4" x14ac:dyDescent="0.3">
      <c r="C3209" s="62"/>
      <c r="D3209" s="62"/>
    </row>
    <row r="3210" spans="3:4" x14ac:dyDescent="0.3">
      <c r="C3210" s="62"/>
      <c r="D3210" s="62"/>
    </row>
    <row r="3211" spans="3:4" x14ac:dyDescent="0.3">
      <c r="C3211" s="62"/>
      <c r="D3211" s="62"/>
    </row>
    <row r="3212" spans="3:4" x14ac:dyDescent="0.3">
      <c r="C3212" s="62"/>
      <c r="D3212" s="62"/>
    </row>
    <row r="3213" spans="3:4" x14ac:dyDescent="0.3">
      <c r="C3213" s="62"/>
      <c r="D3213" s="62"/>
    </row>
    <row r="3214" spans="3:4" x14ac:dyDescent="0.3">
      <c r="C3214" s="62"/>
      <c r="D3214" s="62"/>
    </row>
    <row r="3215" spans="3:4" x14ac:dyDescent="0.3">
      <c r="C3215" s="62"/>
      <c r="D3215" s="62"/>
    </row>
    <row r="3216" spans="3:4" x14ac:dyDescent="0.3">
      <c r="C3216" s="62"/>
      <c r="D3216" s="62"/>
    </row>
    <row r="3217" spans="3:4" x14ac:dyDescent="0.3">
      <c r="C3217" s="62"/>
      <c r="D3217" s="62"/>
    </row>
    <row r="3218" spans="3:4" x14ac:dyDescent="0.3">
      <c r="C3218" s="62"/>
      <c r="D3218" s="62"/>
    </row>
    <row r="3219" spans="3:4" x14ac:dyDescent="0.3">
      <c r="C3219" s="62"/>
      <c r="D3219" s="62"/>
    </row>
    <row r="3220" spans="3:4" x14ac:dyDescent="0.3">
      <c r="C3220" s="62"/>
      <c r="D3220" s="62"/>
    </row>
    <row r="3221" spans="3:4" x14ac:dyDescent="0.3">
      <c r="C3221" s="62"/>
      <c r="D3221" s="62"/>
    </row>
    <row r="3222" spans="3:4" x14ac:dyDescent="0.3">
      <c r="C3222" s="62"/>
      <c r="D3222" s="62"/>
    </row>
    <row r="3223" spans="3:4" x14ac:dyDescent="0.3">
      <c r="C3223" s="62"/>
      <c r="D3223" s="62"/>
    </row>
    <row r="3224" spans="3:4" x14ac:dyDescent="0.3">
      <c r="C3224" s="62"/>
      <c r="D3224" s="62"/>
    </row>
    <row r="3225" spans="3:4" x14ac:dyDescent="0.3">
      <c r="C3225" s="62"/>
      <c r="D3225" s="62"/>
    </row>
    <row r="3226" spans="3:4" x14ac:dyDescent="0.3">
      <c r="C3226" s="62"/>
      <c r="D3226" s="62"/>
    </row>
    <row r="3227" spans="3:4" x14ac:dyDescent="0.3">
      <c r="C3227" s="62"/>
      <c r="D3227" s="62"/>
    </row>
    <row r="3228" spans="3:4" x14ac:dyDescent="0.3">
      <c r="C3228" s="62"/>
      <c r="D3228" s="62"/>
    </row>
    <row r="3229" spans="3:4" x14ac:dyDescent="0.3">
      <c r="C3229" s="62"/>
      <c r="D3229" s="62"/>
    </row>
    <row r="3230" spans="3:4" x14ac:dyDescent="0.3">
      <c r="C3230" s="62"/>
      <c r="D3230" s="62"/>
    </row>
    <row r="3231" spans="3:4" x14ac:dyDescent="0.3">
      <c r="C3231" s="62"/>
      <c r="D3231" s="62"/>
    </row>
    <row r="3232" spans="3:4" x14ac:dyDescent="0.3">
      <c r="C3232" s="62"/>
      <c r="D3232" s="62"/>
    </row>
    <row r="3233" spans="3:4" x14ac:dyDescent="0.3">
      <c r="C3233" s="62"/>
      <c r="D3233" s="62"/>
    </row>
    <row r="3234" spans="3:4" x14ac:dyDescent="0.3">
      <c r="C3234" s="62"/>
      <c r="D3234" s="62"/>
    </row>
    <row r="3235" spans="3:4" x14ac:dyDescent="0.3">
      <c r="C3235" s="62"/>
      <c r="D3235" s="62"/>
    </row>
    <row r="3236" spans="3:4" x14ac:dyDescent="0.3">
      <c r="C3236" s="62"/>
      <c r="D3236" s="62"/>
    </row>
    <row r="3237" spans="3:4" x14ac:dyDescent="0.3">
      <c r="C3237" s="62"/>
      <c r="D3237" s="62"/>
    </row>
    <row r="3238" spans="3:4" x14ac:dyDescent="0.3">
      <c r="C3238" s="62"/>
      <c r="D3238" s="62"/>
    </row>
    <row r="3239" spans="3:4" x14ac:dyDescent="0.3">
      <c r="C3239" s="62"/>
      <c r="D3239" s="62"/>
    </row>
    <row r="3240" spans="3:4" x14ac:dyDescent="0.3">
      <c r="C3240" s="62"/>
      <c r="D3240" s="62"/>
    </row>
    <row r="3241" spans="3:4" x14ac:dyDescent="0.3">
      <c r="C3241" s="62"/>
      <c r="D3241" s="62"/>
    </row>
    <row r="3242" spans="3:4" x14ac:dyDescent="0.3">
      <c r="C3242" s="62"/>
      <c r="D3242" s="62"/>
    </row>
    <row r="3243" spans="3:4" x14ac:dyDescent="0.3">
      <c r="C3243" s="62"/>
      <c r="D3243" s="62"/>
    </row>
    <row r="3244" spans="3:4" x14ac:dyDescent="0.3">
      <c r="C3244" s="62"/>
      <c r="D3244" s="62"/>
    </row>
    <row r="3245" spans="3:4" x14ac:dyDescent="0.3">
      <c r="C3245" s="62"/>
      <c r="D3245" s="62"/>
    </row>
    <row r="3246" spans="3:4" x14ac:dyDescent="0.3">
      <c r="C3246" s="62"/>
      <c r="D3246" s="62"/>
    </row>
    <row r="3247" spans="3:4" x14ac:dyDescent="0.3">
      <c r="C3247" s="62"/>
      <c r="D3247" s="62"/>
    </row>
    <row r="3248" spans="3:4" x14ac:dyDescent="0.3">
      <c r="C3248" s="62"/>
      <c r="D3248" s="62"/>
    </row>
    <row r="3249" spans="3:4" x14ac:dyDescent="0.3">
      <c r="C3249" s="62"/>
      <c r="D3249" s="62"/>
    </row>
    <row r="3250" spans="3:4" x14ac:dyDescent="0.3">
      <c r="C3250" s="62"/>
      <c r="D3250" s="62"/>
    </row>
    <row r="3251" spans="3:4" x14ac:dyDescent="0.3">
      <c r="C3251" s="62"/>
      <c r="D3251" s="62"/>
    </row>
    <row r="3252" spans="3:4" x14ac:dyDescent="0.3">
      <c r="C3252" s="62"/>
      <c r="D3252" s="62"/>
    </row>
    <row r="3253" spans="3:4" x14ac:dyDescent="0.3">
      <c r="C3253" s="62"/>
      <c r="D3253" s="62"/>
    </row>
    <row r="3254" spans="3:4" x14ac:dyDescent="0.3">
      <c r="C3254" s="62"/>
      <c r="D3254" s="62"/>
    </row>
    <row r="3255" spans="3:4" x14ac:dyDescent="0.3">
      <c r="C3255" s="62"/>
      <c r="D3255" s="62"/>
    </row>
    <row r="3256" spans="3:4" x14ac:dyDescent="0.3">
      <c r="C3256" s="62"/>
      <c r="D3256" s="62"/>
    </row>
    <row r="3257" spans="3:4" x14ac:dyDescent="0.3">
      <c r="C3257" s="62"/>
      <c r="D3257" s="62"/>
    </row>
    <row r="3258" spans="3:4" x14ac:dyDescent="0.3">
      <c r="C3258" s="62"/>
      <c r="D3258" s="62"/>
    </row>
    <row r="3259" spans="3:4" x14ac:dyDescent="0.3">
      <c r="C3259" s="62"/>
      <c r="D3259" s="62"/>
    </row>
    <row r="3260" spans="3:4" x14ac:dyDescent="0.3">
      <c r="C3260" s="62"/>
      <c r="D3260" s="62"/>
    </row>
    <row r="3261" spans="3:4" x14ac:dyDescent="0.3">
      <c r="C3261" s="62"/>
      <c r="D3261" s="62"/>
    </row>
    <row r="3262" spans="3:4" x14ac:dyDescent="0.3">
      <c r="C3262" s="62"/>
      <c r="D3262" s="62"/>
    </row>
    <row r="3263" spans="3:4" x14ac:dyDescent="0.3">
      <c r="C3263" s="62"/>
      <c r="D3263" s="62"/>
    </row>
    <row r="3264" spans="3:4" x14ac:dyDescent="0.3">
      <c r="C3264" s="62"/>
      <c r="D3264" s="62"/>
    </row>
    <row r="3265" spans="3:4" x14ac:dyDescent="0.3">
      <c r="C3265" s="62"/>
      <c r="D3265" s="62"/>
    </row>
    <row r="3266" spans="3:4" x14ac:dyDescent="0.3">
      <c r="C3266" s="62"/>
      <c r="D3266" s="62"/>
    </row>
    <row r="3267" spans="3:4" x14ac:dyDescent="0.3">
      <c r="C3267" s="62"/>
      <c r="D3267" s="62"/>
    </row>
    <row r="3268" spans="3:4" x14ac:dyDescent="0.3">
      <c r="C3268" s="62"/>
      <c r="D3268" s="62"/>
    </row>
    <row r="3269" spans="3:4" x14ac:dyDescent="0.3">
      <c r="C3269" s="62"/>
      <c r="D3269" s="62"/>
    </row>
    <row r="3270" spans="3:4" x14ac:dyDescent="0.3">
      <c r="C3270" s="62"/>
      <c r="D3270" s="62"/>
    </row>
    <row r="3271" spans="3:4" x14ac:dyDescent="0.3">
      <c r="C3271" s="62"/>
      <c r="D3271" s="62"/>
    </row>
    <row r="3272" spans="3:4" x14ac:dyDescent="0.3">
      <c r="C3272" s="62"/>
      <c r="D3272" s="62"/>
    </row>
    <row r="3273" spans="3:4" x14ac:dyDescent="0.3">
      <c r="C3273" s="62"/>
      <c r="D3273" s="62"/>
    </row>
    <row r="3274" spans="3:4" x14ac:dyDescent="0.3">
      <c r="C3274" s="62"/>
      <c r="D3274" s="62"/>
    </row>
    <row r="3275" spans="3:4" x14ac:dyDescent="0.3">
      <c r="C3275" s="62"/>
      <c r="D3275" s="62"/>
    </row>
    <row r="3276" spans="3:4" x14ac:dyDescent="0.3">
      <c r="C3276" s="62"/>
      <c r="D3276" s="62"/>
    </row>
    <row r="3277" spans="3:4" x14ac:dyDescent="0.3">
      <c r="C3277" s="62"/>
      <c r="D3277" s="62"/>
    </row>
    <row r="3278" spans="3:4" x14ac:dyDescent="0.3">
      <c r="C3278" s="62"/>
      <c r="D3278" s="62"/>
    </row>
    <row r="3279" spans="3:4" x14ac:dyDescent="0.3">
      <c r="C3279" s="62"/>
      <c r="D3279" s="62"/>
    </row>
    <row r="3280" spans="3:4" x14ac:dyDescent="0.3">
      <c r="C3280" s="62"/>
      <c r="D3280" s="62"/>
    </row>
    <row r="3281" spans="3:4" x14ac:dyDescent="0.3">
      <c r="C3281" s="62"/>
      <c r="D3281" s="62"/>
    </row>
    <row r="3282" spans="3:4" x14ac:dyDescent="0.3">
      <c r="C3282" s="62"/>
      <c r="D3282" s="62"/>
    </row>
    <row r="3283" spans="3:4" x14ac:dyDescent="0.3">
      <c r="C3283" s="62"/>
      <c r="D3283" s="62"/>
    </row>
    <row r="3284" spans="3:4" x14ac:dyDescent="0.3">
      <c r="C3284" s="62"/>
      <c r="D3284" s="62"/>
    </row>
    <row r="3285" spans="3:4" x14ac:dyDescent="0.3">
      <c r="C3285" s="62"/>
      <c r="D3285" s="62"/>
    </row>
    <row r="3286" spans="3:4" x14ac:dyDescent="0.3">
      <c r="C3286" s="62"/>
      <c r="D3286" s="62"/>
    </row>
    <row r="3287" spans="3:4" x14ac:dyDescent="0.3">
      <c r="C3287" s="62"/>
      <c r="D3287" s="62"/>
    </row>
    <row r="3288" spans="3:4" x14ac:dyDescent="0.3">
      <c r="C3288" s="62"/>
      <c r="D3288" s="62"/>
    </row>
    <row r="3289" spans="3:4" x14ac:dyDescent="0.3">
      <c r="C3289" s="62"/>
      <c r="D3289" s="62"/>
    </row>
    <row r="3290" spans="3:4" x14ac:dyDescent="0.3">
      <c r="C3290" s="62"/>
      <c r="D3290" s="62"/>
    </row>
    <row r="3291" spans="3:4" x14ac:dyDescent="0.3">
      <c r="C3291" s="62"/>
      <c r="D3291" s="62"/>
    </row>
    <row r="3292" spans="3:4" x14ac:dyDescent="0.3">
      <c r="C3292" s="62"/>
      <c r="D3292" s="62"/>
    </row>
    <row r="3293" spans="3:4" x14ac:dyDescent="0.3">
      <c r="C3293" s="62"/>
      <c r="D3293" s="62"/>
    </row>
    <row r="3294" spans="3:4" x14ac:dyDescent="0.3">
      <c r="C3294" s="62"/>
      <c r="D3294" s="62"/>
    </row>
    <row r="3295" spans="3:4" x14ac:dyDescent="0.3">
      <c r="C3295" s="62"/>
      <c r="D3295" s="62"/>
    </row>
    <row r="3296" spans="3:4" x14ac:dyDescent="0.3">
      <c r="C3296" s="62"/>
      <c r="D3296" s="62"/>
    </row>
    <row r="3297" spans="3:4" x14ac:dyDescent="0.3">
      <c r="C3297" s="62"/>
      <c r="D3297" s="62"/>
    </row>
    <row r="3298" spans="3:4" x14ac:dyDescent="0.3">
      <c r="C3298" s="62"/>
      <c r="D3298" s="62"/>
    </row>
    <row r="3299" spans="3:4" x14ac:dyDescent="0.3">
      <c r="C3299" s="62"/>
      <c r="D3299" s="62"/>
    </row>
    <row r="3300" spans="3:4" x14ac:dyDescent="0.3">
      <c r="C3300" s="62"/>
      <c r="D3300" s="62"/>
    </row>
    <row r="3301" spans="3:4" x14ac:dyDescent="0.3">
      <c r="C3301" s="62"/>
      <c r="D3301" s="62"/>
    </row>
    <row r="3302" spans="3:4" x14ac:dyDescent="0.3">
      <c r="C3302" s="62"/>
      <c r="D3302" s="62"/>
    </row>
    <row r="3303" spans="3:4" x14ac:dyDescent="0.3">
      <c r="C3303" s="62"/>
      <c r="D3303" s="62"/>
    </row>
    <row r="3304" spans="3:4" x14ac:dyDescent="0.3">
      <c r="C3304" s="62"/>
      <c r="D3304" s="62"/>
    </row>
    <row r="3305" spans="3:4" x14ac:dyDescent="0.3">
      <c r="C3305" s="62"/>
      <c r="D3305" s="62"/>
    </row>
    <row r="3306" spans="3:4" x14ac:dyDescent="0.3">
      <c r="C3306" s="62"/>
      <c r="D3306" s="62"/>
    </row>
    <row r="3307" spans="3:4" x14ac:dyDescent="0.3">
      <c r="C3307" s="62"/>
      <c r="D3307" s="62"/>
    </row>
    <row r="3308" spans="3:4" x14ac:dyDescent="0.3">
      <c r="C3308" s="62"/>
      <c r="D3308" s="62"/>
    </row>
    <row r="3309" spans="3:4" x14ac:dyDescent="0.3">
      <c r="C3309" s="62"/>
      <c r="D3309" s="62"/>
    </row>
    <row r="3310" spans="3:4" x14ac:dyDescent="0.3">
      <c r="C3310" s="62"/>
      <c r="D3310" s="62"/>
    </row>
    <row r="3311" spans="3:4" x14ac:dyDescent="0.3">
      <c r="C3311" s="62"/>
      <c r="D3311" s="62"/>
    </row>
    <row r="3312" spans="3:4" x14ac:dyDescent="0.3">
      <c r="C3312" s="62"/>
      <c r="D3312" s="62"/>
    </row>
    <row r="3313" spans="3:4" x14ac:dyDescent="0.3">
      <c r="C3313" s="62"/>
      <c r="D3313" s="62"/>
    </row>
    <row r="3314" spans="3:4" x14ac:dyDescent="0.3">
      <c r="C3314" s="62"/>
      <c r="D3314" s="62"/>
    </row>
    <row r="3315" spans="3:4" x14ac:dyDescent="0.3">
      <c r="C3315" s="62"/>
      <c r="D3315" s="62"/>
    </row>
    <row r="3316" spans="3:4" x14ac:dyDescent="0.3">
      <c r="C3316" s="62"/>
      <c r="D3316" s="62"/>
    </row>
    <row r="3317" spans="3:4" x14ac:dyDescent="0.3">
      <c r="C3317" s="62"/>
      <c r="D3317" s="62"/>
    </row>
    <row r="3318" spans="3:4" x14ac:dyDescent="0.3">
      <c r="C3318" s="62"/>
      <c r="D3318" s="62"/>
    </row>
    <row r="3319" spans="3:4" x14ac:dyDescent="0.3">
      <c r="C3319" s="62"/>
      <c r="D3319" s="62"/>
    </row>
    <row r="3320" spans="3:4" x14ac:dyDescent="0.3">
      <c r="C3320" s="62"/>
      <c r="D3320" s="62"/>
    </row>
    <row r="3321" spans="3:4" x14ac:dyDescent="0.3">
      <c r="C3321" s="62"/>
      <c r="D3321" s="62"/>
    </row>
    <row r="3322" spans="3:4" x14ac:dyDescent="0.3">
      <c r="C3322" s="62"/>
      <c r="D3322" s="62"/>
    </row>
    <row r="3323" spans="3:4" x14ac:dyDescent="0.3">
      <c r="C3323" s="62"/>
      <c r="D3323" s="62"/>
    </row>
    <row r="3324" spans="3:4" x14ac:dyDescent="0.3">
      <c r="C3324" s="62"/>
      <c r="D3324" s="62"/>
    </row>
    <row r="3325" spans="3:4" x14ac:dyDescent="0.3">
      <c r="C3325" s="62"/>
      <c r="D3325" s="62"/>
    </row>
    <row r="3326" spans="3:4" x14ac:dyDescent="0.3">
      <c r="C3326" s="62"/>
      <c r="D3326" s="62"/>
    </row>
    <row r="3327" spans="3:4" x14ac:dyDescent="0.3">
      <c r="C3327" s="62"/>
      <c r="D3327" s="62"/>
    </row>
    <row r="3328" spans="3:4" x14ac:dyDescent="0.3">
      <c r="C3328" s="62"/>
      <c r="D3328" s="62"/>
    </row>
    <row r="3329" spans="3:4" x14ac:dyDescent="0.3">
      <c r="C3329" s="62"/>
      <c r="D3329" s="62"/>
    </row>
    <row r="3330" spans="3:4" x14ac:dyDescent="0.3">
      <c r="C3330" s="62"/>
      <c r="D3330" s="62"/>
    </row>
    <row r="3331" spans="3:4" x14ac:dyDescent="0.3">
      <c r="C3331" s="62"/>
      <c r="D3331" s="62"/>
    </row>
    <row r="3332" spans="3:4" x14ac:dyDescent="0.3">
      <c r="C3332" s="62"/>
      <c r="D3332" s="62"/>
    </row>
    <row r="3333" spans="3:4" x14ac:dyDescent="0.3">
      <c r="C3333" s="62"/>
      <c r="D3333" s="62"/>
    </row>
    <row r="3334" spans="3:4" x14ac:dyDescent="0.3">
      <c r="C3334" s="62"/>
      <c r="D3334" s="62"/>
    </row>
    <row r="3335" spans="3:4" x14ac:dyDescent="0.3">
      <c r="C3335" s="62"/>
      <c r="D3335" s="62"/>
    </row>
    <row r="3336" spans="3:4" x14ac:dyDescent="0.3">
      <c r="C3336" s="62"/>
      <c r="D3336" s="62"/>
    </row>
    <row r="3337" spans="3:4" x14ac:dyDescent="0.3">
      <c r="C3337" s="62"/>
      <c r="D3337" s="62"/>
    </row>
    <row r="3338" spans="3:4" x14ac:dyDescent="0.3">
      <c r="C3338" s="62"/>
      <c r="D3338" s="62"/>
    </row>
    <row r="3339" spans="3:4" x14ac:dyDescent="0.3">
      <c r="C3339" s="62"/>
      <c r="D3339" s="62"/>
    </row>
    <row r="3340" spans="3:4" x14ac:dyDescent="0.3">
      <c r="C3340" s="62"/>
      <c r="D3340" s="62"/>
    </row>
    <row r="3341" spans="3:4" x14ac:dyDescent="0.3">
      <c r="C3341" s="62"/>
      <c r="D3341" s="62"/>
    </row>
    <row r="3342" spans="3:4" x14ac:dyDescent="0.3">
      <c r="C3342" s="62"/>
      <c r="D3342" s="62"/>
    </row>
    <row r="3343" spans="3:4" x14ac:dyDescent="0.3">
      <c r="C3343" s="62"/>
      <c r="D3343" s="62"/>
    </row>
    <row r="3344" spans="3:4" x14ac:dyDescent="0.3">
      <c r="C3344" s="62"/>
      <c r="D3344" s="62"/>
    </row>
    <row r="3345" spans="3:4" x14ac:dyDescent="0.3">
      <c r="C3345" s="62"/>
      <c r="D3345" s="62"/>
    </row>
    <row r="3346" spans="3:4" x14ac:dyDescent="0.3">
      <c r="C3346" s="62"/>
      <c r="D3346" s="62"/>
    </row>
    <row r="3347" spans="3:4" x14ac:dyDescent="0.3">
      <c r="C3347" s="62"/>
      <c r="D3347" s="62"/>
    </row>
    <row r="3348" spans="3:4" x14ac:dyDescent="0.3">
      <c r="C3348" s="62"/>
      <c r="D3348" s="62"/>
    </row>
    <row r="3349" spans="3:4" x14ac:dyDescent="0.3">
      <c r="C3349" s="62"/>
      <c r="D3349" s="62"/>
    </row>
    <row r="3350" spans="3:4" x14ac:dyDescent="0.3">
      <c r="C3350" s="62"/>
      <c r="D3350" s="62"/>
    </row>
    <row r="3351" spans="3:4" x14ac:dyDescent="0.3">
      <c r="C3351" s="62"/>
      <c r="D3351" s="62"/>
    </row>
    <row r="3352" spans="3:4" x14ac:dyDescent="0.3">
      <c r="C3352" s="62"/>
      <c r="D3352" s="62"/>
    </row>
    <row r="3353" spans="3:4" x14ac:dyDescent="0.3">
      <c r="C3353" s="62"/>
      <c r="D3353" s="62"/>
    </row>
    <row r="3354" spans="3:4" x14ac:dyDescent="0.3">
      <c r="C3354" s="62"/>
      <c r="D3354" s="62"/>
    </row>
    <row r="3355" spans="3:4" x14ac:dyDescent="0.3">
      <c r="C3355" s="62"/>
      <c r="D3355" s="62"/>
    </row>
    <row r="3356" spans="3:4" x14ac:dyDescent="0.3">
      <c r="C3356" s="62"/>
      <c r="D3356" s="62"/>
    </row>
    <row r="3357" spans="3:4" x14ac:dyDescent="0.3">
      <c r="C3357" s="62"/>
      <c r="D3357" s="62"/>
    </row>
    <row r="3358" spans="3:4" x14ac:dyDescent="0.3">
      <c r="C3358" s="62"/>
      <c r="D3358" s="62"/>
    </row>
    <row r="3359" spans="3:4" x14ac:dyDescent="0.3">
      <c r="C3359" s="62"/>
      <c r="D3359" s="62"/>
    </row>
    <row r="3360" spans="3:4" x14ac:dyDescent="0.3">
      <c r="C3360" s="62"/>
      <c r="D3360" s="62"/>
    </row>
    <row r="3361" spans="3:4" x14ac:dyDescent="0.3">
      <c r="C3361" s="62"/>
      <c r="D3361" s="62"/>
    </row>
    <row r="3362" spans="3:4" x14ac:dyDescent="0.3">
      <c r="C3362" s="62"/>
      <c r="D3362" s="62"/>
    </row>
    <row r="3363" spans="3:4" x14ac:dyDescent="0.3">
      <c r="C3363" s="62"/>
      <c r="D3363" s="62"/>
    </row>
    <row r="3364" spans="3:4" x14ac:dyDescent="0.3">
      <c r="C3364" s="62"/>
      <c r="D3364" s="62"/>
    </row>
    <row r="3365" spans="3:4" x14ac:dyDescent="0.3">
      <c r="C3365" s="62"/>
      <c r="D3365" s="62"/>
    </row>
    <row r="3366" spans="3:4" x14ac:dyDescent="0.3">
      <c r="C3366" s="62"/>
      <c r="D3366" s="62"/>
    </row>
    <row r="3367" spans="3:4" x14ac:dyDescent="0.3">
      <c r="C3367" s="62"/>
      <c r="D3367" s="62"/>
    </row>
    <row r="3368" spans="3:4" x14ac:dyDescent="0.3">
      <c r="C3368" s="62"/>
      <c r="D3368" s="62"/>
    </row>
    <row r="3369" spans="3:4" x14ac:dyDescent="0.3">
      <c r="C3369" s="62"/>
      <c r="D3369" s="62"/>
    </row>
    <row r="3370" spans="3:4" x14ac:dyDescent="0.3">
      <c r="C3370" s="62"/>
      <c r="D3370" s="62"/>
    </row>
    <row r="3371" spans="3:4" x14ac:dyDescent="0.3">
      <c r="C3371" s="62"/>
      <c r="D3371" s="62"/>
    </row>
    <row r="3372" spans="3:4" x14ac:dyDescent="0.3">
      <c r="C3372" s="62"/>
      <c r="D3372" s="62"/>
    </row>
    <row r="3373" spans="3:4" x14ac:dyDescent="0.3">
      <c r="C3373" s="62"/>
      <c r="D3373" s="62"/>
    </row>
    <row r="3374" spans="3:4" x14ac:dyDescent="0.3">
      <c r="C3374" s="62"/>
      <c r="D3374" s="62"/>
    </row>
    <row r="3375" spans="3:4" x14ac:dyDescent="0.3">
      <c r="C3375" s="62"/>
      <c r="D3375" s="62"/>
    </row>
    <row r="3376" spans="3:4" x14ac:dyDescent="0.3">
      <c r="C3376" s="62"/>
      <c r="D3376" s="62"/>
    </row>
    <row r="3377" spans="3:4" x14ac:dyDescent="0.3">
      <c r="C3377" s="62"/>
      <c r="D3377" s="62"/>
    </row>
    <row r="3378" spans="3:4" x14ac:dyDescent="0.3">
      <c r="C3378" s="62"/>
      <c r="D3378" s="62"/>
    </row>
    <row r="3379" spans="3:4" x14ac:dyDescent="0.3">
      <c r="C3379" s="62"/>
      <c r="D3379" s="62"/>
    </row>
    <row r="3380" spans="3:4" x14ac:dyDescent="0.3">
      <c r="C3380" s="62"/>
      <c r="D3380" s="62"/>
    </row>
    <row r="3381" spans="3:4" x14ac:dyDescent="0.3">
      <c r="C3381" s="62"/>
      <c r="D3381" s="62"/>
    </row>
    <row r="3382" spans="3:4" x14ac:dyDescent="0.3">
      <c r="C3382" s="62"/>
      <c r="D3382" s="62"/>
    </row>
    <row r="3383" spans="3:4" x14ac:dyDescent="0.3">
      <c r="C3383" s="62"/>
      <c r="D3383" s="62"/>
    </row>
    <row r="3384" spans="3:4" x14ac:dyDescent="0.3">
      <c r="C3384" s="62"/>
      <c r="D3384" s="62"/>
    </row>
    <row r="3385" spans="3:4" x14ac:dyDescent="0.3">
      <c r="C3385" s="62"/>
      <c r="D3385" s="62"/>
    </row>
    <row r="3386" spans="3:4" x14ac:dyDescent="0.3">
      <c r="C3386" s="62"/>
      <c r="D3386" s="62"/>
    </row>
    <row r="3387" spans="3:4" x14ac:dyDescent="0.3">
      <c r="C3387" s="62"/>
      <c r="D3387" s="62"/>
    </row>
    <row r="3388" spans="3:4" x14ac:dyDescent="0.3">
      <c r="C3388" s="62"/>
      <c r="D3388" s="62"/>
    </row>
    <row r="3389" spans="3:4" x14ac:dyDescent="0.3">
      <c r="C3389" s="62"/>
      <c r="D3389" s="62"/>
    </row>
    <row r="3390" spans="3:4" x14ac:dyDescent="0.3">
      <c r="C3390" s="62"/>
      <c r="D3390" s="62"/>
    </row>
    <row r="3391" spans="3:4" x14ac:dyDescent="0.3">
      <c r="C3391" s="62"/>
      <c r="D3391" s="62"/>
    </row>
    <row r="3392" spans="3:4" x14ac:dyDescent="0.3">
      <c r="C3392" s="62"/>
      <c r="D3392" s="62"/>
    </row>
    <row r="3393" spans="3:4" x14ac:dyDescent="0.3">
      <c r="C3393" s="62"/>
      <c r="D3393" s="62"/>
    </row>
    <row r="3394" spans="3:4" x14ac:dyDescent="0.3">
      <c r="C3394" s="62"/>
      <c r="D3394" s="62"/>
    </row>
    <row r="3395" spans="3:4" x14ac:dyDescent="0.3">
      <c r="C3395" s="62"/>
      <c r="D3395" s="62"/>
    </row>
    <row r="3396" spans="3:4" x14ac:dyDescent="0.3">
      <c r="C3396" s="62"/>
      <c r="D3396" s="62"/>
    </row>
    <row r="3397" spans="3:4" x14ac:dyDescent="0.3">
      <c r="C3397" s="62"/>
      <c r="D3397" s="62"/>
    </row>
    <row r="3398" spans="3:4" x14ac:dyDescent="0.3">
      <c r="C3398" s="62"/>
      <c r="D3398" s="62"/>
    </row>
    <row r="3399" spans="3:4" x14ac:dyDescent="0.3">
      <c r="C3399" s="62"/>
      <c r="D3399" s="62"/>
    </row>
    <row r="3400" spans="3:4" x14ac:dyDescent="0.3">
      <c r="C3400" s="62"/>
      <c r="D3400" s="62"/>
    </row>
    <row r="3401" spans="3:4" x14ac:dyDescent="0.3">
      <c r="C3401" s="62"/>
      <c r="D3401" s="62"/>
    </row>
    <row r="3402" spans="3:4" x14ac:dyDescent="0.3">
      <c r="C3402" s="62"/>
      <c r="D3402" s="62"/>
    </row>
    <row r="3403" spans="3:4" x14ac:dyDescent="0.3">
      <c r="C3403" s="62"/>
      <c r="D3403" s="62"/>
    </row>
    <row r="3404" spans="3:4" x14ac:dyDescent="0.3">
      <c r="C3404" s="62"/>
      <c r="D3404" s="62"/>
    </row>
    <row r="3405" spans="3:4" x14ac:dyDescent="0.3">
      <c r="C3405" s="62"/>
      <c r="D3405" s="62"/>
    </row>
    <row r="3406" spans="3:4" x14ac:dyDescent="0.3">
      <c r="C3406" s="62"/>
      <c r="D3406" s="62"/>
    </row>
    <row r="3407" spans="3:4" x14ac:dyDescent="0.3">
      <c r="C3407" s="62"/>
      <c r="D3407" s="62"/>
    </row>
    <row r="3408" spans="3:4" x14ac:dyDescent="0.3">
      <c r="C3408" s="62"/>
      <c r="D3408" s="62"/>
    </row>
    <row r="3409" spans="3:4" x14ac:dyDescent="0.3">
      <c r="C3409" s="62"/>
      <c r="D3409" s="62"/>
    </row>
    <row r="3410" spans="3:4" x14ac:dyDescent="0.3">
      <c r="C3410" s="62"/>
      <c r="D3410" s="62"/>
    </row>
    <row r="3411" spans="3:4" x14ac:dyDescent="0.3">
      <c r="C3411" s="62"/>
      <c r="D3411" s="62"/>
    </row>
    <row r="3412" spans="3:4" x14ac:dyDescent="0.3">
      <c r="C3412" s="62"/>
      <c r="D3412" s="62"/>
    </row>
    <row r="3413" spans="3:4" x14ac:dyDescent="0.3">
      <c r="C3413" s="62"/>
      <c r="D3413" s="62"/>
    </row>
    <row r="3414" spans="3:4" x14ac:dyDescent="0.3">
      <c r="C3414" s="62"/>
      <c r="D3414" s="62"/>
    </row>
    <row r="3415" spans="3:4" x14ac:dyDescent="0.3">
      <c r="C3415" s="62"/>
      <c r="D3415" s="62"/>
    </row>
    <row r="3416" spans="3:4" x14ac:dyDescent="0.3">
      <c r="C3416" s="62"/>
      <c r="D3416" s="62"/>
    </row>
    <row r="3417" spans="3:4" x14ac:dyDescent="0.3">
      <c r="C3417" s="62"/>
      <c r="D3417" s="62"/>
    </row>
    <row r="3418" spans="3:4" x14ac:dyDescent="0.3">
      <c r="C3418" s="62"/>
      <c r="D3418" s="62"/>
    </row>
    <row r="3419" spans="3:4" x14ac:dyDescent="0.3">
      <c r="C3419" s="62"/>
      <c r="D3419" s="62"/>
    </row>
    <row r="3420" spans="3:4" x14ac:dyDescent="0.3">
      <c r="C3420" s="62"/>
      <c r="D3420" s="62"/>
    </row>
    <row r="3421" spans="3:4" x14ac:dyDescent="0.3">
      <c r="C3421" s="62"/>
      <c r="D3421" s="62"/>
    </row>
    <row r="3422" spans="3:4" x14ac:dyDescent="0.3">
      <c r="C3422" s="62"/>
      <c r="D3422" s="62"/>
    </row>
    <row r="3423" spans="3:4" x14ac:dyDescent="0.3">
      <c r="C3423" s="62"/>
      <c r="D3423" s="62"/>
    </row>
    <row r="3424" spans="3:4" x14ac:dyDescent="0.3">
      <c r="C3424" s="62"/>
      <c r="D3424" s="62"/>
    </row>
    <row r="3425" spans="3:4" x14ac:dyDescent="0.3">
      <c r="C3425" s="62"/>
      <c r="D3425" s="62"/>
    </row>
    <row r="3426" spans="3:4" x14ac:dyDescent="0.3">
      <c r="C3426" s="62"/>
      <c r="D3426" s="62"/>
    </row>
    <row r="3427" spans="3:4" x14ac:dyDescent="0.3">
      <c r="C3427" s="62"/>
      <c r="D3427" s="62"/>
    </row>
    <row r="3428" spans="3:4" x14ac:dyDescent="0.3">
      <c r="C3428" s="62"/>
      <c r="D3428" s="62"/>
    </row>
    <row r="3429" spans="3:4" x14ac:dyDescent="0.3">
      <c r="C3429" s="62"/>
      <c r="D3429" s="62"/>
    </row>
    <row r="3430" spans="3:4" x14ac:dyDescent="0.3">
      <c r="C3430" s="62"/>
      <c r="D3430" s="62"/>
    </row>
    <row r="3431" spans="3:4" x14ac:dyDescent="0.3">
      <c r="C3431" s="62"/>
      <c r="D3431" s="62"/>
    </row>
    <row r="3432" spans="3:4" x14ac:dyDescent="0.3">
      <c r="C3432" s="62"/>
      <c r="D3432" s="62"/>
    </row>
    <row r="3433" spans="3:4" x14ac:dyDescent="0.3">
      <c r="C3433" s="62"/>
      <c r="D3433" s="62"/>
    </row>
    <row r="3434" spans="3:4" x14ac:dyDescent="0.3">
      <c r="C3434" s="62"/>
      <c r="D3434" s="62"/>
    </row>
    <row r="3435" spans="3:4" x14ac:dyDescent="0.3">
      <c r="C3435" s="62"/>
      <c r="D3435" s="62"/>
    </row>
    <row r="3436" spans="3:4" x14ac:dyDescent="0.3">
      <c r="C3436" s="62"/>
      <c r="D3436" s="62"/>
    </row>
    <row r="3437" spans="3:4" x14ac:dyDescent="0.3">
      <c r="C3437" s="62"/>
      <c r="D3437" s="62"/>
    </row>
    <row r="3438" spans="3:4" x14ac:dyDescent="0.3">
      <c r="C3438" s="62"/>
      <c r="D3438" s="62"/>
    </row>
    <row r="3439" spans="3:4" x14ac:dyDescent="0.3">
      <c r="C3439" s="62"/>
      <c r="D3439" s="62"/>
    </row>
    <row r="3440" spans="3:4" x14ac:dyDescent="0.3">
      <c r="C3440" s="62"/>
      <c r="D3440" s="62"/>
    </row>
    <row r="3441" spans="3:4" x14ac:dyDescent="0.3">
      <c r="C3441" s="62"/>
      <c r="D3441" s="62"/>
    </row>
    <row r="3442" spans="3:4" x14ac:dyDescent="0.3">
      <c r="C3442" s="62"/>
      <c r="D3442" s="62"/>
    </row>
    <row r="3443" spans="3:4" x14ac:dyDescent="0.3">
      <c r="C3443" s="62"/>
      <c r="D3443" s="62"/>
    </row>
    <row r="3444" spans="3:4" x14ac:dyDescent="0.3">
      <c r="C3444" s="62"/>
      <c r="D3444" s="62"/>
    </row>
    <row r="3445" spans="3:4" x14ac:dyDescent="0.3">
      <c r="C3445" s="62"/>
      <c r="D3445" s="62"/>
    </row>
    <row r="3446" spans="3:4" x14ac:dyDescent="0.3">
      <c r="C3446" s="62"/>
      <c r="D3446" s="62"/>
    </row>
    <row r="3447" spans="3:4" x14ac:dyDescent="0.3">
      <c r="C3447" s="62"/>
      <c r="D3447" s="62"/>
    </row>
    <row r="3448" spans="3:4" x14ac:dyDescent="0.3">
      <c r="C3448" s="62"/>
      <c r="D3448" s="62"/>
    </row>
    <row r="3449" spans="3:4" x14ac:dyDescent="0.3">
      <c r="C3449" s="62"/>
      <c r="D3449" s="62"/>
    </row>
    <row r="3450" spans="3:4" x14ac:dyDescent="0.3">
      <c r="C3450" s="62"/>
      <c r="D3450" s="62"/>
    </row>
    <row r="3451" spans="3:4" x14ac:dyDescent="0.3">
      <c r="C3451" s="62"/>
      <c r="D3451" s="62"/>
    </row>
    <row r="3452" spans="3:4" x14ac:dyDescent="0.3">
      <c r="C3452" s="62"/>
      <c r="D3452" s="62"/>
    </row>
    <row r="3453" spans="3:4" x14ac:dyDescent="0.3">
      <c r="C3453" s="62"/>
      <c r="D3453" s="62"/>
    </row>
    <row r="3454" spans="3:4" x14ac:dyDescent="0.3">
      <c r="C3454" s="62"/>
      <c r="D3454" s="62"/>
    </row>
    <row r="3455" spans="3:4" x14ac:dyDescent="0.3">
      <c r="C3455" s="62"/>
      <c r="D3455" s="62"/>
    </row>
    <row r="3456" spans="3:4" x14ac:dyDescent="0.3">
      <c r="C3456" s="62"/>
      <c r="D3456" s="62"/>
    </row>
    <row r="3457" spans="3:4" x14ac:dyDescent="0.3">
      <c r="C3457" s="62"/>
      <c r="D3457" s="62"/>
    </row>
    <row r="3458" spans="3:4" x14ac:dyDescent="0.3">
      <c r="C3458" s="62"/>
      <c r="D3458" s="62"/>
    </row>
    <row r="3459" spans="3:4" x14ac:dyDescent="0.3">
      <c r="C3459" s="62"/>
      <c r="D3459" s="62"/>
    </row>
    <row r="3460" spans="3:4" x14ac:dyDescent="0.3">
      <c r="C3460" s="62"/>
      <c r="D3460" s="62"/>
    </row>
    <row r="3461" spans="3:4" x14ac:dyDescent="0.3">
      <c r="C3461" s="62"/>
      <c r="D3461" s="62"/>
    </row>
    <row r="3462" spans="3:4" x14ac:dyDescent="0.3">
      <c r="C3462" s="62"/>
      <c r="D3462" s="62"/>
    </row>
    <row r="3463" spans="3:4" x14ac:dyDescent="0.3">
      <c r="C3463" s="62"/>
      <c r="D3463" s="62"/>
    </row>
    <row r="3464" spans="3:4" x14ac:dyDescent="0.3">
      <c r="C3464" s="62"/>
      <c r="D3464" s="62"/>
    </row>
    <row r="3465" spans="3:4" x14ac:dyDescent="0.3">
      <c r="C3465" s="62"/>
      <c r="D3465" s="62"/>
    </row>
    <row r="3466" spans="3:4" x14ac:dyDescent="0.3">
      <c r="C3466" s="62"/>
      <c r="D3466" s="62"/>
    </row>
    <row r="3467" spans="3:4" x14ac:dyDescent="0.3">
      <c r="C3467" s="62"/>
      <c r="D3467" s="62"/>
    </row>
    <row r="3468" spans="3:4" x14ac:dyDescent="0.3">
      <c r="C3468" s="62"/>
      <c r="D3468" s="62"/>
    </row>
    <row r="3469" spans="3:4" x14ac:dyDescent="0.3">
      <c r="C3469" s="62"/>
      <c r="D3469" s="62"/>
    </row>
    <row r="3470" spans="3:4" x14ac:dyDescent="0.3">
      <c r="C3470" s="62"/>
      <c r="D3470" s="62"/>
    </row>
    <row r="3471" spans="3:4" x14ac:dyDescent="0.3">
      <c r="C3471" s="62"/>
      <c r="D3471" s="62"/>
    </row>
    <row r="3472" spans="3:4" x14ac:dyDescent="0.3">
      <c r="C3472" s="62"/>
      <c r="D3472" s="62"/>
    </row>
    <row r="3473" spans="3:4" x14ac:dyDescent="0.3">
      <c r="C3473" s="62"/>
      <c r="D3473" s="62"/>
    </row>
    <row r="3474" spans="3:4" x14ac:dyDescent="0.3">
      <c r="C3474" s="62"/>
      <c r="D3474" s="62"/>
    </row>
    <row r="3475" spans="3:4" x14ac:dyDescent="0.3">
      <c r="C3475" s="62"/>
      <c r="D3475" s="62"/>
    </row>
    <row r="3476" spans="3:4" x14ac:dyDescent="0.3">
      <c r="C3476" s="62"/>
      <c r="D3476" s="62"/>
    </row>
    <row r="3477" spans="3:4" x14ac:dyDescent="0.3">
      <c r="C3477" s="62"/>
      <c r="D3477" s="62"/>
    </row>
    <row r="3478" spans="3:4" x14ac:dyDescent="0.3">
      <c r="C3478" s="62"/>
      <c r="D3478" s="62"/>
    </row>
    <row r="3479" spans="3:4" x14ac:dyDescent="0.3">
      <c r="C3479" s="62"/>
      <c r="D3479" s="62"/>
    </row>
    <row r="3480" spans="3:4" x14ac:dyDescent="0.3">
      <c r="C3480" s="62"/>
      <c r="D3480" s="62"/>
    </row>
    <row r="3481" spans="3:4" x14ac:dyDescent="0.3">
      <c r="C3481" s="62"/>
      <c r="D3481" s="62"/>
    </row>
    <row r="3482" spans="3:4" x14ac:dyDescent="0.3">
      <c r="C3482" s="62"/>
      <c r="D3482" s="62"/>
    </row>
    <row r="3483" spans="3:4" x14ac:dyDescent="0.3">
      <c r="C3483" s="62"/>
      <c r="D3483" s="62"/>
    </row>
    <row r="3484" spans="3:4" x14ac:dyDescent="0.3">
      <c r="C3484" s="62"/>
      <c r="D3484" s="62"/>
    </row>
    <row r="3485" spans="3:4" x14ac:dyDescent="0.3">
      <c r="C3485" s="62"/>
      <c r="D3485" s="62"/>
    </row>
    <row r="3486" spans="3:4" x14ac:dyDescent="0.3">
      <c r="C3486" s="62"/>
      <c r="D3486" s="62"/>
    </row>
    <row r="3487" spans="3:4" x14ac:dyDescent="0.3">
      <c r="C3487" s="62"/>
      <c r="D3487" s="62"/>
    </row>
    <row r="3488" spans="3:4" x14ac:dyDescent="0.3">
      <c r="C3488" s="62"/>
      <c r="D3488" s="62"/>
    </row>
    <row r="3489" spans="3:4" x14ac:dyDescent="0.3">
      <c r="C3489" s="62"/>
      <c r="D3489" s="62"/>
    </row>
    <row r="3490" spans="3:4" x14ac:dyDescent="0.3">
      <c r="C3490" s="62"/>
      <c r="D3490" s="62"/>
    </row>
    <row r="3491" spans="3:4" x14ac:dyDescent="0.3">
      <c r="C3491" s="62"/>
      <c r="D3491" s="62"/>
    </row>
    <row r="3492" spans="3:4" x14ac:dyDescent="0.3">
      <c r="C3492" s="62"/>
      <c r="D3492" s="62"/>
    </row>
    <row r="3493" spans="3:4" x14ac:dyDescent="0.3">
      <c r="C3493" s="62"/>
      <c r="D3493" s="62"/>
    </row>
    <row r="3494" spans="3:4" x14ac:dyDescent="0.3">
      <c r="C3494" s="62"/>
      <c r="D3494" s="62"/>
    </row>
    <row r="3495" spans="3:4" x14ac:dyDescent="0.3">
      <c r="C3495" s="62"/>
      <c r="D3495" s="62"/>
    </row>
    <row r="3496" spans="3:4" x14ac:dyDescent="0.3">
      <c r="C3496" s="62"/>
      <c r="D3496" s="62"/>
    </row>
    <row r="3497" spans="3:4" x14ac:dyDescent="0.3">
      <c r="C3497" s="62"/>
      <c r="D3497" s="62"/>
    </row>
    <row r="3498" spans="3:4" x14ac:dyDescent="0.3">
      <c r="C3498" s="62"/>
      <c r="D3498" s="62"/>
    </row>
    <row r="3499" spans="3:4" x14ac:dyDescent="0.3">
      <c r="C3499" s="62"/>
      <c r="D3499" s="62"/>
    </row>
    <row r="3500" spans="3:4" x14ac:dyDescent="0.3">
      <c r="C3500" s="62"/>
      <c r="D3500" s="62"/>
    </row>
    <row r="3501" spans="3:4" x14ac:dyDescent="0.3">
      <c r="C3501" s="62"/>
      <c r="D3501" s="62"/>
    </row>
    <row r="3502" spans="3:4" x14ac:dyDescent="0.3">
      <c r="C3502" s="62"/>
      <c r="D3502" s="62"/>
    </row>
    <row r="3503" spans="3:4" x14ac:dyDescent="0.3">
      <c r="C3503" s="62"/>
      <c r="D3503" s="62"/>
    </row>
    <row r="3504" spans="3:4" x14ac:dyDescent="0.3">
      <c r="C3504" s="62"/>
      <c r="D3504" s="62"/>
    </row>
    <row r="3505" spans="3:4" x14ac:dyDescent="0.3">
      <c r="C3505" s="62"/>
      <c r="D3505" s="62"/>
    </row>
    <row r="3506" spans="3:4" x14ac:dyDescent="0.3">
      <c r="C3506" s="62"/>
      <c r="D3506" s="62"/>
    </row>
    <row r="3507" spans="3:4" x14ac:dyDescent="0.3">
      <c r="C3507" s="62"/>
      <c r="D3507" s="62"/>
    </row>
    <row r="3508" spans="3:4" x14ac:dyDescent="0.3">
      <c r="C3508" s="62"/>
      <c r="D3508" s="62"/>
    </row>
    <row r="3509" spans="3:4" x14ac:dyDescent="0.3">
      <c r="C3509" s="62"/>
      <c r="D3509" s="62"/>
    </row>
    <row r="3510" spans="3:4" x14ac:dyDescent="0.3">
      <c r="C3510" s="62"/>
      <c r="D3510" s="62"/>
    </row>
    <row r="3511" spans="3:4" x14ac:dyDescent="0.3">
      <c r="C3511" s="62"/>
      <c r="D3511" s="62"/>
    </row>
    <row r="3512" spans="3:4" x14ac:dyDescent="0.3">
      <c r="C3512" s="62"/>
      <c r="D3512" s="62"/>
    </row>
    <row r="3513" spans="3:4" x14ac:dyDescent="0.3">
      <c r="C3513" s="62"/>
      <c r="D3513" s="62"/>
    </row>
    <row r="3514" spans="3:4" x14ac:dyDescent="0.3">
      <c r="C3514" s="62"/>
      <c r="D3514" s="62"/>
    </row>
    <row r="3515" spans="3:4" x14ac:dyDescent="0.3">
      <c r="C3515" s="62"/>
      <c r="D3515" s="62"/>
    </row>
    <row r="3516" spans="3:4" x14ac:dyDescent="0.3">
      <c r="C3516" s="62"/>
      <c r="D3516" s="62"/>
    </row>
    <row r="3517" spans="3:4" x14ac:dyDescent="0.3">
      <c r="C3517" s="62"/>
      <c r="D3517" s="62"/>
    </row>
    <row r="3518" spans="3:4" x14ac:dyDescent="0.3">
      <c r="C3518" s="62"/>
      <c r="D3518" s="62"/>
    </row>
    <row r="3519" spans="3:4" x14ac:dyDescent="0.3">
      <c r="C3519" s="62"/>
      <c r="D3519" s="62"/>
    </row>
    <row r="3520" spans="3:4" x14ac:dyDescent="0.3">
      <c r="C3520" s="62"/>
      <c r="D3520" s="62"/>
    </row>
    <row r="3521" spans="3:4" x14ac:dyDescent="0.3">
      <c r="C3521" s="62"/>
      <c r="D3521" s="62"/>
    </row>
    <row r="3522" spans="3:4" x14ac:dyDescent="0.3">
      <c r="C3522" s="62"/>
      <c r="D3522" s="62"/>
    </row>
    <row r="3523" spans="3:4" x14ac:dyDescent="0.3">
      <c r="C3523" s="62"/>
      <c r="D3523" s="62"/>
    </row>
    <row r="3524" spans="3:4" x14ac:dyDescent="0.3">
      <c r="C3524" s="62"/>
      <c r="D3524" s="62"/>
    </row>
    <row r="3525" spans="3:4" x14ac:dyDescent="0.3">
      <c r="C3525" s="62"/>
      <c r="D3525" s="62"/>
    </row>
    <row r="3526" spans="3:4" x14ac:dyDescent="0.3">
      <c r="C3526" s="62"/>
      <c r="D3526" s="62"/>
    </row>
    <row r="3527" spans="3:4" x14ac:dyDescent="0.3">
      <c r="C3527" s="62"/>
      <c r="D3527" s="62"/>
    </row>
    <row r="3528" spans="3:4" x14ac:dyDescent="0.3">
      <c r="C3528" s="62"/>
      <c r="D3528" s="62"/>
    </row>
    <row r="3529" spans="3:4" x14ac:dyDescent="0.3">
      <c r="C3529" s="62"/>
      <c r="D3529" s="62"/>
    </row>
    <row r="3530" spans="3:4" x14ac:dyDescent="0.3">
      <c r="C3530" s="62"/>
      <c r="D3530" s="62"/>
    </row>
    <row r="3531" spans="3:4" x14ac:dyDescent="0.3">
      <c r="C3531" s="62"/>
      <c r="D3531" s="62"/>
    </row>
    <row r="3532" spans="3:4" x14ac:dyDescent="0.3">
      <c r="C3532" s="62"/>
      <c r="D3532" s="62"/>
    </row>
    <row r="3533" spans="3:4" x14ac:dyDescent="0.3">
      <c r="C3533" s="62"/>
      <c r="D3533" s="62"/>
    </row>
    <row r="3534" spans="3:4" x14ac:dyDescent="0.3">
      <c r="C3534" s="62"/>
      <c r="D3534" s="62"/>
    </row>
    <row r="3535" spans="3:4" x14ac:dyDescent="0.3">
      <c r="C3535" s="62"/>
      <c r="D3535" s="62"/>
    </row>
    <row r="3536" spans="3:4" x14ac:dyDescent="0.3">
      <c r="C3536" s="62"/>
      <c r="D3536" s="62"/>
    </row>
    <row r="3537" spans="3:4" x14ac:dyDescent="0.3">
      <c r="C3537" s="62"/>
      <c r="D3537" s="62"/>
    </row>
    <row r="3538" spans="3:4" x14ac:dyDescent="0.3">
      <c r="C3538" s="62"/>
      <c r="D3538" s="62"/>
    </row>
    <row r="3539" spans="3:4" x14ac:dyDescent="0.3">
      <c r="C3539" s="62"/>
      <c r="D3539" s="62"/>
    </row>
    <row r="3540" spans="3:4" x14ac:dyDescent="0.3">
      <c r="C3540" s="62"/>
      <c r="D3540" s="62"/>
    </row>
    <row r="3541" spans="3:4" x14ac:dyDescent="0.3">
      <c r="C3541" s="62"/>
      <c r="D3541" s="62"/>
    </row>
    <row r="3542" spans="3:4" x14ac:dyDescent="0.3">
      <c r="C3542" s="62"/>
      <c r="D3542" s="62"/>
    </row>
    <row r="3543" spans="3:4" x14ac:dyDescent="0.3">
      <c r="C3543" s="62"/>
      <c r="D3543" s="62"/>
    </row>
    <row r="3544" spans="3:4" x14ac:dyDescent="0.3">
      <c r="C3544" s="62"/>
      <c r="D3544" s="62"/>
    </row>
    <row r="3545" spans="3:4" x14ac:dyDescent="0.3">
      <c r="C3545" s="62"/>
      <c r="D3545" s="62"/>
    </row>
    <row r="3546" spans="3:4" x14ac:dyDescent="0.3">
      <c r="C3546" s="62"/>
      <c r="D3546" s="62"/>
    </row>
    <row r="3547" spans="3:4" x14ac:dyDescent="0.3">
      <c r="C3547" s="62"/>
      <c r="D3547" s="62"/>
    </row>
    <row r="3548" spans="3:4" x14ac:dyDescent="0.3">
      <c r="C3548" s="62"/>
      <c r="D3548" s="62"/>
    </row>
    <row r="3549" spans="3:4" x14ac:dyDescent="0.3">
      <c r="C3549" s="62"/>
      <c r="D3549" s="62"/>
    </row>
    <row r="3550" spans="3:4" x14ac:dyDescent="0.3">
      <c r="C3550" s="62"/>
      <c r="D3550" s="62"/>
    </row>
    <row r="3551" spans="3:4" x14ac:dyDescent="0.3">
      <c r="C3551" s="62"/>
      <c r="D3551" s="62"/>
    </row>
    <row r="3552" spans="3:4" x14ac:dyDescent="0.3">
      <c r="C3552" s="62"/>
      <c r="D3552" s="62"/>
    </row>
    <row r="3553" spans="3:4" x14ac:dyDescent="0.3">
      <c r="C3553" s="62"/>
      <c r="D3553" s="62"/>
    </row>
    <row r="3554" spans="3:4" x14ac:dyDescent="0.3">
      <c r="C3554" s="62"/>
      <c r="D3554" s="62"/>
    </row>
    <row r="3555" spans="3:4" x14ac:dyDescent="0.3">
      <c r="C3555" s="62"/>
      <c r="D3555" s="62"/>
    </row>
    <row r="3556" spans="3:4" x14ac:dyDescent="0.3">
      <c r="C3556" s="62"/>
      <c r="D3556" s="62"/>
    </row>
    <row r="3557" spans="3:4" x14ac:dyDescent="0.3">
      <c r="C3557" s="62"/>
      <c r="D3557" s="62"/>
    </row>
    <row r="3558" spans="3:4" x14ac:dyDescent="0.3">
      <c r="C3558" s="62"/>
      <c r="D3558" s="62"/>
    </row>
    <row r="3559" spans="3:4" x14ac:dyDescent="0.3">
      <c r="C3559" s="62"/>
      <c r="D3559" s="62"/>
    </row>
    <row r="3560" spans="3:4" x14ac:dyDescent="0.3">
      <c r="C3560" s="62"/>
      <c r="D3560" s="62"/>
    </row>
    <row r="3561" spans="3:4" x14ac:dyDescent="0.3">
      <c r="C3561" s="62"/>
      <c r="D3561" s="62"/>
    </row>
    <row r="3562" spans="3:4" x14ac:dyDescent="0.3">
      <c r="C3562" s="62"/>
      <c r="D3562" s="62"/>
    </row>
    <row r="3563" spans="3:4" x14ac:dyDescent="0.3">
      <c r="C3563" s="62"/>
      <c r="D3563" s="62"/>
    </row>
    <row r="3564" spans="3:4" x14ac:dyDescent="0.3">
      <c r="C3564" s="62"/>
      <c r="D3564" s="62"/>
    </row>
    <row r="3565" spans="3:4" x14ac:dyDescent="0.3">
      <c r="C3565" s="62"/>
      <c r="D3565" s="62"/>
    </row>
    <row r="3566" spans="3:4" x14ac:dyDescent="0.3">
      <c r="C3566" s="62"/>
      <c r="D3566" s="62"/>
    </row>
    <row r="3567" spans="3:4" x14ac:dyDescent="0.3">
      <c r="C3567" s="62"/>
      <c r="D3567" s="62"/>
    </row>
    <row r="3568" spans="3:4" x14ac:dyDescent="0.3">
      <c r="C3568" s="62"/>
      <c r="D3568" s="62"/>
    </row>
    <row r="3569" spans="3:4" x14ac:dyDescent="0.3">
      <c r="C3569" s="62"/>
      <c r="D3569" s="62"/>
    </row>
    <row r="3570" spans="3:4" x14ac:dyDescent="0.3">
      <c r="C3570" s="62"/>
      <c r="D3570" s="62"/>
    </row>
    <row r="3571" spans="3:4" x14ac:dyDescent="0.3">
      <c r="C3571" s="62"/>
      <c r="D3571" s="62"/>
    </row>
    <row r="3572" spans="3:4" x14ac:dyDescent="0.3">
      <c r="C3572" s="62"/>
      <c r="D3572" s="62"/>
    </row>
    <row r="3573" spans="3:4" x14ac:dyDescent="0.3">
      <c r="C3573" s="62"/>
      <c r="D3573" s="62"/>
    </row>
    <row r="3574" spans="3:4" x14ac:dyDescent="0.3">
      <c r="C3574" s="62"/>
      <c r="D3574" s="62"/>
    </row>
    <row r="3575" spans="3:4" x14ac:dyDescent="0.3">
      <c r="C3575" s="62"/>
      <c r="D3575" s="62"/>
    </row>
    <row r="3576" spans="3:4" x14ac:dyDescent="0.3">
      <c r="C3576" s="62"/>
      <c r="D3576" s="62"/>
    </row>
    <row r="3577" spans="3:4" x14ac:dyDescent="0.3">
      <c r="C3577" s="62"/>
      <c r="D3577" s="62"/>
    </row>
    <row r="3578" spans="3:4" x14ac:dyDescent="0.3">
      <c r="C3578" s="62"/>
      <c r="D3578" s="62"/>
    </row>
    <row r="3579" spans="3:4" x14ac:dyDescent="0.3">
      <c r="C3579" s="62"/>
      <c r="D3579" s="62"/>
    </row>
    <row r="3580" spans="3:4" x14ac:dyDescent="0.3">
      <c r="C3580" s="62"/>
      <c r="D3580" s="62"/>
    </row>
    <row r="3581" spans="3:4" x14ac:dyDescent="0.3">
      <c r="C3581" s="62"/>
      <c r="D3581" s="62"/>
    </row>
    <row r="3582" spans="3:4" x14ac:dyDescent="0.3">
      <c r="C3582" s="62"/>
      <c r="D3582" s="62"/>
    </row>
    <row r="3583" spans="3:4" x14ac:dyDescent="0.3">
      <c r="C3583" s="62"/>
      <c r="D3583" s="62"/>
    </row>
    <row r="3584" spans="3:4" x14ac:dyDescent="0.3">
      <c r="C3584" s="62"/>
      <c r="D3584" s="62"/>
    </row>
    <row r="3585" spans="3:4" x14ac:dyDescent="0.3">
      <c r="C3585" s="62"/>
      <c r="D3585" s="62"/>
    </row>
    <row r="3586" spans="3:4" x14ac:dyDescent="0.3">
      <c r="C3586" s="62"/>
      <c r="D3586" s="62"/>
    </row>
    <row r="3587" spans="3:4" x14ac:dyDescent="0.3">
      <c r="C3587" s="62"/>
      <c r="D3587" s="62"/>
    </row>
    <row r="3588" spans="3:4" x14ac:dyDescent="0.3">
      <c r="C3588" s="62"/>
      <c r="D3588" s="62"/>
    </row>
    <row r="3589" spans="3:4" x14ac:dyDescent="0.3">
      <c r="C3589" s="62"/>
      <c r="D3589" s="62"/>
    </row>
    <row r="3590" spans="3:4" x14ac:dyDescent="0.3">
      <c r="C3590" s="62"/>
      <c r="D3590" s="62"/>
    </row>
    <row r="3591" spans="3:4" x14ac:dyDescent="0.3">
      <c r="C3591" s="62"/>
      <c r="D3591" s="62"/>
    </row>
    <row r="3592" spans="3:4" x14ac:dyDescent="0.3">
      <c r="C3592" s="62"/>
      <c r="D3592" s="62"/>
    </row>
    <row r="3593" spans="3:4" x14ac:dyDescent="0.3">
      <c r="C3593" s="62"/>
      <c r="D3593" s="62"/>
    </row>
    <row r="3594" spans="3:4" x14ac:dyDescent="0.3">
      <c r="C3594" s="62"/>
      <c r="D3594" s="62"/>
    </row>
    <row r="3595" spans="3:4" x14ac:dyDescent="0.3">
      <c r="C3595" s="62"/>
      <c r="D3595" s="62"/>
    </row>
    <row r="3596" spans="3:4" x14ac:dyDescent="0.3">
      <c r="C3596" s="62"/>
      <c r="D3596" s="62"/>
    </row>
    <row r="3597" spans="3:4" x14ac:dyDescent="0.3">
      <c r="C3597" s="62"/>
      <c r="D3597" s="62"/>
    </row>
    <row r="3598" spans="3:4" x14ac:dyDescent="0.3">
      <c r="C3598" s="62"/>
      <c r="D3598" s="62"/>
    </row>
    <row r="3599" spans="3:4" x14ac:dyDescent="0.3">
      <c r="C3599" s="62"/>
      <c r="D3599" s="62"/>
    </row>
    <row r="3600" spans="3:4" x14ac:dyDescent="0.3">
      <c r="C3600" s="62"/>
      <c r="D3600" s="62"/>
    </row>
    <row r="3601" spans="3:4" x14ac:dyDescent="0.3">
      <c r="C3601" s="62"/>
      <c r="D3601" s="62"/>
    </row>
    <row r="3602" spans="3:4" x14ac:dyDescent="0.3">
      <c r="C3602" s="62"/>
      <c r="D3602" s="62"/>
    </row>
    <row r="3603" spans="3:4" x14ac:dyDescent="0.3">
      <c r="C3603" s="62"/>
      <c r="D3603" s="62"/>
    </row>
    <row r="3604" spans="3:4" x14ac:dyDescent="0.3">
      <c r="C3604" s="62"/>
      <c r="D3604" s="62"/>
    </row>
    <row r="3605" spans="3:4" x14ac:dyDescent="0.3">
      <c r="C3605" s="62"/>
      <c r="D3605" s="62"/>
    </row>
    <row r="3606" spans="3:4" x14ac:dyDescent="0.3">
      <c r="C3606" s="62"/>
      <c r="D3606" s="62"/>
    </row>
    <row r="3607" spans="3:4" x14ac:dyDescent="0.3">
      <c r="C3607" s="62"/>
      <c r="D3607" s="62"/>
    </row>
    <row r="3608" spans="3:4" x14ac:dyDescent="0.3">
      <c r="C3608" s="62"/>
      <c r="D3608" s="62"/>
    </row>
    <row r="3609" spans="3:4" x14ac:dyDescent="0.3">
      <c r="C3609" s="62"/>
      <c r="D3609" s="62"/>
    </row>
    <row r="3610" spans="3:4" x14ac:dyDescent="0.3">
      <c r="C3610" s="62"/>
      <c r="D3610" s="62"/>
    </row>
    <row r="3611" spans="3:4" x14ac:dyDescent="0.3">
      <c r="C3611" s="62"/>
      <c r="D3611" s="62"/>
    </row>
    <row r="3612" spans="3:4" x14ac:dyDescent="0.3">
      <c r="C3612" s="62"/>
      <c r="D3612" s="62"/>
    </row>
    <row r="3613" spans="3:4" x14ac:dyDescent="0.3">
      <c r="C3613" s="62"/>
      <c r="D3613" s="62"/>
    </row>
    <row r="3614" spans="3:4" x14ac:dyDescent="0.3">
      <c r="C3614" s="62"/>
      <c r="D3614" s="62"/>
    </row>
    <row r="3615" spans="3:4" x14ac:dyDescent="0.3">
      <c r="C3615" s="62"/>
      <c r="D3615" s="62"/>
    </row>
    <row r="3616" spans="3:4" x14ac:dyDescent="0.3">
      <c r="C3616" s="62"/>
      <c r="D3616" s="62"/>
    </row>
    <row r="3617" spans="3:4" x14ac:dyDescent="0.3">
      <c r="C3617" s="62"/>
      <c r="D3617" s="62"/>
    </row>
    <row r="3618" spans="3:4" x14ac:dyDescent="0.3">
      <c r="C3618" s="62"/>
      <c r="D3618" s="62"/>
    </row>
    <row r="3619" spans="3:4" x14ac:dyDescent="0.3">
      <c r="C3619" s="62"/>
      <c r="D3619" s="62"/>
    </row>
    <row r="3620" spans="3:4" x14ac:dyDescent="0.3">
      <c r="C3620" s="62"/>
      <c r="D3620" s="62"/>
    </row>
    <row r="3621" spans="3:4" x14ac:dyDescent="0.3">
      <c r="C3621" s="62"/>
      <c r="D3621" s="62"/>
    </row>
    <row r="3622" spans="3:4" x14ac:dyDescent="0.3">
      <c r="C3622" s="62"/>
      <c r="D3622" s="62"/>
    </row>
    <row r="3623" spans="3:4" x14ac:dyDescent="0.3">
      <c r="C3623" s="62"/>
      <c r="D3623" s="62"/>
    </row>
    <row r="3624" spans="3:4" x14ac:dyDescent="0.3">
      <c r="C3624" s="62"/>
      <c r="D3624" s="62"/>
    </row>
    <row r="3625" spans="3:4" x14ac:dyDescent="0.3">
      <c r="C3625" s="62"/>
      <c r="D3625" s="62"/>
    </row>
    <row r="3626" spans="3:4" x14ac:dyDescent="0.3">
      <c r="C3626" s="62"/>
      <c r="D3626" s="62"/>
    </row>
    <row r="3627" spans="3:4" x14ac:dyDescent="0.3">
      <c r="C3627" s="62"/>
      <c r="D3627" s="62"/>
    </row>
    <row r="3628" spans="3:4" x14ac:dyDescent="0.3">
      <c r="C3628" s="62"/>
      <c r="D3628" s="62"/>
    </row>
    <row r="3629" spans="3:4" x14ac:dyDescent="0.3">
      <c r="C3629" s="62"/>
      <c r="D3629" s="62"/>
    </row>
    <row r="3630" spans="3:4" x14ac:dyDescent="0.3">
      <c r="C3630" s="62"/>
      <c r="D3630" s="62"/>
    </row>
    <row r="3631" spans="3:4" x14ac:dyDescent="0.3">
      <c r="C3631" s="62"/>
      <c r="D3631" s="62"/>
    </row>
    <row r="3632" spans="3:4" x14ac:dyDescent="0.3">
      <c r="C3632" s="62"/>
      <c r="D3632" s="62"/>
    </row>
    <row r="3633" spans="3:4" x14ac:dyDescent="0.3">
      <c r="C3633" s="62"/>
      <c r="D3633" s="62"/>
    </row>
    <row r="3634" spans="3:4" x14ac:dyDescent="0.3">
      <c r="C3634" s="62"/>
      <c r="D3634" s="62"/>
    </row>
    <row r="3635" spans="3:4" x14ac:dyDescent="0.3">
      <c r="C3635" s="62"/>
      <c r="D3635" s="62"/>
    </row>
    <row r="3636" spans="3:4" x14ac:dyDescent="0.3">
      <c r="C3636" s="62"/>
      <c r="D3636" s="62"/>
    </row>
    <row r="3637" spans="3:4" x14ac:dyDescent="0.3">
      <c r="C3637" s="62"/>
      <c r="D3637" s="62"/>
    </row>
    <row r="3638" spans="3:4" x14ac:dyDescent="0.3">
      <c r="C3638" s="62"/>
      <c r="D3638" s="62"/>
    </row>
    <row r="3639" spans="3:4" x14ac:dyDescent="0.3">
      <c r="C3639" s="62"/>
      <c r="D3639" s="62"/>
    </row>
    <row r="3640" spans="3:4" x14ac:dyDescent="0.3">
      <c r="C3640" s="62"/>
      <c r="D3640" s="62"/>
    </row>
    <row r="3641" spans="3:4" x14ac:dyDescent="0.3">
      <c r="C3641" s="62"/>
      <c r="D3641" s="62"/>
    </row>
    <row r="3642" spans="3:4" x14ac:dyDescent="0.3">
      <c r="C3642" s="62"/>
      <c r="D3642" s="62"/>
    </row>
    <row r="3643" spans="3:4" x14ac:dyDescent="0.3">
      <c r="C3643" s="62"/>
      <c r="D3643" s="62"/>
    </row>
    <row r="3644" spans="3:4" x14ac:dyDescent="0.3">
      <c r="C3644" s="62"/>
      <c r="D3644" s="62"/>
    </row>
    <row r="3645" spans="3:4" x14ac:dyDescent="0.3">
      <c r="C3645" s="62"/>
      <c r="D3645" s="62"/>
    </row>
    <row r="3646" spans="3:4" x14ac:dyDescent="0.3">
      <c r="C3646" s="62"/>
      <c r="D3646" s="62"/>
    </row>
    <row r="3647" spans="3:4" x14ac:dyDescent="0.3">
      <c r="C3647" s="62"/>
      <c r="D3647" s="62"/>
    </row>
    <row r="3648" spans="3:4" x14ac:dyDescent="0.3">
      <c r="C3648" s="62"/>
      <c r="D3648" s="62"/>
    </row>
    <row r="3649" spans="3:4" x14ac:dyDescent="0.3">
      <c r="C3649" s="62"/>
      <c r="D3649" s="62"/>
    </row>
    <row r="3650" spans="3:4" x14ac:dyDescent="0.3">
      <c r="C3650" s="62"/>
      <c r="D3650" s="62"/>
    </row>
    <row r="3651" spans="3:4" x14ac:dyDescent="0.3">
      <c r="C3651" s="62"/>
      <c r="D3651" s="62"/>
    </row>
    <row r="3652" spans="3:4" x14ac:dyDescent="0.3">
      <c r="C3652" s="62"/>
      <c r="D3652" s="62"/>
    </row>
    <row r="3653" spans="3:4" x14ac:dyDescent="0.3">
      <c r="C3653" s="62"/>
      <c r="D3653" s="62"/>
    </row>
    <row r="3654" spans="3:4" x14ac:dyDescent="0.3">
      <c r="C3654" s="62"/>
      <c r="D3654" s="62"/>
    </row>
    <row r="3655" spans="3:4" x14ac:dyDescent="0.3">
      <c r="C3655" s="62"/>
      <c r="D3655" s="62"/>
    </row>
    <row r="3656" spans="3:4" x14ac:dyDescent="0.3">
      <c r="C3656" s="62"/>
      <c r="D3656" s="62"/>
    </row>
    <row r="3657" spans="3:4" x14ac:dyDescent="0.3">
      <c r="C3657" s="62"/>
      <c r="D3657" s="62"/>
    </row>
    <row r="3658" spans="3:4" x14ac:dyDescent="0.3">
      <c r="C3658" s="62"/>
      <c r="D3658" s="62"/>
    </row>
    <row r="3659" spans="3:4" x14ac:dyDescent="0.3">
      <c r="C3659" s="62"/>
      <c r="D3659" s="62"/>
    </row>
    <row r="3660" spans="3:4" x14ac:dyDescent="0.3">
      <c r="C3660" s="62"/>
      <c r="D3660" s="62"/>
    </row>
    <row r="3661" spans="3:4" x14ac:dyDescent="0.3">
      <c r="C3661" s="62"/>
      <c r="D3661" s="62"/>
    </row>
    <row r="3662" spans="3:4" x14ac:dyDescent="0.3">
      <c r="C3662" s="62"/>
      <c r="D3662" s="62"/>
    </row>
    <row r="3663" spans="3:4" x14ac:dyDescent="0.3">
      <c r="C3663" s="62"/>
      <c r="D3663" s="62"/>
    </row>
    <row r="3664" spans="3:4" x14ac:dyDescent="0.3">
      <c r="C3664" s="62"/>
      <c r="D3664" s="62"/>
    </row>
    <row r="3665" spans="3:4" x14ac:dyDescent="0.3">
      <c r="C3665" s="62"/>
      <c r="D3665" s="62"/>
    </row>
    <row r="3666" spans="3:4" x14ac:dyDescent="0.3">
      <c r="C3666" s="62"/>
      <c r="D3666" s="62"/>
    </row>
    <row r="3667" spans="3:4" x14ac:dyDescent="0.3">
      <c r="C3667" s="62"/>
      <c r="D3667" s="62"/>
    </row>
    <row r="3668" spans="3:4" x14ac:dyDescent="0.3">
      <c r="C3668" s="62"/>
      <c r="D3668" s="62"/>
    </row>
    <row r="3669" spans="3:4" x14ac:dyDescent="0.3">
      <c r="C3669" s="62"/>
      <c r="D3669" s="62"/>
    </row>
    <row r="3670" spans="3:4" x14ac:dyDescent="0.3">
      <c r="C3670" s="62"/>
      <c r="D3670" s="62"/>
    </row>
    <row r="3671" spans="3:4" x14ac:dyDescent="0.3">
      <c r="C3671" s="62"/>
      <c r="D3671" s="62"/>
    </row>
    <row r="3672" spans="3:4" x14ac:dyDescent="0.3">
      <c r="C3672" s="62"/>
      <c r="D3672" s="62"/>
    </row>
    <row r="3673" spans="3:4" x14ac:dyDescent="0.3">
      <c r="C3673" s="62"/>
      <c r="D3673" s="62"/>
    </row>
    <row r="3674" spans="3:4" x14ac:dyDescent="0.3">
      <c r="C3674" s="62"/>
      <c r="D3674" s="62"/>
    </row>
    <row r="3675" spans="3:4" x14ac:dyDescent="0.3">
      <c r="C3675" s="62"/>
      <c r="D3675" s="62"/>
    </row>
    <row r="3676" spans="3:4" x14ac:dyDescent="0.3">
      <c r="C3676" s="62"/>
      <c r="D3676" s="62"/>
    </row>
    <row r="3677" spans="3:4" x14ac:dyDescent="0.3">
      <c r="C3677" s="62"/>
      <c r="D3677" s="62"/>
    </row>
    <row r="3678" spans="3:4" x14ac:dyDescent="0.3">
      <c r="C3678" s="62"/>
      <c r="D3678" s="62"/>
    </row>
    <row r="3679" spans="3:4" x14ac:dyDescent="0.3">
      <c r="C3679" s="62"/>
      <c r="D3679" s="62"/>
    </row>
    <row r="3680" spans="3:4" x14ac:dyDescent="0.3">
      <c r="C3680" s="62"/>
      <c r="D3680" s="62"/>
    </row>
    <row r="3681" spans="3:4" x14ac:dyDescent="0.3">
      <c r="C3681" s="62"/>
      <c r="D3681" s="62"/>
    </row>
    <row r="3682" spans="3:4" x14ac:dyDescent="0.3">
      <c r="C3682" s="62"/>
      <c r="D3682" s="62"/>
    </row>
    <row r="3683" spans="3:4" x14ac:dyDescent="0.3">
      <c r="C3683" s="62"/>
      <c r="D3683" s="62"/>
    </row>
    <row r="3684" spans="3:4" x14ac:dyDescent="0.3">
      <c r="C3684" s="62"/>
      <c r="D3684" s="62"/>
    </row>
    <row r="3685" spans="3:4" x14ac:dyDescent="0.3">
      <c r="C3685" s="62"/>
      <c r="D3685" s="62"/>
    </row>
    <row r="3686" spans="3:4" x14ac:dyDescent="0.3">
      <c r="C3686" s="62"/>
      <c r="D3686" s="62"/>
    </row>
    <row r="3687" spans="3:4" x14ac:dyDescent="0.3">
      <c r="C3687" s="62"/>
      <c r="D3687" s="62"/>
    </row>
    <row r="3688" spans="3:4" x14ac:dyDescent="0.3">
      <c r="C3688" s="62"/>
      <c r="D3688" s="62"/>
    </row>
    <row r="3689" spans="3:4" x14ac:dyDescent="0.3">
      <c r="C3689" s="62"/>
      <c r="D3689" s="62"/>
    </row>
    <row r="3690" spans="3:4" x14ac:dyDescent="0.3">
      <c r="C3690" s="62"/>
      <c r="D3690" s="62"/>
    </row>
    <row r="3691" spans="3:4" x14ac:dyDescent="0.3">
      <c r="C3691" s="62"/>
      <c r="D3691" s="62"/>
    </row>
    <row r="3692" spans="3:4" x14ac:dyDescent="0.3">
      <c r="C3692" s="62"/>
      <c r="D3692" s="62"/>
    </row>
    <row r="3693" spans="3:4" x14ac:dyDescent="0.3">
      <c r="C3693" s="62"/>
      <c r="D3693" s="62"/>
    </row>
    <row r="3694" spans="3:4" x14ac:dyDescent="0.3">
      <c r="C3694" s="62"/>
      <c r="D3694" s="62"/>
    </row>
    <row r="3695" spans="3:4" x14ac:dyDescent="0.3">
      <c r="C3695" s="62"/>
      <c r="D3695" s="62"/>
    </row>
    <row r="3696" spans="3:4" x14ac:dyDescent="0.3">
      <c r="C3696" s="62"/>
      <c r="D3696" s="62"/>
    </row>
    <row r="3697" spans="3:4" x14ac:dyDescent="0.3">
      <c r="C3697" s="62"/>
      <c r="D3697" s="62"/>
    </row>
    <row r="3698" spans="3:4" x14ac:dyDescent="0.3">
      <c r="C3698" s="62"/>
      <c r="D3698" s="62"/>
    </row>
    <row r="3699" spans="3:4" x14ac:dyDescent="0.3">
      <c r="C3699" s="62"/>
      <c r="D3699" s="62"/>
    </row>
    <row r="3700" spans="3:4" x14ac:dyDescent="0.3">
      <c r="C3700" s="62"/>
      <c r="D3700" s="62"/>
    </row>
    <row r="3701" spans="3:4" x14ac:dyDescent="0.3">
      <c r="C3701" s="62"/>
      <c r="D3701" s="62"/>
    </row>
    <row r="3702" spans="3:4" x14ac:dyDescent="0.3">
      <c r="C3702" s="62"/>
      <c r="D3702" s="62"/>
    </row>
    <row r="3703" spans="3:4" x14ac:dyDescent="0.3">
      <c r="C3703" s="62"/>
      <c r="D3703" s="62"/>
    </row>
    <row r="3704" spans="3:4" x14ac:dyDescent="0.3">
      <c r="C3704" s="62"/>
      <c r="D3704" s="62"/>
    </row>
    <row r="3705" spans="3:4" x14ac:dyDescent="0.3">
      <c r="C3705" s="62"/>
      <c r="D3705" s="62"/>
    </row>
    <row r="3706" spans="3:4" x14ac:dyDescent="0.3">
      <c r="C3706" s="62"/>
      <c r="D3706" s="62"/>
    </row>
    <row r="3707" spans="3:4" x14ac:dyDescent="0.3">
      <c r="C3707" s="62"/>
      <c r="D3707" s="62"/>
    </row>
    <row r="3708" spans="3:4" x14ac:dyDescent="0.3">
      <c r="C3708" s="62"/>
      <c r="D3708" s="62"/>
    </row>
    <row r="3709" spans="3:4" x14ac:dyDescent="0.3">
      <c r="C3709" s="62"/>
      <c r="D3709" s="62"/>
    </row>
    <row r="3710" spans="3:4" x14ac:dyDescent="0.3">
      <c r="C3710" s="62"/>
      <c r="D3710" s="62"/>
    </row>
    <row r="3711" spans="3:4" x14ac:dyDescent="0.3">
      <c r="C3711" s="62"/>
      <c r="D3711" s="62"/>
    </row>
    <row r="3712" spans="3:4" x14ac:dyDescent="0.3">
      <c r="C3712" s="62"/>
      <c r="D3712" s="62"/>
    </row>
    <row r="3713" spans="3:4" x14ac:dyDescent="0.3">
      <c r="C3713" s="62"/>
      <c r="D3713" s="62"/>
    </row>
    <row r="3714" spans="3:4" x14ac:dyDescent="0.3">
      <c r="C3714" s="62"/>
      <c r="D3714" s="62"/>
    </row>
    <row r="3715" spans="3:4" x14ac:dyDescent="0.3">
      <c r="C3715" s="62"/>
      <c r="D3715" s="62"/>
    </row>
    <row r="3716" spans="3:4" x14ac:dyDescent="0.3">
      <c r="C3716" s="62"/>
      <c r="D3716" s="62"/>
    </row>
    <row r="3717" spans="3:4" x14ac:dyDescent="0.3">
      <c r="C3717" s="62"/>
      <c r="D3717" s="62"/>
    </row>
    <row r="3718" spans="3:4" x14ac:dyDescent="0.3">
      <c r="C3718" s="62"/>
      <c r="D3718" s="62"/>
    </row>
    <row r="3719" spans="3:4" x14ac:dyDescent="0.3">
      <c r="C3719" s="62"/>
      <c r="D3719" s="62"/>
    </row>
    <row r="3720" spans="3:4" x14ac:dyDescent="0.3">
      <c r="C3720" s="62"/>
      <c r="D3720" s="62"/>
    </row>
    <row r="3721" spans="3:4" x14ac:dyDescent="0.3">
      <c r="C3721" s="62"/>
      <c r="D3721" s="62"/>
    </row>
    <row r="3722" spans="3:4" x14ac:dyDescent="0.3">
      <c r="C3722" s="62"/>
      <c r="D3722" s="62"/>
    </row>
    <row r="3723" spans="3:4" x14ac:dyDescent="0.3">
      <c r="C3723" s="62"/>
      <c r="D3723" s="62"/>
    </row>
    <row r="3724" spans="3:4" x14ac:dyDescent="0.3">
      <c r="C3724" s="62"/>
      <c r="D3724" s="62"/>
    </row>
    <row r="3725" spans="3:4" x14ac:dyDescent="0.3">
      <c r="C3725" s="62"/>
      <c r="D3725" s="62"/>
    </row>
    <row r="3726" spans="3:4" x14ac:dyDescent="0.3">
      <c r="C3726" s="62"/>
      <c r="D3726" s="62"/>
    </row>
    <row r="3727" spans="3:4" x14ac:dyDescent="0.3">
      <c r="C3727" s="62"/>
      <c r="D3727" s="62"/>
    </row>
    <row r="3728" spans="3:4" x14ac:dyDescent="0.3">
      <c r="C3728" s="62"/>
      <c r="D3728" s="62"/>
    </row>
    <row r="3729" spans="3:4" x14ac:dyDescent="0.3">
      <c r="C3729" s="62"/>
      <c r="D3729" s="62"/>
    </row>
    <row r="3730" spans="3:4" x14ac:dyDescent="0.3">
      <c r="C3730" s="62"/>
      <c r="D3730" s="62"/>
    </row>
    <row r="3731" spans="3:4" x14ac:dyDescent="0.3">
      <c r="C3731" s="62"/>
      <c r="D3731" s="62"/>
    </row>
    <row r="3732" spans="3:4" x14ac:dyDescent="0.3">
      <c r="C3732" s="62"/>
      <c r="D3732" s="62"/>
    </row>
    <row r="3733" spans="3:4" x14ac:dyDescent="0.3">
      <c r="C3733" s="62"/>
      <c r="D3733" s="62"/>
    </row>
    <row r="3734" spans="3:4" x14ac:dyDescent="0.3">
      <c r="C3734" s="62"/>
      <c r="D3734" s="62"/>
    </row>
    <row r="3735" spans="3:4" x14ac:dyDescent="0.3">
      <c r="C3735" s="62"/>
      <c r="D3735" s="62"/>
    </row>
    <row r="3736" spans="3:4" x14ac:dyDescent="0.3">
      <c r="C3736" s="62"/>
      <c r="D3736" s="62"/>
    </row>
    <row r="3737" spans="3:4" x14ac:dyDescent="0.3">
      <c r="C3737" s="62"/>
      <c r="D3737" s="62"/>
    </row>
    <row r="3738" spans="3:4" x14ac:dyDescent="0.3">
      <c r="C3738" s="62"/>
      <c r="D3738" s="62"/>
    </row>
    <row r="3739" spans="3:4" x14ac:dyDescent="0.3">
      <c r="C3739" s="62"/>
      <c r="D3739" s="62"/>
    </row>
    <row r="3740" spans="3:4" x14ac:dyDescent="0.3">
      <c r="C3740" s="62"/>
      <c r="D3740" s="62"/>
    </row>
    <row r="3741" spans="3:4" x14ac:dyDescent="0.3">
      <c r="C3741" s="62"/>
      <c r="D3741" s="62"/>
    </row>
    <row r="3742" spans="3:4" x14ac:dyDescent="0.3">
      <c r="C3742" s="62"/>
      <c r="D3742" s="62"/>
    </row>
    <row r="3743" spans="3:4" x14ac:dyDescent="0.3">
      <c r="C3743" s="62"/>
      <c r="D3743" s="62"/>
    </row>
    <row r="3744" spans="3:4" x14ac:dyDescent="0.3">
      <c r="C3744" s="62"/>
      <c r="D3744" s="62"/>
    </row>
    <row r="3745" spans="3:4" x14ac:dyDescent="0.3">
      <c r="C3745" s="62"/>
      <c r="D3745" s="62"/>
    </row>
    <row r="3746" spans="3:4" x14ac:dyDescent="0.3">
      <c r="C3746" s="62"/>
      <c r="D3746" s="62"/>
    </row>
    <row r="3747" spans="3:4" x14ac:dyDescent="0.3">
      <c r="C3747" s="62"/>
      <c r="D3747" s="62"/>
    </row>
    <row r="3748" spans="3:4" x14ac:dyDescent="0.3">
      <c r="C3748" s="62"/>
      <c r="D3748" s="62"/>
    </row>
    <row r="3749" spans="3:4" x14ac:dyDescent="0.3">
      <c r="C3749" s="62"/>
      <c r="D3749" s="62"/>
    </row>
    <row r="3750" spans="3:4" x14ac:dyDescent="0.3">
      <c r="C3750" s="62"/>
      <c r="D3750" s="62"/>
    </row>
    <row r="3751" spans="3:4" x14ac:dyDescent="0.3">
      <c r="C3751" s="62"/>
      <c r="D3751" s="62"/>
    </row>
    <row r="3752" spans="3:4" x14ac:dyDescent="0.3">
      <c r="C3752" s="62"/>
      <c r="D3752" s="62"/>
    </row>
    <row r="3753" spans="3:4" x14ac:dyDescent="0.3">
      <c r="C3753" s="62"/>
      <c r="D3753" s="62"/>
    </row>
    <row r="3754" spans="3:4" x14ac:dyDescent="0.3">
      <c r="C3754" s="62"/>
      <c r="D3754" s="62"/>
    </row>
    <row r="3755" spans="3:4" x14ac:dyDescent="0.3">
      <c r="C3755" s="62"/>
      <c r="D3755" s="62"/>
    </row>
    <row r="3756" spans="3:4" x14ac:dyDescent="0.3">
      <c r="C3756" s="62"/>
      <c r="D3756" s="62"/>
    </row>
    <row r="3757" spans="3:4" x14ac:dyDescent="0.3">
      <c r="C3757" s="62"/>
      <c r="D3757" s="62"/>
    </row>
    <row r="3758" spans="3:4" x14ac:dyDescent="0.3">
      <c r="C3758" s="62"/>
      <c r="D3758" s="62"/>
    </row>
    <row r="3759" spans="3:4" x14ac:dyDescent="0.3">
      <c r="C3759" s="62"/>
      <c r="D3759" s="62"/>
    </row>
    <row r="3760" spans="3:4" x14ac:dyDescent="0.3">
      <c r="C3760" s="62"/>
      <c r="D3760" s="62"/>
    </row>
    <row r="3761" spans="3:4" x14ac:dyDescent="0.3">
      <c r="C3761" s="62"/>
      <c r="D3761" s="62"/>
    </row>
    <row r="3762" spans="3:4" x14ac:dyDescent="0.3">
      <c r="C3762" s="62"/>
      <c r="D3762" s="62"/>
    </row>
    <row r="3763" spans="3:4" x14ac:dyDescent="0.3">
      <c r="C3763" s="62"/>
      <c r="D3763" s="62"/>
    </row>
    <row r="3764" spans="3:4" x14ac:dyDescent="0.3">
      <c r="C3764" s="62"/>
      <c r="D3764" s="62"/>
    </row>
    <row r="3765" spans="3:4" x14ac:dyDescent="0.3">
      <c r="C3765" s="62"/>
      <c r="D3765" s="62"/>
    </row>
    <row r="3766" spans="3:4" x14ac:dyDescent="0.3">
      <c r="C3766" s="62"/>
      <c r="D3766" s="62"/>
    </row>
    <row r="3767" spans="3:4" x14ac:dyDescent="0.3">
      <c r="C3767" s="62"/>
      <c r="D3767" s="62"/>
    </row>
    <row r="3768" spans="3:4" x14ac:dyDescent="0.3">
      <c r="C3768" s="62"/>
      <c r="D3768" s="62"/>
    </row>
    <row r="3769" spans="3:4" x14ac:dyDescent="0.3">
      <c r="C3769" s="62"/>
      <c r="D3769" s="62"/>
    </row>
    <row r="3770" spans="3:4" x14ac:dyDescent="0.3">
      <c r="C3770" s="62"/>
      <c r="D3770" s="62"/>
    </row>
    <row r="3771" spans="3:4" x14ac:dyDescent="0.3">
      <c r="C3771" s="62"/>
      <c r="D3771" s="62"/>
    </row>
    <row r="3772" spans="3:4" x14ac:dyDescent="0.3">
      <c r="C3772" s="62"/>
      <c r="D3772" s="62"/>
    </row>
    <row r="3773" spans="3:4" x14ac:dyDescent="0.3">
      <c r="C3773" s="62"/>
      <c r="D3773" s="62"/>
    </row>
    <row r="3774" spans="3:4" x14ac:dyDescent="0.3">
      <c r="C3774" s="62"/>
      <c r="D3774" s="62"/>
    </row>
    <row r="3775" spans="3:4" x14ac:dyDescent="0.3">
      <c r="C3775" s="62"/>
      <c r="D3775" s="62"/>
    </row>
    <row r="3776" spans="3:4" x14ac:dyDescent="0.3">
      <c r="C3776" s="62"/>
      <c r="D3776" s="62"/>
    </row>
    <row r="3777" spans="3:4" x14ac:dyDescent="0.3">
      <c r="C3777" s="62"/>
      <c r="D3777" s="62"/>
    </row>
    <row r="3778" spans="3:4" x14ac:dyDescent="0.3">
      <c r="C3778" s="62"/>
      <c r="D3778" s="62"/>
    </row>
    <row r="3779" spans="3:4" x14ac:dyDescent="0.3">
      <c r="C3779" s="62"/>
      <c r="D3779" s="62"/>
    </row>
    <row r="3780" spans="3:4" x14ac:dyDescent="0.3">
      <c r="C3780" s="62"/>
      <c r="D3780" s="62"/>
    </row>
    <row r="3781" spans="3:4" x14ac:dyDescent="0.3">
      <c r="C3781" s="62"/>
      <c r="D3781" s="62"/>
    </row>
    <row r="3782" spans="3:4" x14ac:dyDescent="0.3">
      <c r="C3782" s="62"/>
      <c r="D3782" s="62"/>
    </row>
    <row r="3783" spans="3:4" x14ac:dyDescent="0.3">
      <c r="C3783" s="62"/>
      <c r="D3783" s="62"/>
    </row>
    <row r="3784" spans="3:4" x14ac:dyDescent="0.3">
      <c r="C3784" s="62"/>
      <c r="D3784" s="62"/>
    </row>
    <row r="3785" spans="3:4" x14ac:dyDescent="0.3">
      <c r="C3785" s="62"/>
      <c r="D3785" s="62"/>
    </row>
    <row r="3786" spans="3:4" x14ac:dyDescent="0.3">
      <c r="C3786" s="62"/>
      <c r="D3786" s="62"/>
    </row>
    <row r="3787" spans="3:4" x14ac:dyDescent="0.3">
      <c r="C3787" s="62"/>
      <c r="D3787" s="62"/>
    </row>
    <row r="3788" spans="3:4" x14ac:dyDescent="0.3">
      <c r="C3788" s="62"/>
      <c r="D3788" s="62"/>
    </row>
    <row r="3789" spans="3:4" x14ac:dyDescent="0.3">
      <c r="C3789" s="62"/>
      <c r="D3789" s="62"/>
    </row>
    <row r="3790" spans="3:4" x14ac:dyDescent="0.3">
      <c r="C3790" s="62"/>
      <c r="D3790" s="62"/>
    </row>
    <row r="3791" spans="3:4" x14ac:dyDescent="0.3">
      <c r="C3791" s="62"/>
      <c r="D3791" s="62"/>
    </row>
    <row r="3792" spans="3:4" x14ac:dyDescent="0.3">
      <c r="C3792" s="62"/>
      <c r="D3792" s="62"/>
    </row>
    <row r="3793" spans="3:4" x14ac:dyDescent="0.3">
      <c r="C3793" s="62"/>
      <c r="D3793" s="62"/>
    </row>
    <row r="3794" spans="3:4" x14ac:dyDescent="0.3">
      <c r="C3794" s="62"/>
      <c r="D3794" s="62"/>
    </row>
    <row r="3795" spans="3:4" x14ac:dyDescent="0.3">
      <c r="C3795" s="62"/>
      <c r="D3795" s="62"/>
    </row>
    <row r="3796" spans="3:4" x14ac:dyDescent="0.3">
      <c r="C3796" s="62"/>
      <c r="D3796" s="62"/>
    </row>
    <row r="3797" spans="3:4" x14ac:dyDescent="0.3">
      <c r="C3797" s="62"/>
      <c r="D3797" s="62"/>
    </row>
    <row r="3798" spans="3:4" x14ac:dyDescent="0.3">
      <c r="C3798" s="62"/>
      <c r="D3798" s="62"/>
    </row>
    <row r="3799" spans="3:4" x14ac:dyDescent="0.3">
      <c r="C3799" s="62"/>
      <c r="D3799" s="62"/>
    </row>
    <row r="3800" spans="3:4" x14ac:dyDescent="0.3">
      <c r="C3800" s="62"/>
      <c r="D3800" s="62"/>
    </row>
    <row r="3801" spans="3:4" x14ac:dyDescent="0.3">
      <c r="C3801" s="62"/>
      <c r="D3801" s="62"/>
    </row>
    <row r="3802" spans="3:4" x14ac:dyDescent="0.3">
      <c r="C3802" s="62"/>
      <c r="D3802" s="62"/>
    </row>
    <row r="3803" spans="3:4" x14ac:dyDescent="0.3">
      <c r="C3803" s="62"/>
      <c r="D3803" s="62"/>
    </row>
    <row r="3804" spans="3:4" x14ac:dyDescent="0.3">
      <c r="C3804" s="62"/>
      <c r="D3804" s="62"/>
    </row>
    <row r="3805" spans="3:4" x14ac:dyDescent="0.3">
      <c r="C3805" s="62"/>
      <c r="D3805" s="62"/>
    </row>
    <row r="3806" spans="3:4" x14ac:dyDescent="0.3">
      <c r="C3806" s="62"/>
      <c r="D3806" s="62"/>
    </row>
    <row r="3807" spans="3:4" x14ac:dyDescent="0.3">
      <c r="C3807" s="62"/>
      <c r="D3807" s="62"/>
    </row>
    <row r="3808" spans="3:4" x14ac:dyDescent="0.3">
      <c r="C3808" s="62"/>
      <c r="D3808" s="62"/>
    </row>
    <row r="3809" spans="3:4" x14ac:dyDescent="0.3">
      <c r="C3809" s="62"/>
      <c r="D3809" s="62"/>
    </row>
    <row r="3810" spans="3:4" x14ac:dyDescent="0.3">
      <c r="C3810" s="62"/>
      <c r="D3810" s="62"/>
    </row>
    <row r="3811" spans="3:4" x14ac:dyDescent="0.3">
      <c r="C3811" s="62"/>
      <c r="D3811" s="62"/>
    </row>
    <row r="3812" spans="3:4" x14ac:dyDescent="0.3">
      <c r="C3812" s="62"/>
      <c r="D3812" s="62"/>
    </row>
    <row r="3813" spans="3:4" x14ac:dyDescent="0.3">
      <c r="C3813" s="62"/>
      <c r="D3813" s="62"/>
    </row>
    <row r="3814" spans="3:4" x14ac:dyDescent="0.3">
      <c r="C3814" s="62"/>
      <c r="D3814" s="62"/>
    </row>
    <row r="3815" spans="3:4" x14ac:dyDescent="0.3">
      <c r="C3815" s="62"/>
      <c r="D3815" s="62"/>
    </row>
    <row r="3816" spans="3:4" x14ac:dyDescent="0.3">
      <c r="C3816" s="62"/>
      <c r="D3816" s="62"/>
    </row>
    <row r="3817" spans="3:4" x14ac:dyDescent="0.3">
      <c r="C3817" s="62"/>
      <c r="D3817" s="62"/>
    </row>
    <row r="3818" spans="3:4" x14ac:dyDescent="0.3">
      <c r="C3818" s="62"/>
      <c r="D3818" s="62"/>
    </row>
    <row r="3819" spans="3:4" x14ac:dyDescent="0.3">
      <c r="C3819" s="62"/>
      <c r="D3819" s="62"/>
    </row>
    <row r="3820" spans="3:4" x14ac:dyDescent="0.3">
      <c r="C3820" s="62"/>
      <c r="D3820" s="62"/>
    </row>
    <row r="3821" spans="3:4" x14ac:dyDescent="0.3">
      <c r="C3821" s="62"/>
      <c r="D3821" s="62"/>
    </row>
    <row r="3822" spans="3:4" x14ac:dyDescent="0.3">
      <c r="C3822" s="62"/>
      <c r="D3822" s="62"/>
    </row>
    <row r="3823" spans="3:4" x14ac:dyDescent="0.3">
      <c r="C3823" s="62"/>
      <c r="D3823" s="62"/>
    </row>
    <row r="3824" spans="3:4" x14ac:dyDescent="0.3">
      <c r="C3824" s="62"/>
      <c r="D3824" s="62"/>
    </row>
    <row r="3825" spans="3:4" x14ac:dyDescent="0.3">
      <c r="C3825" s="62"/>
      <c r="D3825" s="62"/>
    </row>
    <row r="3826" spans="3:4" x14ac:dyDescent="0.3">
      <c r="C3826" s="62"/>
      <c r="D3826" s="62"/>
    </row>
    <row r="3827" spans="3:4" x14ac:dyDescent="0.3">
      <c r="C3827" s="62"/>
      <c r="D3827" s="62"/>
    </row>
    <row r="3828" spans="3:4" x14ac:dyDescent="0.3">
      <c r="C3828" s="62"/>
      <c r="D3828" s="62"/>
    </row>
    <row r="3829" spans="3:4" x14ac:dyDescent="0.3">
      <c r="C3829" s="62"/>
      <c r="D3829" s="62"/>
    </row>
    <row r="3830" spans="3:4" x14ac:dyDescent="0.3">
      <c r="C3830" s="62"/>
      <c r="D3830" s="62"/>
    </row>
    <row r="3831" spans="3:4" x14ac:dyDescent="0.3">
      <c r="C3831" s="62"/>
      <c r="D3831" s="62"/>
    </row>
    <row r="3832" spans="3:4" x14ac:dyDescent="0.3">
      <c r="C3832" s="62"/>
      <c r="D3832" s="62"/>
    </row>
    <row r="3833" spans="3:4" x14ac:dyDescent="0.3">
      <c r="C3833" s="62"/>
      <c r="D3833" s="62"/>
    </row>
    <row r="3834" spans="3:4" x14ac:dyDescent="0.3">
      <c r="C3834" s="62"/>
      <c r="D3834" s="62"/>
    </row>
    <row r="3835" spans="3:4" x14ac:dyDescent="0.3">
      <c r="C3835" s="62"/>
      <c r="D3835" s="62"/>
    </row>
    <row r="3836" spans="3:4" x14ac:dyDescent="0.3">
      <c r="C3836" s="62"/>
      <c r="D3836" s="62"/>
    </row>
    <row r="3837" spans="3:4" x14ac:dyDescent="0.3">
      <c r="C3837" s="62"/>
      <c r="D3837" s="62"/>
    </row>
    <row r="3838" spans="3:4" x14ac:dyDescent="0.3">
      <c r="C3838" s="62"/>
      <c r="D3838" s="62"/>
    </row>
    <row r="3839" spans="3:4" x14ac:dyDescent="0.3">
      <c r="C3839" s="62"/>
      <c r="D3839" s="62"/>
    </row>
    <row r="3840" spans="3:4" x14ac:dyDescent="0.3">
      <c r="C3840" s="62"/>
      <c r="D3840" s="62"/>
    </row>
    <row r="3841" spans="3:4" x14ac:dyDescent="0.3">
      <c r="C3841" s="62"/>
      <c r="D3841" s="62"/>
    </row>
    <row r="3842" spans="3:4" x14ac:dyDescent="0.3">
      <c r="C3842" s="62"/>
      <c r="D3842" s="62"/>
    </row>
    <row r="3843" spans="3:4" x14ac:dyDescent="0.3">
      <c r="C3843" s="62"/>
      <c r="D3843" s="62"/>
    </row>
    <row r="3844" spans="3:4" x14ac:dyDescent="0.3">
      <c r="C3844" s="62"/>
      <c r="D3844" s="62"/>
    </row>
    <row r="3845" spans="3:4" x14ac:dyDescent="0.3">
      <c r="C3845" s="62"/>
      <c r="D3845" s="62"/>
    </row>
    <row r="3846" spans="3:4" x14ac:dyDescent="0.3">
      <c r="C3846" s="62"/>
      <c r="D3846" s="62"/>
    </row>
    <row r="3847" spans="3:4" x14ac:dyDescent="0.3">
      <c r="C3847" s="62"/>
      <c r="D3847" s="62"/>
    </row>
    <row r="3848" spans="3:4" x14ac:dyDescent="0.3">
      <c r="C3848" s="62"/>
      <c r="D3848" s="62"/>
    </row>
    <row r="3849" spans="3:4" x14ac:dyDescent="0.3">
      <c r="C3849" s="62"/>
      <c r="D3849" s="62"/>
    </row>
    <row r="3850" spans="3:4" x14ac:dyDescent="0.3">
      <c r="C3850" s="62"/>
      <c r="D3850" s="62"/>
    </row>
    <row r="3851" spans="3:4" x14ac:dyDescent="0.3">
      <c r="C3851" s="62"/>
      <c r="D3851" s="62"/>
    </row>
    <row r="3852" spans="3:4" x14ac:dyDescent="0.3">
      <c r="C3852" s="62"/>
      <c r="D3852" s="62"/>
    </row>
    <row r="3853" spans="3:4" x14ac:dyDescent="0.3">
      <c r="C3853" s="62"/>
      <c r="D3853" s="62"/>
    </row>
    <row r="3854" spans="3:4" x14ac:dyDescent="0.3">
      <c r="C3854" s="62"/>
      <c r="D3854" s="62"/>
    </row>
    <row r="3855" spans="3:4" x14ac:dyDescent="0.3">
      <c r="C3855" s="62"/>
      <c r="D3855" s="62"/>
    </row>
    <row r="3856" spans="3:4" x14ac:dyDescent="0.3">
      <c r="C3856" s="62"/>
      <c r="D3856" s="62"/>
    </row>
    <row r="3857" spans="3:4" x14ac:dyDescent="0.3">
      <c r="C3857" s="62"/>
      <c r="D3857" s="62"/>
    </row>
    <row r="3858" spans="3:4" x14ac:dyDescent="0.3">
      <c r="C3858" s="62"/>
      <c r="D3858" s="62"/>
    </row>
    <row r="3859" spans="3:4" x14ac:dyDescent="0.3">
      <c r="C3859" s="62"/>
      <c r="D3859" s="62"/>
    </row>
    <row r="3860" spans="3:4" x14ac:dyDescent="0.3">
      <c r="C3860" s="62"/>
      <c r="D3860" s="62"/>
    </row>
    <row r="3861" spans="3:4" x14ac:dyDescent="0.3">
      <c r="C3861" s="62"/>
      <c r="D3861" s="62"/>
    </row>
    <row r="3862" spans="3:4" x14ac:dyDescent="0.3">
      <c r="C3862" s="62"/>
      <c r="D3862" s="62"/>
    </row>
    <row r="3863" spans="3:4" x14ac:dyDescent="0.3">
      <c r="C3863" s="62"/>
      <c r="D3863" s="62"/>
    </row>
    <row r="3864" spans="3:4" x14ac:dyDescent="0.3">
      <c r="C3864" s="62"/>
      <c r="D3864" s="62"/>
    </row>
    <row r="3865" spans="3:4" x14ac:dyDescent="0.3">
      <c r="C3865" s="62"/>
      <c r="D3865" s="62"/>
    </row>
    <row r="3866" spans="3:4" x14ac:dyDescent="0.3">
      <c r="C3866" s="62"/>
      <c r="D3866" s="62"/>
    </row>
    <row r="3867" spans="3:4" x14ac:dyDescent="0.3">
      <c r="C3867" s="62"/>
      <c r="D3867" s="62"/>
    </row>
    <row r="3868" spans="3:4" x14ac:dyDescent="0.3">
      <c r="C3868" s="62"/>
      <c r="D3868" s="62"/>
    </row>
    <row r="3869" spans="3:4" x14ac:dyDescent="0.3">
      <c r="C3869" s="62"/>
      <c r="D3869" s="62"/>
    </row>
    <row r="3870" spans="3:4" x14ac:dyDescent="0.3">
      <c r="C3870" s="62"/>
      <c r="D3870" s="62"/>
    </row>
    <row r="3871" spans="3:4" x14ac:dyDescent="0.3">
      <c r="C3871" s="62"/>
      <c r="D3871" s="62"/>
    </row>
    <row r="3872" spans="3:4" x14ac:dyDescent="0.3">
      <c r="C3872" s="62"/>
      <c r="D3872" s="62"/>
    </row>
    <row r="3873" spans="3:4" x14ac:dyDescent="0.3">
      <c r="C3873" s="62"/>
      <c r="D3873" s="62"/>
    </row>
    <row r="3874" spans="3:4" x14ac:dyDescent="0.3">
      <c r="C3874" s="62"/>
      <c r="D3874" s="62"/>
    </row>
    <row r="3875" spans="3:4" x14ac:dyDescent="0.3">
      <c r="C3875" s="62"/>
      <c r="D3875" s="62"/>
    </row>
    <row r="3876" spans="3:4" x14ac:dyDescent="0.3">
      <c r="C3876" s="62"/>
      <c r="D3876" s="62"/>
    </row>
    <row r="3877" spans="3:4" x14ac:dyDescent="0.3">
      <c r="C3877" s="62"/>
      <c r="D3877" s="62"/>
    </row>
    <row r="3878" spans="3:4" x14ac:dyDescent="0.3">
      <c r="C3878" s="62"/>
      <c r="D3878" s="62"/>
    </row>
    <row r="3879" spans="3:4" x14ac:dyDescent="0.3">
      <c r="C3879" s="62"/>
      <c r="D3879" s="62"/>
    </row>
    <row r="3880" spans="3:4" x14ac:dyDescent="0.3">
      <c r="C3880" s="62"/>
      <c r="D3880" s="62"/>
    </row>
    <row r="3881" spans="3:4" x14ac:dyDescent="0.3">
      <c r="C3881" s="62"/>
      <c r="D3881" s="62"/>
    </row>
    <row r="3882" spans="3:4" x14ac:dyDescent="0.3">
      <c r="C3882" s="62"/>
      <c r="D3882" s="62"/>
    </row>
    <row r="3883" spans="3:4" x14ac:dyDescent="0.3">
      <c r="C3883" s="62"/>
      <c r="D3883" s="62"/>
    </row>
    <row r="3884" spans="3:4" x14ac:dyDescent="0.3">
      <c r="C3884" s="62"/>
      <c r="D3884" s="62"/>
    </row>
    <row r="3885" spans="3:4" x14ac:dyDescent="0.3">
      <c r="C3885" s="62"/>
      <c r="D3885" s="62"/>
    </row>
    <row r="3886" spans="3:4" x14ac:dyDescent="0.3">
      <c r="C3886" s="62"/>
      <c r="D3886" s="62"/>
    </row>
    <row r="3887" spans="3:4" x14ac:dyDescent="0.3">
      <c r="C3887" s="62"/>
      <c r="D3887" s="62"/>
    </row>
    <row r="3888" spans="3:4" x14ac:dyDescent="0.3">
      <c r="C3888" s="62"/>
      <c r="D3888" s="62"/>
    </row>
    <row r="3889" spans="3:4" x14ac:dyDescent="0.3">
      <c r="C3889" s="62"/>
      <c r="D3889" s="62"/>
    </row>
    <row r="3890" spans="3:4" x14ac:dyDescent="0.3">
      <c r="C3890" s="62"/>
      <c r="D3890" s="62"/>
    </row>
    <row r="3891" spans="3:4" x14ac:dyDescent="0.3">
      <c r="C3891" s="62"/>
      <c r="D3891" s="62"/>
    </row>
    <row r="3892" spans="3:4" x14ac:dyDescent="0.3">
      <c r="C3892" s="62"/>
      <c r="D3892" s="62"/>
    </row>
    <row r="3893" spans="3:4" x14ac:dyDescent="0.3">
      <c r="C3893" s="62"/>
      <c r="D3893" s="62"/>
    </row>
    <row r="3894" spans="3:4" x14ac:dyDescent="0.3">
      <c r="C3894" s="62"/>
      <c r="D3894" s="62"/>
    </row>
    <row r="3895" spans="3:4" x14ac:dyDescent="0.3">
      <c r="C3895" s="62"/>
      <c r="D3895" s="62"/>
    </row>
    <row r="3896" spans="3:4" x14ac:dyDescent="0.3">
      <c r="C3896" s="62"/>
      <c r="D3896" s="62"/>
    </row>
    <row r="3897" spans="3:4" x14ac:dyDescent="0.3">
      <c r="C3897" s="62"/>
      <c r="D3897" s="62"/>
    </row>
    <row r="3898" spans="3:4" x14ac:dyDescent="0.3">
      <c r="C3898" s="62"/>
      <c r="D3898" s="62"/>
    </row>
    <row r="3899" spans="3:4" x14ac:dyDescent="0.3">
      <c r="C3899" s="62"/>
      <c r="D3899" s="62"/>
    </row>
    <row r="3900" spans="3:4" x14ac:dyDescent="0.3">
      <c r="C3900" s="62"/>
      <c r="D3900" s="62"/>
    </row>
    <row r="3901" spans="3:4" x14ac:dyDescent="0.3">
      <c r="C3901" s="62"/>
      <c r="D3901" s="62"/>
    </row>
    <row r="3902" spans="3:4" x14ac:dyDescent="0.3">
      <c r="C3902" s="62"/>
      <c r="D3902" s="62"/>
    </row>
    <row r="3903" spans="3:4" x14ac:dyDescent="0.3">
      <c r="C3903" s="62"/>
      <c r="D3903" s="62"/>
    </row>
    <row r="3904" spans="3:4" x14ac:dyDescent="0.3">
      <c r="C3904" s="62"/>
      <c r="D3904" s="62"/>
    </row>
    <row r="3905" spans="3:4" x14ac:dyDescent="0.3">
      <c r="C3905" s="62"/>
      <c r="D3905" s="62"/>
    </row>
    <row r="3906" spans="3:4" x14ac:dyDescent="0.3">
      <c r="C3906" s="62"/>
      <c r="D3906" s="62"/>
    </row>
    <row r="3907" spans="3:4" x14ac:dyDescent="0.3">
      <c r="C3907" s="62"/>
      <c r="D3907" s="62"/>
    </row>
    <row r="3908" spans="3:4" x14ac:dyDescent="0.3">
      <c r="C3908" s="62"/>
      <c r="D3908" s="62"/>
    </row>
    <row r="3909" spans="3:4" x14ac:dyDescent="0.3">
      <c r="C3909" s="62"/>
      <c r="D3909" s="62"/>
    </row>
    <row r="3910" spans="3:4" x14ac:dyDescent="0.3">
      <c r="C3910" s="62"/>
      <c r="D3910" s="62"/>
    </row>
    <row r="3911" spans="3:4" x14ac:dyDescent="0.3">
      <c r="C3911" s="62"/>
      <c r="D3911" s="62"/>
    </row>
    <row r="3912" spans="3:4" x14ac:dyDescent="0.3">
      <c r="C3912" s="62"/>
      <c r="D3912" s="62"/>
    </row>
    <row r="3913" spans="3:4" x14ac:dyDescent="0.3">
      <c r="C3913" s="62"/>
      <c r="D3913" s="62"/>
    </row>
    <row r="3914" spans="3:4" x14ac:dyDescent="0.3">
      <c r="C3914" s="62"/>
      <c r="D3914" s="62"/>
    </row>
    <row r="3915" spans="3:4" x14ac:dyDescent="0.3">
      <c r="C3915" s="62"/>
      <c r="D3915" s="62"/>
    </row>
    <row r="3916" spans="3:4" x14ac:dyDescent="0.3">
      <c r="C3916" s="62"/>
      <c r="D3916" s="62"/>
    </row>
    <row r="3917" spans="3:4" x14ac:dyDescent="0.3">
      <c r="C3917" s="62"/>
      <c r="D3917" s="62"/>
    </row>
    <row r="3918" spans="3:4" x14ac:dyDescent="0.3">
      <c r="C3918" s="62"/>
      <c r="D3918" s="62"/>
    </row>
    <row r="3919" spans="3:4" x14ac:dyDescent="0.3">
      <c r="C3919" s="62"/>
      <c r="D3919" s="62"/>
    </row>
    <row r="3920" spans="3:4" x14ac:dyDescent="0.3">
      <c r="C3920" s="62"/>
      <c r="D3920" s="62"/>
    </row>
    <row r="3921" spans="3:4" x14ac:dyDescent="0.3">
      <c r="C3921" s="62"/>
      <c r="D3921" s="62"/>
    </row>
    <row r="3922" spans="3:4" x14ac:dyDescent="0.3">
      <c r="C3922" s="62"/>
      <c r="D3922" s="62"/>
    </row>
    <row r="3923" spans="3:4" x14ac:dyDescent="0.3">
      <c r="C3923" s="62"/>
      <c r="D3923" s="62"/>
    </row>
    <row r="3924" spans="3:4" x14ac:dyDescent="0.3">
      <c r="C3924" s="62"/>
      <c r="D3924" s="62"/>
    </row>
    <row r="3925" spans="3:4" x14ac:dyDescent="0.3">
      <c r="C3925" s="62"/>
      <c r="D3925" s="62"/>
    </row>
    <row r="3926" spans="3:4" x14ac:dyDescent="0.3">
      <c r="C3926" s="62"/>
      <c r="D3926" s="62"/>
    </row>
    <row r="3927" spans="3:4" x14ac:dyDescent="0.3">
      <c r="C3927" s="62"/>
      <c r="D3927" s="62"/>
    </row>
    <row r="3928" spans="3:4" x14ac:dyDescent="0.3">
      <c r="C3928" s="62"/>
      <c r="D3928" s="62"/>
    </row>
    <row r="3929" spans="3:4" x14ac:dyDescent="0.3">
      <c r="C3929" s="62"/>
      <c r="D3929" s="62"/>
    </row>
    <row r="3930" spans="3:4" x14ac:dyDescent="0.3">
      <c r="C3930" s="62"/>
      <c r="D3930" s="62"/>
    </row>
    <row r="3931" spans="3:4" x14ac:dyDescent="0.3">
      <c r="C3931" s="62"/>
      <c r="D3931" s="62"/>
    </row>
    <row r="3932" spans="3:4" x14ac:dyDescent="0.3">
      <c r="C3932" s="62"/>
      <c r="D3932" s="62"/>
    </row>
    <row r="3933" spans="3:4" x14ac:dyDescent="0.3">
      <c r="C3933" s="62"/>
      <c r="D3933" s="62"/>
    </row>
    <row r="3934" spans="3:4" x14ac:dyDescent="0.3">
      <c r="C3934" s="62"/>
      <c r="D3934" s="62"/>
    </row>
    <row r="3935" spans="3:4" x14ac:dyDescent="0.3">
      <c r="C3935" s="62"/>
      <c r="D3935" s="62"/>
    </row>
    <row r="3936" spans="3:4" x14ac:dyDescent="0.3">
      <c r="C3936" s="62"/>
      <c r="D3936" s="62"/>
    </row>
    <row r="3937" spans="3:4" x14ac:dyDescent="0.3">
      <c r="C3937" s="62"/>
      <c r="D3937" s="62"/>
    </row>
    <row r="3938" spans="3:4" x14ac:dyDescent="0.3">
      <c r="C3938" s="62"/>
      <c r="D3938" s="62"/>
    </row>
    <row r="3939" spans="3:4" x14ac:dyDescent="0.3">
      <c r="C3939" s="62"/>
      <c r="D3939" s="62"/>
    </row>
    <row r="3940" spans="3:4" x14ac:dyDescent="0.3">
      <c r="C3940" s="62"/>
      <c r="D3940" s="62"/>
    </row>
    <row r="3941" spans="3:4" x14ac:dyDescent="0.3">
      <c r="C3941" s="62"/>
      <c r="D3941" s="62"/>
    </row>
    <row r="3942" spans="3:4" x14ac:dyDescent="0.3">
      <c r="C3942" s="62"/>
      <c r="D3942" s="62"/>
    </row>
    <row r="3943" spans="3:4" x14ac:dyDescent="0.3">
      <c r="C3943" s="62"/>
      <c r="D3943" s="62"/>
    </row>
    <row r="3944" spans="3:4" x14ac:dyDescent="0.3">
      <c r="C3944" s="62"/>
      <c r="D3944" s="62"/>
    </row>
    <row r="3945" spans="3:4" x14ac:dyDescent="0.3">
      <c r="C3945" s="62"/>
      <c r="D3945" s="62"/>
    </row>
    <row r="3946" spans="3:4" x14ac:dyDescent="0.3">
      <c r="C3946" s="62"/>
      <c r="D3946" s="62"/>
    </row>
    <row r="3947" spans="3:4" x14ac:dyDescent="0.3">
      <c r="C3947" s="62"/>
      <c r="D3947" s="62"/>
    </row>
    <row r="3948" spans="3:4" x14ac:dyDescent="0.3">
      <c r="C3948" s="62"/>
      <c r="D3948" s="62"/>
    </row>
    <row r="3949" spans="3:4" x14ac:dyDescent="0.3">
      <c r="C3949" s="62"/>
      <c r="D3949" s="62"/>
    </row>
    <row r="3950" spans="3:4" x14ac:dyDescent="0.3">
      <c r="C3950" s="62"/>
      <c r="D3950" s="62"/>
    </row>
    <row r="3951" spans="3:4" x14ac:dyDescent="0.3">
      <c r="C3951" s="62"/>
      <c r="D3951" s="62"/>
    </row>
    <row r="3952" spans="3:4" x14ac:dyDescent="0.3">
      <c r="C3952" s="62"/>
      <c r="D3952" s="62"/>
    </row>
    <row r="3953" spans="3:4" x14ac:dyDescent="0.3">
      <c r="C3953" s="62"/>
      <c r="D3953" s="62"/>
    </row>
    <row r="3954" spans="3:4" x14ac:dyDescent="0.3">
      <c r="C3954" s="62"/>
      <c r="D3954" s="62"/>
    </row>
    <row r="3955" spans="3:4" x14ac:dyDescent="0.3">
      <c r="C3955" s="62"/>
      <c r="D3955" s="62"/>
    </row>
    <row r="3956" spans="3:4" x14ac:dyDescent="0.3">
      <c r="C3956" s="62"/>
      <c r="D3956" s="62"/>
    </row>
    <row r="3957" spans="3:4" x14ac:dyDescent="0.3">
      <c r="C3957" s="62"/>
      <c r="D3957" s="62"/>
    </row>
    <row r="3958" spans="3:4" x14ac:dyDescent="0.3">
      <c r="C3958" s="62"/>
      <c r="D3958" s="62"/>
    </row>
    <row r="3959" spans="3:4" x14ac:dyDescent="0.3">
      <c r="C3959" s="62"/>
      <c r="D3959" s="62"/>
    </row>
    <row r="3960" spans="3:4" x14ac:dyDescent="0.3">
      <c r="C3960" s="62"/>
      <c r="D3960" s="62"/>
    </row>
    <row r="3961" spans="3:4" x14ac:dyDescent="0.3">
      <c r="C3961" s="62"/>
      <c r="D3961" s="62"/>
    </row>
    <row r="3962" spans="3:4" x14ac:dyDescent="0.3">
      <c r="C3962" s="62"/>
      <c r="D3962" s="62"/>
    </row>
    <row r="3963" spans="3:4" x14ac:dyDescent="0.3">
      <c r="C3963" s="62"/>
      <c r="D3963" s="62"/>
    </row>
    <row r="3964" spans="3:4" x14ac:dyDescent="0.3">
      <c r="C3964" s="62"/>
      <c r="D3964" s="62"/>
    </row>
    <row r="3965" spans="3:4" x14ac:dyDescent="0.3">
      <c r="C3965" s="62"/>
      <c r="D3965" s="62"/>
    </row>
    <row r="3966" spans="3:4" x14ac:dyDescent="0.3">
      <c r="C3966" s="62"/>
      <c r="D3966" s="62"/>
    </row>
    <row r="3967" spans="3:4" x14ac:dyDescent="0.3">
      <c r="C3967" s="62"/>
      <c r="D3967" s="62"/>
    </row>
    <row r="3968" spans="3:4" x14ac:dyDescent="0.3">
      <c r="C3968" s="62"/>
      <c r="D3968" s="62"/>
    </row>
    <row r="3969" spans="3:4" x14ac:dyDescent="0.3">
      <c r="C3969" s="62"/>
      <c r="D3969" s="62"/>
    </row>
    <row r="3970" spans="3:4" x14ac:dyDescent="0.3">
      <c r="C3970" s="62"/>
      <c r="D3970" s="62"/>
    </row>
    <row r="3971" spans="3:4" x14ac:dyDescent="0.3">
      <c r="C3971" s="62"/>
      <c r="D3971" s="62"/>
    </row>
    <row r="3972" spans="3:4" x14ac:dyDescent="0.3">
      <c r="C3972" s="62"/>
      <c r="D3972" s="62"/>
    </row>
    <row r="3973" spans="3:4" x14ac:dyDescent="0.3">
      <c r="C3973" s="62"/>
      <c r="D3973" s="62"/>
    </row>
    <row r="3974" spans="3:4" x14ac:dyDescent="0.3">
      <c r="C3974" s="62"/>
      <c r="D3974" s="62"/>
    </row>
    <row r="3975" spans="3:4" x14ac:dyDescent="0.3">
      <c r="C3975" s="62"/>
      <c r="D3975" s="62"/>
    </row>
    <row r="3976" spans="3:4" x14ac:dyDescent="0.3">
      <c r="C3976" s="62"/>
      <c r="D3976" s="62"/>
    </row>
    <row r="3977" spans="3:4" x14ac:dyDescent="0.3">
      <c r="C3977" s="62"/>
      <c r="D3977" s="62"/>
    </row>
    <row r="3978" spans="3:4" x14ac:dyDescent="0.3">
      <c r="C3978" s="62"/>
      <c r="D3978" s="62"/>
    </row>
    <row r="3979" spans="3:4" x14ac:dyDescent="0.3">
      <c r="C3979" s="62"/>
      <c r="D3979" s="62"/>
    </row>
    <row r="3980" spans="3:4" x14ac:dyDescent="0.3">
      <c r="C3980" s="62"/>
      <c r="D3980" s="62"/>
    </row>
    <row r="3981" spans="3:4" x14ac:dyDescent="0.3">
      <c r="C3981" s="62"/>
      <c r="D3981" s="62"/>
    </row>
    <row r="3982" spans="3:4" x14ac:dyDescent="0.3">
      <c r="C3982" s="62"/>
      <c r="D3982" s="62"/>
    </row>
    <row r="3983" spans="3:4" x14ac:dyDescent="0.3">
      <c r="C3983" s="62"/>
      <c r="D3983" s="62"/>
    </row>
    <row r="3984" spans="3:4" x14ac:dyDescent="0.3">
      <c r="C3984" s="62"/>
      <c r="D3984" s="62"/>
    </row>
    <row r="3985" spans="3:4" x14ac:dyDescent="0.3">
      <c r="C3985" s="62"/>
      <c r="D3985" s="62"/>
    </row>
    <row r="3986" spans="3:4" x14ac:dyDescent="0.3">
      <c r="C3986" s="62"/>
      <c r="D3986" s="62"/>
    </row>
    <row r="3987" spans="3:4" x14ac:dyDescent="0.3">
      <c r="C3987" s="62"/>
      <c r="D3987" s="62"/>
    </row>
    <row r="3988" spans="3:4" x14ac:dyDescent="0.3">
      <c r="C3988" s="62"/>
      <c r="D3988" s="62"/>
    </row>
    <row r="3989" spans="3:4" x14ac:dyDescent="0.3">
      <c r="C3989" s="62"/>
      <c r="D3989" s="62"/>
    </row>
    <row r="3990" spans="3:4" x14ac:dyDescent="0.3">
      <c r="C3990" s="62"/>
      <c r="D3990" s="62"/>
    </row>
    <row r="3991" spans="3:4" x14ac:dyDescent="0.3">
      <c r="C3991" s="62"/>
      <c r="D3991" s="62"/>
    </row>
    <row r="3992" spans="3:4" x14ac:dyDescent="0.3">
      <c r="C3992" s="62"/>
      <c r="D3992" s="62"/>
    </row>
    <row r="3993" spans="3:4" x14ac:dyDescent="0.3">
      <c r="C3993" s="62"/>
      <c r="D3993" s="62"/>
    </row>
    <row r="3994" spans="3:4" x14ac:dyDescent="0.3">
      <c r="C3994" s="62"/>
      <c r="D3994" s="62"/>
    </row>
    <row r="3995" spans="3:4" x14ac:dyDescent="0.3">
      <c r="C3995" s="62"/>
      <c r="D3995" s="62"/>
    </row>
    <row r="3996" spans="3:4" x14ac:dyDescent="0.3">
      <c r="C3996" s="62"/>
      <c r="D3996" s="62"/>
    </row>
    <row r="3997" spans="3:4" x14ac:dyDescent="0.3">
      <c r="C3997" s="62"/>
      <c r="D3997" s="62"/>
    </row>
    <row r="3998" spans="3:4" x14ac:dyDescent="0.3">
      <c r="C3998" s="62"/>
      <c r="D3998" s="62"/>
    </row>
    <row r="3999" spans="3:4" x14ac:dyDescent="0.3">
      <c r="C3999" s="62"/>
      <c r="D3999" s="62"/>
    </row>
    <row r="4000" spans="3:4" x14ac:dyDescent="0.3">
      <c r="C4000" s="62"/>
      <c r="D4000" s="62"/>
    </row>
    <row r="4001" spans="3:4" x14ac:dyDescent="0.3">
      <c r="C4001" s="62"/>
      <c r="D4001" s="62"/>
    </row>
    <row r="4002" spans="3:4" x14ac:dyDescent="0.3">
      <c r="C4002" s="62"/>
      <c r="D4002" s="62"/>
    </row>
    <row r="4003" spans="3:4" x14ac:dyDescent="0.3">
      <c r="C4003" s="62"/>
      <c r="D4003" s="62"/>
    </row>
    <row r="4004" spans="3:4" x14ac:dyDescent="0.3">
      <c r="C4004" s="62"/>
      <c r="D4004" s="62"/>
    </row>
    <row r="4005" spans="3:4" x14ac:dyDescent="0.3">
      <c r="C4005" s="62"/>
      <c r="D4005" s="62"/>
    </row>
    <row r="4006" spans="3:4" x14ac:dyDescent="0.3">
      <c r="C4006" s="62"/>
      <c r="D4006" s="62"/>
    </row>
    <row r="4007" spans="3:4" x14ac:dyDescent="0.3">
      <c r="C4007" s="62"/>
      <c r="D4007" s="62"/>
    </row>
    <row r="4008" spans="3:4" x14ac:dyDescent="0.3">
      <c r="C4008" s="62"/>
      <c r="D4008" s="62"/>
    </row>
    <row r="4009" spans="3:4" x14ac:dyDescent="0.3">
      <c r="C4009" s="62"/>
      <c r="D4009" s="62"/>
    </row>
    <row r="4010" spans="3:4" x14ac:dyDescent="0.3">
      <c r="C4010" s="62"/>
      <c r="D4010" s="62"/>
    </row>
    <row r="4011" spans="3:4" x14ac:dyDescent="0.3">
      <c r="C4011" s="62"/>
      <c r="D4011" s="62"/>
    </row>
    <row r="4012" spans="3:4" x14ac:dyDescent="0.3">
      <c r="C4012" s="62"/>
      <c r="D4012" s="62"/>
    </row>
    <row r="4013" spans="3:4" x14ac:dyDescent="0.3">
      <c r="C4013" s="62"/>
      <c r="D4013" s="62"/>
    </row>
    <row r="4014" spans="3:4" x14ac:dyDescent="0.3">
      <c r="C4014" s="62"/>
      <c r="D4014" s="62"/>
    </row>
    <row r="4015" spans="3:4" x14ac:dyDescent="0.3">
      <c r="C4015" s="62"/>
      <c r="D4015" s="62"/>
    </row>
    <row r="4016" spans="3:4" x14ac:dyDescent="0.3">
      <c r="C4016" s="62"/>
      <c r="D4016" s="62"/>
    </row>
    <row r="4017" spans="3:4" x14ac:dyDescent="0.3">
      <c r="C4017" s="62"/>
      <c r="D4017" s="62"/>
    </row>
    <row r="4018" spans="3:4" x14ac:dyDescent="0.3">
      <c r="C4018" s="62"/>
      <c r="D4018" s="62"/>
    </row>
    <row r="4019" spans="3:4" x14ac:dyDescent="0.3">
      <c r="C4019" s="62"/>
      <c r="D4019" s="62"/>
    </row>
    <row r="4020" spans="3:4" x14ac:dyDescent="0.3">
      <c r="C4020" s="62"/>
      <c r="D4020" s="62"/>
    </row>
    <row r="4021" spans="3:4" x14ac:dyDescent="0.3">
      <c r="C4021" s="62"/>
      <c r="D4021" s="62"/>
    </row>
    <row r="4022" spans="3:4" x14ac:dyDescent="0.3">
      <c r="C4022" s="62"/>
      <c r="D4022" s="62"/>
    </row>
    <row r="4023" spans="3:4" x14ac:dyDescent="0.3">
      <c r="C4023" s="62"/>
      <c r="D4023" s="62"/>
    </row>
    <row r="4024" spans="3:4" x14ac:dyDescent="0.3">
      <c r="C4024" s="62"/>
      <c r="D4024" s="62"/>
    </row>
    <row r="4025" spans="3:4" x14ac:dyDescent="0.3">
      <c r="C4025" s="62"/>
      <c r="D4025" s="62"/>
    </row>
    <row r="4026" spans="3:4" x14ac:dyDescent="0.3">
      <c r="C4026" s="62"/>
      <c r="D4026" s="62"/>
    </row>
    <row r="4027" spans="3:4" x14ac:dyDescent="0.3">
      <c r="C4027" s="62"/>
      <c r="D4027" s="62"/>
    </row>
    <row r="4028" spans="3:4" x14ac:dyDescent="0.3">
      <c r="C4028" s="62"/>
      <c r="D4028" s="62"/>
    </row>
    <row r="4029" spans="3:4" x14ac:dyDescent="0.3">
      <c r="C4029" s="62"/>
      <c r="D4029" s="62"/>
    </row>
    <row r="4030" spans="3:4" x14ac:dyDescent="0.3">
      <c r="C4030" s="62"/>
      <c r="D4030" s="62"/>
    </row>
    <row r="4031" spans="3:4" x14ac:dyDescent="0.3">
      <c r="C4031" s="62"/>
      <c r="D4031" s="62"/>
    </row>
    <row r="4032" spans="3:4" x14ac:dyDescent="0.3">
      <c r="C4032" s="62"/>
      <c r="D4032" s="62"/>
    </row>
    <row r="4033" spans="3:4" x14ac:dyDescent="0.3">
      <c r="C4033" s="62"/>
      <c r="D4033" s="62"/>
    </row>
    <row r="4034" spans="3:4" x14ac:dyDescent="0.3">
      <c r="C4034" s="62"/>
      <c r="D4034" s="62"/>
    </row>
    <row r="4035" spans="3:4" x14ac:dyDescent="0.3">
      <c r="C4035" s="62"/>
      <c r="D4035" s="62"/>
    </row>
    <row r="4036" spans="3:4" x14ac:dyDescent="0.3">
      <c r="C4036" s="62"/>
      <c r="D4036" s="62"/>
    </row>
    <row r="4037" spans="3:4" x14ac:dyDescent="0.3">
      <c r="C4037" s="62"/>
      <c r="D4037" s="62"/>
    </row>
    <row r="4038" spans="3:4" x14ac:dyDescent="0.3">
      <c r="C4038" s="62"/>
      <c r="D4038" s="62"/>
    </row>
    <row r="4039" spans="3:4" x14ac:dyDescent="0.3">
      <c r="C4039" s="62"/>
      <c r="D4039" s="62"/>
    </row>
    <row r="4040" spans="3:4" x14ac:dyDescent="0.3">
      <c r="C4040" s="62"/>
      <c r="D4040" s="62"/>
    </row>
    <row r="4041" spans="3:4" x14ac:dyDescent="0.3">
      <c r="C4041" s="62"/>
      <c r="D4041" s="62"/>
    </row>
    <row r="4042" spans="3:4" x14ac:dyDescent="0.3">
      <c r="C4042" s="62"/>
      <c r="D4042" s="62"/>
    </row>
    <row r="4043" spans="3:4" x14ac:dyDescent="0.3">
      <c r="C4043" s="62"/>
      <c r="D4043" s="62"/>
    </row>
    <row r="4044" spans="3:4" x14ac:dyDescent="0.3">
      <c r="C4044" s="62"/>
      <c r="D4044" s="62"/>
    </row>
    <row r="4045" spans="3:4" x14ac:dyDescent="0.3">
      <c r="C4045" s="62"/>
      <c r="D4045" s="62"/>
    </row>
    <row r="4046" spans="3:4" x14ac:dyDescent="0.3">
      <c r="C4046" s="62"/>
      <c r="D4046" s="62"/>
    </row>
    <row r="4047" spans="3:4" x14ac:dyDescent="0.3">
      <c r="C4047" s="62"/>
      <c r="D4047" s="62"/>
    </row>
    <row r="4048" spans="3:4" x14ac:dyDescent="0.3">
      <c r="C4048" s="62"/>
      <c r="D4048" s="62"/>
    </row>
    <row r="4049" spans="3:4" x14ac:dyDescent="0.3">
      <c r="C4049" s="62"/>
      <c r="D4049" s="62"/>
    </row>
    <row r="4050" spans="3:4" x14ac:dyDescent="0.3">
      <c r="C4050" s="62"/>
      <c r="D4050" s="62"/>
    </row>
    <row r="4051" spans="3:4" x14ac:dyDescent="0.3">
      <c r="C4051" s="62"/>
      <c r="D4051" s="62"/>
    </row>
    <row r="4052" spans="3:4" x14ac:dyDescent="0.3">
      <c r="C4052" s="62"/>
      <c r="D4052" s="62"/>
    </row>
    <row r="4053" spans="3:4" x14ac:dyDescent="0.3">
      <c r="C4053" s="62"/>
      <c r="D4053" s="62"/>
    </row>
    <row r="4054" spans="3:4" x14ac:dyDescent="0.3">
      <c r="C4054" s="62"/>
      <c r="D4054" s="62"/>
    </row>
    <row r="4055" spans="3:4" x14ac:dyDescent="0.3">
      <c r="C4055" s="62"/>
      <c r="D4055" s="62"/>
    </row>
    <row r="4056" spans="3:4" x14ac:dyDescent="0.3">
      <c r="C4056" s="62"/>
      <c r="D4056" s="62"/>
    </row>
    <row r="4057" spans="3:4" x14ac:dyDescent="0.3">
      <c r="C4057" s="62"/>
      <c r="D4057" s="62"/>
    </row>
    <row r="4058" spans="3:4" x14ac:dyDescent="0.3">
      <c r="C4058" s="62"/>
      <c r="D4058" s="62"/>
    </row>
    <row r="4059" spans="3:4" x14ac:dyDescent="0.3">
      <c r="C4059" s="62"/>
      <c r="D4059" s="62"/>
    </row>
    <row r="4060" spans="3:4" x14ac:dyDescent="0.3">
      <c r="C4060" s="62"/>
      <c r="D4060" s="62"/>
    </row>
    <row r="4061" spans="3:4" x14ac:dyDescent="0.3">
      <c r="C4061" s="62"/>
      <c r="D4061" s="62"/>
    </row>
    <row r="4062" spans="3:4" x14ac:dyDescent="0.3">
      <c r="C4062" s="62"/>
      <c r="D4062" s="62"/>
    </row>
    <row r="4063" spans="3:4" x14ac:dyDescent="0.3">
      <c r="C4063" s="62"/>
      <c r="D4063" s="62"/>
    </row>
    <row r="4064" spans="3:4" x14ac:dyDescent="0.3">
      <c r="C4064" s="62"/>
      <c r="D4064" s="62"/>
    </row>
    <row r="4065" spans="3:4" x14ac:dyDescent="0.3">
      <c r="C4065" s="62"/>
      <c r="D4065" s="62"/>
    </row>
    <row r="4066" spans="3:4" x14ac:dyDescent="0.3">
      <c r="C4066" s="62"/>
      <c r="D4066" s="62"/>
    </row>
    <row r="4067" spans="3:4" x14ac:dyDescent="0.3">
      <c r="C4067" s="62"/>
      <c r="D4067" s="62"/>
    </row>
    <row r="4068" spans="3:4" x14ac:dyDescent="0.3">
      <c r="C4068" s="62"/>
      <c r="D4068" s="62"/>
    </row>
    <row r="4069" spans="3:4" x14ac:dyDescent="0.3">
      <c r="C4069" s="62"/>
      <c r="D4069" s="62"/>
    </row>
    <row r="4070" spans="3:4" x14ac:dyDescent="0.3">
      <c r="C4070" s="62"/>
      <c r="D4070" s="62"/>
    </row>
    <row r="4071" spans="3:4" x14ac:dyDescent="0.3">
      <c r="C4071" s="62"/>
      <c r="D4071" s="62"/>
    </row>
    <row r="4072" spans="3:4" x14ac:dyDescent="0.3">
      <c r="C4072" s="62"/>
      <c r="D4072" s="62"/>
    </row>
    <row r="4073" spans="3:4" x14ac:dyDescent="0.3">
      <c r="C4073" s="62"/>
      <c r="D4073" s="62"/>
    </row>
    <row r="4074" spans="3:4" x14ac:dyDescent="0.3">
      <c r="C4074" s="62"/>
      <c r="D4074" s="62"/>
    </row>
    <row r="4075" spans="3:4" x14ac:dyDescent="0.3">
      <c r="C4075" s="62"/>
      <c r="D4075" s="62"/>
    </row>
    <row r="4076" spans="3:4" x14ac:dyDescent="0.3">
      <c r="C4076" s="62"/>
      <c r="D4076" s="62"/>
    </row>
    <row r="4077" spans="3:4" x14ac:dyDescent="0.3">
      <c r="C4077" s="62"/>
      <c r="D4077" s="62"/>
    </row>
    <row r="4078" spans="3:4" x14ac:dyDescent="0.3">
      <c r="C4078" s="62"/>
      <c r="D4078" s="62"/>
    </row>
    <row r="4079" spans="3:4" x14ac:dyDescent="0.3">
      <c r="C4079" s="62"/>
      <c r="D4079" s="62"/>
    </row>
    <row r="4080" spans="3:4" x14ac:dyDescent="0.3">
      <c r="C4080" s="62"/>
      <c r="D4080" s="62"/>
    </row>
    <row r="4081" spans="3:4" x14ac:dyDescent="0.3">
      <c r="C4081" s="62"/>
      <c r="D4081" s="62"/>
    </row>
    <row r="4082" spans="3:4" x14ac:dyDescent="0.3">
      <c r="C4082" s="62"/>
      <c r="D4082" s="62"/>
    </row>
    <row r="4083" spans="3:4" x14ac:dyDescent="0.3">
      <c r="C4083" s="62"/>
      <c r="D4083" s="62"/>
    </row>
    <row r="4084" spans="3:4" x14ac:dyDescent="0.3">
      <c r="C4084" s="62"/>
      <c r="D4084" s="62"/>
    </row>
    <row r="4085" spans="3:4" x14ac:dyDescent="0.3">
      <c r="C4085" s="62"/>
      <c r="D4085" s="62"/>
    </row>
    <row r="4086" spans="3:4" x14ac:dyDescent="0.3">
      <c r="C4086" s="62"/>
      <c r="D4086" s="62"/>
    </row>
    <row r="4087" spans="3:4" x14ac:dyDescent="0.3">
      <c r="C4087" s="62"/>
      <c r="D4087" s="62"/>
    </row>
    <row r="4088" spans="3:4" x14ac:dyDescent="0.3">
      <c r="C4088" s="62"/>
      <c r="D4088" s="62"/>
    </row>
    <row r="4089" spans="3:4" x14ac:dyDescent="0.3">
      <c r="C4089" s="62"/>
      <c r="D4089" s="62"/>
    </row>
    <row r="4090" spans="3:4" x14ac:dyDescent="0.3">
      <c r="C4090" s="62"/>
      <c r="D4090" s="62"/>
    </row>
    <row r="4091" spans="3:4" x14ac:dyDescent="0.3">
      <c r="C4091" s="62"/>
      <c r="D4091" s="62"/>
    </row>
    <row r="4092" spans="3:4" x14ac:dyDescent="0.3">
      <c r="C4092" s="62"/>
      <c r="D4092" s="62"/>
    </row>
    <row r="4093" spans="3:4" x14ac:dyDescent="0.3">
      <c r="C4093" s="62"/>
      <c r="D4093" s="62"/>
    </row>
    <row r="4094" spans="3:4" x14ac:dyDescent="0.3">
      <c r="C4094" s="62"/>
      <c r="D4094" s="62"/>
    </row>
    <row r="4095" spans="3:4" x14ac:dyDescent="0.3">
      <c r="C4095" s="62"/>
      <c r="D4095" s="62"/>
    </row>
    <row r="4096" spans="3:4" x14ac:dyDescent="0.3">
      <c r="C4096" s="62"/>
      <c r="D4096" s="62"/>
    </row>
    <row r="4097" spans="3:4" x14ac:dyDescent="0.3">
      <c r="C4097" s="62"/>
      <c r="D4097" s="62"/>
    </row>
    <row r="4098" spans="3:4" x14ac:dyDescent="0.3">
      <c r="C4098" s="62"/>
      <c r="D4098" s="62"/>
    </row>
    <row r="4099" spans="3:4" x14ac:dyDescent="0.3">
      <c r="C4099" s="62"/>
      <c r="D4099" s="62"/>
    </row>
    <row r="4100" spans="3:4" x14ac:dyDescent="0.3">
      <c r="C4100" s="62"/>
      <c r="D4100" s="62"/>
    </row>
    <row r="4101" spans="3:4" x14ac:dyDescent="0.3">
      <c r="C4101" s="62"/>
      <c r="D4101" s="62"/>
    </row>
    <row r="4102" spans="3:4" x14ac:dyDescent="0.3">
      <c r="C4102" s="62"/>
      <c r="D4102" s="62"/>
    </row>
    <row r="4103" spans="3:4" x14ac:dyDescent="0.3">
      <c r="C4103" s="62"/>
      <c r="D4103" s="62"/>
    </row>
    <row r="4104" spans="3:4" x14ac:dyDescent="0.3">
      <c r="C4104" s="62"/>
      <c r="D4104" s="62"/>
    </row>
    <row r="4105" spans="3:4" x14ac:dyDescent="0.3">
      <c r="C4105" s="62"/>
      <c r="D4105" s="62"/>
    </row>
    <row r="4106" spans="3:4" x14ac:dyDescent="0.3">
      <c r="C4106" s="62"/>
      <c r="D4106" s="62"/>
    </row>
    <row r="4107" spans="3:4" x14ac:dyDescent="0.3">
      <c r="C4107" s="62"/>
      <c r="D4107" s="62"/>
    </row>
    <row r="4108" spans="3:4" x14ac:dyDescent="0.3">
      <c r="C4108" s="62"/>
      <c r="D4108" s="62"/>
    </row>
    <row r="4109" spans="3:4" x14ac:dyDescent="0.3">
      <c r="C4109" s="62"/>
      <c r="D4109" s="62"/>
    </row>
    <row r="4110" spans="3:4" x14ac:dyDescent="0.3">
      <c r="C4110" s="62"/>
      <c r="D4110" s="62"/>
    </row>
    <row r="4111" spans="3:4" x14ac:dyDescent="0.3">
      <c r="C4111" s="62"/>
      <c r="D4111" s="62"/>
    </row>
    <row r="4112" spans="3:4" x14ac:dyDescent="0.3">
      <c r="C4112" s="62"/>
      <c r="D4112" s="62"/>
    </row>
    <row r="4113" spans="3:4" x14ac:dyDescent="0.3">
      <c r="C4113" s="62"/>
      <c r="D4113" s="62"/>
    </row>
    <row r="4114" spans="3:4" x14ac:dyDescent="0.3">
      <c r="C4114" s="62"/>
      <c r="D4114" s="62"/>
    </row>
    <row r="4115" spans="3:4" x14ac:dyDescent="0.3">
      <c r="C4115" s="62"/>
      <c r="D4115" s="62"/>
    </row>
    <row r="4116" spans="3:4" x14ac:dyDescent="0.3">
      <c r="C4116" s="62"/>
      <c r="D4116" s="62"/>
    </row>
    <row r="4117" spans="3:4" x14ac:dyDescent="0.3">
      <c r="C4117" s="62"/>
      <c r="D4117" s="62"/>
    </row>
    <row r="4118" spans="3:4" x14ac:dyDescent="0.3">
      <c r="C4118" s="62"/>
      <c r="D4118" s="62"/>
    </row>
    <row r="4119" spans="3:4" x14ac:dyDescent="0.3">
      <c r="C4119" s="62"/>
      <c r="D4119" s="62"/>
    </row>
    <row r="4120" spans="3:4" x14ac:dyDescent="0.3">
      <c r="C4120" s="62"/>
      <c r="D4120" s="62"/>
    </row>
    <row r="4121" spans="3:4" x14ac:dyDescent="0.3">
      <c r="C4121" s="62"/>
      <c r="D4121" s="62"/>
    </row>
    <row r="4122" spans="3:4" x14ac:dyDescent="0.3">
      <c r="C4122" s="62"/>
      <c r="D4122" s="62"/>
    </row>
    <row r="4123" spans="3:4" x14ac:dyDescent="0.3">
      <c r="C4123" s="62"/>
      <c r="D4123" s="62"/>
    </row>
    <row r="4124" spans="3:4" x14ac:dyDescent="0.3">
      <c r="C4124" s="62"/>
      <c r="D4124" s="62"/>
    </row>
    <row r="4125" spans="3:4" x14ac:dyDescent="0.3">
      <c r="C4125" s="62"/>
      <c r="D4125" s="62"/>
    </row>
    <row r="4126" spans="3:4" x14ac:dyDescent="0.3">
      <c r="C4126" s="62"/>
      <c r="D4126" s="62"/>
    </row>
    <row r="4127" spans="3:4" x14ac:dyDescent="0.3">
      <c r="C4127" s="62"/>
      <c r="D4127" s="62"/>
    </row>
    <row r="4128" spans="3:4" x14ac:dyDescent="0.3">
      <c r="C4128" s="62"/>
      <c r="D4128" s="62"/>
    </row>
    <row r="4129" spans="3:4" x14ac:dyDescent="0.3">
      <c r="C4129" s="62"/>
      <c r="D4129" s="62"/>
    </row>
    <row r="4130" spans="3:4" x14ac:dyDescent="0.3">
      <c r="C4130" s="62"/>
      <c r="D4130" s="62"/>
    </row>
    <row r="4131" spans="3:4" x14ac:dyDescent="0.3">
      <c r="C4131" s="62"/>
      <c r="D4131" s="62"/>
    </row>
    <row r="4132" spans="3:4" x14ac:dyDescent="0.3">
      <c r="C4132" s="62"/>
      <c r="D4132" s="62"/>
    </row>
    <row r="4133" spans="3:4" x14ac:dyDescent="0.3">
      <c r="C4133" s="62"/>
      <c r="D4133" s="62"/>
    </row>
    <row r="4134" spans="3:4" x14ac:dyDescent="0.3">
      <c r="C4134" s="62"/>
      <c r="D4134" s="62"/>
    </row>
    <row r="4135" spans="3:4" x14ac:dyDescent="0.3">
      <c r="C4135" s="62"/>
      <c r="D4135" s="62"/>
    </row>
    <row r="4136" spans="3:4" x14ac:dyDescent="0.3">
      <c r="C4136" s="62"/>
      <c r="D4136" s="62"/>
    </row>
    <row r="4137" spans="3:4" x14ac:dyDescent="0.3">
      <c r="C4137" s="62"/>
      <c r="D4137" s="62"/>
    </row>
    <row r="4138" spans="3:4" x14ac:dyDescent="0.3">
      <c r="C4138" s="62"/>
      <c r="D4138" s="62"/>
    </row>
    <row r="4139" spans="3:4" x14ac:dyDescent="0.3">
      <c r="C4139" s="62"/>
      <c r="D4139" s="62"/>
    </row>
    <row r="4140" spans="3:4" x14ac:dyDescent="0.3">
      <c r="C4140" s="62"/>
      <c r="D4140" s="62"/>
    </row>
    <row r="4141" spans="3:4" x14ac:dyDescent="0.3">
      <c r="C4141" s="62"/>
      <c r="D4141" s="62"/>
    </row>
    <row r="4142" spans="3:4" x14ac:dyDescent="0.3">
      <c r="C4142" s="62"/>
      <c r="D4142" s="62"/>
    </row>
    <row r="4143" spans="3:4" x14ac:dyDescent="0.3">
      <c r="C4143" s="62"/>
      <c r="D4143" s="62"/>
    </row>
    <row r="4144" spans="3:4" x14ac:dyDescent="0.3">
      <c r="C4144" s="62"/>
      <c r="D4144" s="62"/>
    </row>
    <row r="4145" spans="3:4" x14ac:dyDescent="0.3">
      <c r="C4145" s="62"/>
      <c r="D4145" s="62"/>
    </row>
    <row r="4146" spans="3:4" x14ac:dyDescent="0.3">
      <c r="C4146" s="62"/>
      <c r="D4146" s="62"/>
    </row>
    <row r="4147" spans="3:4" x14ac:dyDescent="0.3">
      <c r="C4147" s="62"/>
      <c r="D4147" s="62"/>
    </row>
    <row r="4148" spans="3:4" x14ac:dyDescent="0.3">
      <c r="C4148" s="62"/>
      <c r="D4148" s="62"/>
    </row>
    <row r="4149" spans="3:4" x14ac:dyDescent="0.3">
      <c r="C4149" s="62"/>
      <c r="D4149" s="62"/>
    </row>
    <row r="4150" spans="3:4" x14ac:dyDescent="0.3">
      <c r="C4150" s="62"/>
      <c r="D4150" s="62"/>
    </row>
    <row r="4151" spans="3:4" x14ac:dyDescent="0.3">
      <c r="C4151" s="62"/>
      <c r="D4151" s="62"/>
    </row>
    <row r="4152" spans="3:4" x14ac:dyDescent="0.3">
      <c r="C4152" s="62"/>
      <c r="D4152" s="62"/>
    </row>
    <row r="4153" spans="3:4" x14ac:dyDescent="0.3">
      <c r="C4153" s="62"/>
      <c r="D4153" s="62"/>
    </row>
    <row r="4154" spans="3:4" x14ac:dyDescent="0.3">
      <c r="C4154" s="62"/>
      <c r="D4154" s="62"/>
    </row>
    <row r="4155" spans="3:4" x14ac:dyDescent="0.3">
      <c r="C4155" s="62"/>
      <c r="D4155" s="62"/>
    </row>
    <row r="4156" spans="3:4" x14ac:dyDescent="0.3">
      <c r="C4156" s="62"/>
      <c r="D4156" s="62"/>
    </row>
    <row r="4157" spans="3:4" x14ac:dyDescent="0.3">
      <c r="C4157" s="62"/>
      <c r="D4157" s="62"/>
    </row>
    <row r="4158" spans="3:4" x14ac:dyDescent="0.3">
      <c r="C4158" s="62"/>
      <c r="D4158" s="62"/>
    </row>
    <row r="4159" spans="3:4" x14ac:dyDescent="0.3">
      <c r="C4159" s="62"/>
      <c r="D4159" s="62"/>
    </row>
    <row r="4160" spans="3:4" x14ac:dyDescent="0.3">
      <c r="C4160" s="62"/>
      <c r="D4160" s="62"/>
    </row>
    <row r="4161" spans="3:4" x14ac:dyDescent="0.3">
      <c r="C4161" s="62"/>
      <c r="D4161" s="62"/>
    </row>
    <row r="4162" spans="3:4" x14ac:dyDescent="0.3">
      <c r="C4162" s="62"/>
      <c r="D4162" s="62"/>
    </row>
    <row r="4163" spans="3:4" x14ac:dyDescent="0.3">
      <c r="C4163" s="62"/>
      <c r="D4163" s="62"/>
    </row>
    <row r="4164" spans="3:4" x14ac:dyDescent="0.3">
      <c r="C4164" s="62"/>
      <c r="D4164" s="62"/>
    </row>
    <row r="4165" spans="3:4" x14ac:dyDescent="0.3">
      <c r="C4165" s="62"/>
      <c r="D4165" s="62"/>
    </row>
    <row r="4166" spans="3:4" x14ac:dyDescent="0.3">
      <c r="C4166" s="62"/>
      <c r="D4166" s="62"/>
    </row>
    <row r="4167" spans="3:4" x14ac:dyDescent="0.3">
      <c r="C4167" s="62"/>
      <c r="D4167" s="62"/>
    </row>
    <row r="4168" spans="3:4" x14ac:dyDescent="0.3">
      <c r="C4168" s="62"/>
      <c r="D4168" s="62"/>
    </row>
    <row r="4169" spans="3:4" x14ac:dyDescent="0.3">
      <c r="C4169" s="62"/>
      <c r="D4169" s="62"/>
    </row>
    <row r="4170" spans="3:4" x14ac:dyDescent="0.3">
      <c r="C4170" s="62"/>
      <c r="D4170" s="62"/>
    </row>
    <row r="4171" spans="3:4" x14ac:dyDescent="0.3">
      <c r="C4171" s="62"/>
      <c r="D4171" s="62"/>
    </row>
    <row r="4172" spans="3:4" x14ac:dyDescent="0.3">
      <c r="C4172" s="62"/>
      <c r="D4172" s="62"/>
    </row>
    <row r="4173" spans="3:4" x14ac:dyDescent="0.3">
      <c r="C4173" s="62"/>
      <c r="D4173" s="62"/>
    </row>
    <row r="4174" spans="3:4" x14ac:dyDescent="0.3">
      <c r="C4174" s="62"/>
      <c r="D4174" s="62"/>
    </row>
    <row r="4175" spans="3:4" x14ac:dyDescent="0.3">
      <c r="C4175" s="62"/>
      <c r="D4175" s="62"/>
    </row>
    <row r="4176" spans="3:4" x14ac:dyDescent="0.3">
      <c r="C4176" s="62"/>
      <c r="D4176" s="62"/>
    </row>
    <row r="4177" spans="3:4" x14ac:dyDescent="0.3">
      <c r="C4177" s="62"/>
      <c r="D4177" s="62"/>
    </row>
    <row r="4178" spans="3:4" x14ac:dyDescent="0.3">
      <c r="C4178" s="62"/>
      <c r="D4178" s="62"/>
    </row>
    <row r="4179" spans="3:4" x14ac:dyDescent="0.3">
      <c r="C4179" s="62"/>
      <c r="D4179" s="62"/>
    </row>
    <row r="4180" spans="3:4" x14ac:dyDescent="0.3">
      <c r="C4180" s="62"/>
      <c r="D4180" s="62"/>
    </row>
    <row r="4181" spans="3:4" x14ac:dyDescent="0.3">
      <c r="C4181" s="62"/>
      <c r="D4181" s="62"/>
    </row>
    <row r="4182" spans="3:4" x14ac:dyDescent="0.3">
      <c r="C4182" s="62"/>
      <c r="D4182" s="62"/>
    </row>
    <row r="4183" spans="3:4" x14ac:dyDescent="0.3">
      <c r="C4183" s="62"/>
      <c r="D4183" s="62"/>
    </row>
    <row r="4184" spans="3:4" x14ac:dyDescent="0.3">
      <c r="C4184" s="62"/>
      <c r="D4184" s="62"/>
    </row>
    <row r="4185" spans="3:4" x14ac:dyDescent="0.3">
      <c r="C4185" s="62"/>
      <c r="D4185" s="62"/>
    </row>
    <row r="4186" spans="3:4" x14ac:dyDescent="0.3">
      <c r="C4186" s="62"/>
      <c r="D4186" s="62"/>
    </row>
    <row r="4187" spans="3:4" x14ac:dyDescent="0.3">
      <c r="C4187" s="62"/>
      <c r="D4187" s="62"/>
    </row>
    <row r="4188" spans="3:4" x14ac:dyDescent="0.3">
      <c r="C4188" s="62"/>
      <c r="D4188" s="62"/>
    </row>
    <row r="4189" spans="3:4" x14ac:dyDescent="0.3">
      <c r="C4189" s="62"/>
      <c r="D4189" s="62"/>
    </row>
    <row r="4190" spans="3:4" x14ac:dyDescent="0.3">
      <c r="C4190" s="62"/>
      <c r="D4190" s="62"/>
    </row>
    <row r="4191" spans="3:4" x14ac:dyDescent="0.3">
      <c r="C4191" s="62"/>
      <c r="D4191" s="62"/>
    </row>
    <row r="4192" spans="3:4" x14ac:dyDescent="0.3">
      <c r="C4192" s="62"/>
      <c r="D4192" s="62"/>
    </row>
    <row r="4193" spans="3:4" x14ac:dyDescent="0.3">
      <c r="C4193" s="62"/>
      <c r="D4193" s="62"/>
    </row>
    <row r="4194" spans="3:4" x14ac:dyDescent="0.3">
      <c r="C4194" s="62"/>
      <c r="D4194" s="62"/>
    </row>
    <row r="4195" spans="3:4" x14ac:dyDescent="0.3">
      <c r="C4195" s="62"/>
      <c r="D4195" s="62"/>
    </row>
    <row r="4196" spans="3:4" x14ac:dyDescent="0.3">
      <c r="C4196" s="62"/>
      <c r="D4196" s="62"/>
    </row>
    <row r="4197" spans="3:4" x14ac:dyDescent="0.3">
      <c r="C4197" s="62"/>
      <c r="D4197" s="62"/>
    </row>
    <row r="4198" spans="3:4" x14ac:dyDescent="0.3">
      <c r="C4198" s="62"/>
      <c r="D4198" s="62"/>
    </row>
    <row r="4199" spans="3:4" x14ac:dyDescent="0.3">
      <c r="C4199" s="62"/>
      <c r="D4199" s="62"/>
    </row>
    <row r="4200" spans="3:4" x14ac:dyDescent="0.3">
      <c r="C4200" s="62"/>
      <c r="D4200" s="62"/>
    </row>
    <row r="4201" spans="3:4" x14ac:dyDescent="0.3">
      <c r="C4201" s="62"/>
      <c r="D4201" s="62"/>
    </row>
    <row r="4202" spans="3:4" x14ac:dyDescent="0.3">
      <c r="C4202" s="62"/>
      <c r="D4202" s="62"/>
    </row>
    <row r="4203" spans="3:4" x14ac:dyDescent="0.3">
      <c r="C4203" s="62"/>
      <c r="D4203" s="62"/>
    </row>
    <row r="4204" spans="3:4" x14ac:dyDescent="0.3">
      <c r="C4204" s="62"/>
      <c r="D4204" s="62"/>
    </row>
    <row r="4205" spans="3:4" x14ac:dyDescent="0.3">
      <c r="C4205" s="62"/>
      <c r="D4205" s="62"/>
    </row>
    <row r="4206" spans="3:4" x14ac:dyDescent="0.3">
      <c r="C4206" s="62"/>
      <c r="D4206" s="62"/>
    </row>
    <row r="4207" spans="3:4" x14ac:dyDescent="0.3">
      <c r="C4207" s="62"/>
      <c r="D4207" s="62"/>
    </row>
    <row r="4208" spans="3:4" x14ac:dyDescent="0.3">
      <c r="C4208" s="62"/>
      <c r="D4208" s="62"/>
    </row>
    <row r="4209" spans="3:4" x14ac:dyDescent="0.3">
      <c r="C4209" s="62"/>
      <c r="D4209" s="62"/>
    </row>
    <row r="4210" spans="3:4" x14ac:dyDescent="0.3">
      <c r="C4210" s="62"/>
      <c r="D4210" s="62"/>
    </row>
    <row r="4211" spans="3:4" x14ac:dyDescent="0.3">
      <c r="C4211" s="62"/>
      <c r="D4211" s="62"/>
    </row>
    <row r="4212" spans="3:4" x14ac:dyDescent="0.3">
      <c r="C4212" s="62"/>
      <c r="D4212" s="62"/>
    </row>
    <row r="4213" spans="3:4" x14ac:dyDescent="0.3">
      <c r="C4213" s="62"/>
      <c r="D4213" s="62"/>
    </row>
    <row r="4214" spans="3:4" x14ac:dyDescent="0.3">
      <c r="C4214" s="62"/>
      <c r="D4214" s="62"/>
    </row>
    <row r="4215" spans="3:4" x14ac:dyDescent="0.3">
      <c r="C4215" s="62"/>
      <c r="D4215" s="62"/>
    </row>
    <row r="4216" spans="3:4" x14ac:dyDescent="0.3">
      <c r="C4216" s="62"/>
      <c r="D4216" s="62"/>
    </row>
    <row r="4217" spans="3:4" x14ac:dyDescent="0.3">
      <c r="C4217" s="62"/>
      <c r="D4217" s="62"/>
    </row>
    <row r="4218" spans="3:4" x14ac:dyDescent="0.3">
      <c r="C4218" s="62"/>
      <c r="D4218" s="62"/>
    </row>
    <row r="4219" spans="3:4" x14ac:dyDescent="0.3">
      <c r="C4219" s="62"/>
      <c r="D4219" s="62"/>
    </row>
    <row r="4220" spans="3:4" x14ac:dyDescent="0.3">
      <c r="C4220" s="62"/>
      <c r="D4220" s="62"/>
    </row>
    <row r="4221" spans="3:4" x14ac:dyDescent="0.3">
      <c r="C4221" s="62"/>
      <c r="D4221" s="62"/>
    </row>
    <row r="4222" spans="3:4" x14ac:dyDescent="0.3">
      <c r="C4222" s="62"/>
      <c r="D4222" s="62"/>
    </row>
    <row r="4223" spans="3:4" x14ac:dyDescent="0.3">
      <c r="C4223" s="62"/>
      <c r="D4223" s="62"/>
    </row>
    <row r="4224" spans="3:4" x14ac:dyDescent="0.3">
      <c r="C4224" s="62"/>
      <c r="D4224" s="62"/>
    </row>
    <row r="4225" spans="3:4" x14ac:dyDescent="0.3">
      <c r="C4225" s="62"/>
      <c r="D4225" s="62"/>
    </row>
    <row r="4226" spans="3:4" x14ac:dyDescent="0.3">
      <c r="C4226" s="62"/>
      <c r="D4226" s="62"/>
    </row>
    <row r="4227" spans="3:4" x14ac:dyDescent="0.3">
      <c r="C4227" s="62"/>
      <c r="D4227" s="62"/>
    </row>
    <row r="4228" spans="3:4" x14ac:dyDescent="0.3">
      <c r="C4228" s="62"/>
      <c r="D4228" s="62"/>
    </row>
    <row r="4229" spans="3:4" x14ac:dyDescent="0.3">
      <c r="C4229" s="62"/>
      <c r="D4229" s="62"/>
    </row>
    <row r="4230" spans="3:4" x14ac:dyDescent="0.3">
      <c r="C4230" s="62"/>
      <c r="D4230" s="62"/>
    </row>
    <row r="4231" spans="3:4" x14ac:dyDescent="0.3">
      <c r="C4231" s="62"/>
      <c r="D4231" s="62"/>
    </row>
    <row r="4232" spans="3:4" x14ac:dyDescent="0.3">
      <c r="C4232" s="62"/>
      <c r="D4232" s="62"/>
    </row>
    <row r="4233" spans="3:4" x14ac:dyDescent="0.3">
      <c r="C4233" s="62"/>
      <c r="D4233" s="62"/>
    </row>
    <row r="4234" spans="3:4" x14ac:dyDescent="0.3">
      <c r="C4234" s="62"/>
      <c r="D4234" s="62"/>
    </row>
    <row r="4235" spans="3:4" x14ac:dyDescent="0.3">
      <c r="C4235" s="62"/>
      <c r="D4235" s="62"/>
    </row>
    <row r="4236" spans="3:4" x14ac:dyDescent="0.3">
      <c r="C4236" s="62"/>
      <c r="D4236" s="62"/>
    </row>
    <row r="4237" spans="3:4" x14ac:dyDescent="0.3">
      <c r="C4237" s="62"/>
      <c r="D4237" s="62"/>
    </row>
    <row r="4238" spans="3:4" x14ac:dyDescent="0.3">
      <c r="C4238" s="62"/>
      <c r="D4238" s="62"/>
    </row>
    <row r="4239" spans="3:4" x14ac:dyDescent="0.3">
      <c r="C4239" s="62"/>
      <c r="D4239" s="62"/>
    </row>
    <row r="4240" spans="3:4" x14ac:dyDescent="0.3">
      <c r="C4240" s="62"/>
      <c r="D4240" s="62"/>
    </row>
    <row r="4241" spans="3:4" x14ac:dyDescent="0.3">
      <c r="C4241" s="62"/>
      <c r="D4241" s="62"/>
    </row>
    <row r="4242" spans="3:4" x14ac:dyDescent="0.3">
      <c r="C4242" s="62"/>
      <c r="D4242" s="62"/>
    </row>
    <row r="4243" spans="3:4" x14ac:dyDescent="0.3">
      <c r="C4243" s="62"/>
      <c r="D4243" s="62"/>
    </row>
    <row r="4244" spans="3:4" x14ac:dyDescent="0.3">
      <c r="C4244" s="62"/>
      <c r="D4244" s="62"/>
    </row>
    <row r="4245" spans="3:4" x14ac:dyDescent="0.3">
      <c r="C4245" s="62"/>
      <c r="D4245" s="62"/>
    </row>
    <row r="4246" spans="3:4" x14ac:dyDescent="0.3">
      <c r="C4246" s="62"/>
      <c r="D4246" s="62"/>
    </row>
    <row r="4247" spans="3:4" x14ac:dyDescent="0.3">
      <c r="C4247" s="62"/>
      <c r="D4247" s="62"/>
    </row>
    <row r="4248" spans="3:4" x14ac:dyDescent="0.3">
      <c r="C4248" s="62"/>
      <c r="D4248" s="62"/>
    </row>
    <row r="4249" spans="3:4" x14ac:dyDescent="0.3">
      <c r="C4249" s="62"/>
      <c r="D4249" s="62"/>
    </row>
    <row r="4250" spans="3:4" x14ac:dyDescent="0.3">
      <c r="C4250" s="62"/>
      <c r="D4250" s="62"/>
    </row>
    <row r="4251" spans="3:4" x14ac:dyDescent="0.3">
      <c r="C4251" s="62"/>
      <c r="D4251" s="62"/>
    </row>
    <row r="4252" spans="3:4" x14ac:dyDescent="0.3">
      <c r="C4252" s="62"/>
      <c r="D4252" s="62"/>
    </row>
    <row r="4253" spans="3:4" x14ac:dyDescent="0.3">
      <c r="C4253" s="62"/>
      <c r="D4253" s="62"/>
    </row>
    <row r="4254" spans="3:4" x14ac:dyDescent="0.3">
      <c r="C4254" s="62"/>
      <c r="D4254" s="62"/>
    </row>
    <row r="4255" spans="3:4" x14ac:dyDescent="0.3">
      <c r="C4255" s="62"/>
      <c r="D4255" s="62"/>
    </row>
    <row r="4256" spans="3:4" x14ac:dyDescent="0.3">
      <c r="C4256" s="62"/>
      <c r="D4256" s="62"/>
    </row>
    <row r="4257" spans="3:4" x14ac:dyDescent="0.3">
      <c r="C4257" s="62"/>
      <c r="D4257" s="62"/>
    </row>
    <row r="4258" spans="3:4" x14ac:dyDescent="0.3">
      <c r="C4258" s="62"/>
      <c r="D4258" s="62"/>
    </row>
    <row r="4259" spans="3:4" x14ac:dyDescent="0.3">
      <c r="C4259" s="62"/>
      <c r="D4259" s="62"/>
    </row>
    <row r="4260" spans="3:4" x14ac:dyDescent="0.3">
      <c r="C4260" s="62"/>
      <c r="D4260" s="62"/>
    </row>
    <row r="4261" spans="3:4" x14ac:dyDescent="0.3">
      <c r="C4261" s="62"/>
      <c r="D4261" s="62"/>
    </row>
    <row r="4262" spans="3:4" x14ac:dyDescent="0.3">
      <c r="C4262" s="62"/>
      <c r="D4262" s="62"/>
    </row>
    <row r="4263" spans="3:4" x14ac:dyDescent="0.3">
      <c r="C4263" s="62"/>
      <c r="D4263" s="62"/>
    </row>
    <row r="4264" spans="3:4" x14ac:dyDescent="0.3">
      <c r="C4264" s="62"/>
      <c r="D4264" s="62"/>
    </row>
    <row r="4265" spans="3:4" x14ac:dyDescent="0.3">
      <c r="C4265" s="62"/>
      <c r="D4265" s="62"/>
    </row>
    <row r="4266" spans="3:4" x14ac:dyDescent="0.3">
      <c r="C4266" s="62"/>
      <c r="D4266" s="62"/>
    </row>
    <row r="4267" spans="3:4" x14ac:dyDescent="0.3">
      <c r="C4267" s="62"/>
      <c r="D4267" s="62"/>
    </row>
    <row r="4268" spans="3:4" x14ac:dyDescent="0.3">
      <c r="C4268" s="62"/>
      <c r="D4268" s="62"/>
    </row>
    <row r="4269" spans="3:4" x14ac:dyDescent="0.3">
      <c r="C4269" s="62"/>
      <c r="D4269" s="62"/>
    </row>
    <row r="4270" spans="3:4" x14ac:dyDescent="0.3">
      <c r="C4270" s="62"/>
      <c r="D4270" s="62"/>
    </row>
    <row r="4271" spans="3:4" x14ac:dyDescent="0.3">
      <c r="C4271" s="62"/>
      <c r="D4271" s="62"/>
    </row>
    <row r="4272" spans="3:4" x14ac:dyDescent="0.3">
      <c r="C4272" s="62"/>
      <c r="D4272" s="62"/>
    </row>
    <row r="4273" spans="3:4" x14ac:dyDescent="0.3">
      <c r="C4273" s="62"/>
      <c r="D4273" s="62"/>
    </row>
    <row r="4274" spans="3:4" x14ac:dyDescent="0.3">
      <c r="C4274" s="62"/>
      <c r="D4274" s="62"/>
    </row>
    <row r="4275" spans="3:4" x14ac:dyDescent="0.3">
      <c r="C4275" s="62"/>
      <c r="D4275" s="62"/>
    </row>
    <row r="4276" spans="3:4" x14ac:dyDescent="0.3">
      <c r="C4276" s="62"/>
      <c r="D4276" s="62"/>
    </row>
    <row r="4277" spans="3:4" x14ac:dyDescent="0.3">
      <c r="C4277" s="62"/>
      <c r="D4277" s="62"/>
    </row>
    <row r="4278" spans="3:4" x14ac:dyDescent="0.3">
      <c r="C4278" s="62"/>
      <c r="D4278" s="62"/>
    </row>
    <row r="4279" spans="3:4" x14ac:dyDescent="0.3">
      <c r="C4279" s="62"/>
      <c r="D4279" s="62"/>
    </row>
    <row r="4280" spans="3:4" x14ac:dyDescent="0.3">
      <c r="C4280" s="62"/>
      <c r="D4280" s="62"/>
    </row>
    <row r="4281" spans="3:4" x14ac:dyDescent="0.3">
      <c r="C4281" s="62"/>
      <c r="D4281" s="62"/>
    </row>
    <row r="4282" spans="3:4" x14ac:dyDescent="0.3">
      <c r="C4282" s="62"/>
      <c r="D4282" s="62"/>
    </row>
    <row r="4283" spans="3:4" x14ac:dyDescent="0.3">
      <c r="C4283" s="62"/>
      <c r="D4283" s="62"/>
    </row>
    <row r="4284" spans="3:4" x14ac:dyDescent="0.3">
      <c r="C4284" s="62"/>
      <c r="D4284" s="62"/>
    </row>
    <row r="4285" spans="3:4" x14ac:dyDescent="0.3">
      <c r="C4285" s="62"/>
      <c r="D4285" s="62"/>
    </row>
    <row r="4286" spans="3:4" x14ac:dyDescent="0.3">
      <c r="C4286" s="62"/>
      <c r="D4286" s="62"/>
    </row>
    <row r="4287" spans="3:4" x14ac:dyDescent="0.3">
      <c r="C4287" s="62"/>
      <c r="D4287" s="62"/>
    </row>
    <row r="4288" spans="3:4" x14ac:dyDescent="0.3">
      <c r="C4288" s="62"/>
      <c r="D4288" s="62"/>
    </row>
    <row r="4289" spans="3:4" x14ac:dyDescent="0.3">
      <c r="C4289" s="62"/>
      <c r="D4289" s="62"/>
    </row>
    <row r="4290" spans="3:4" x14ac:dyDescent="0.3">
      <c r="C4290" s="62"/>
      <c r="D4290" s="62"/>
    </row>
    <row r="4291" spans="3:4" x14ac:dyDescent="0.3">
      <c r="C4291" s="62"/>
      <c r="D4291" s="62"/>
    </row>
    <row r="4292" spans="3:4" x14ac:dyDescent="0.3">
      <c r="C4292" s="62"/>
      <c r="D4292" s="62"/>
    </row>
    <row r="4293" spans="3:4" x14ac:dyDescent="0.3">
      <c r="C4293" s="62"/>
      <c r="D4293" s="62"/>
    </row>
    <row r="4294" spans="3:4" x14ac:dyDescent="0.3">
      <c r="C4294" s="62"/>
      <c r="D4294" s="62"/>
    </row>
    <row r="4295" spans="3:4" x14ac:dyDescent="0.3">
      <c r="C4295" s="62"/>
      <c r="D4295" s="62"/>
    </row>
    <row r="4296" spans="3:4" x14ac:dyDescent="0.3">
      <c r="C4296" s="62"/>
      <c r="D4296" s="62"/>
    </row>
    <row r="4297" spans="3:4" x14ac:dyDescent="0.3">
      <c r="C4297" s="62"/>
      <c r="D4297" s="62"/>
    </row>
    <row r="4298" spans="3:4" x14ac:dyDescent="0.3">
      <c r="C4298" s="62"/>
      <c r="D4298" s="62"/>
    </row>
    <row r="4299" spans="3:4" x14ac:dyDescent="0.3">
      <c r="C4299" s="62"/>
      <c r="D4299" s="62"/>
    </row>
    <row r="4300" spans="3:4" x14ac:dyDescent="0.3">
      <c r="C4300" s="62"/>
      <c r="D4300" s="62"/>
    </row>
    <row r="4301" spans="3:4" x14ac:dyDescent="0.3">
      <c r="C4301" s="62"/>
      <c r="D4301" s="62"/>
    </row>
    <row r="4302" spans="3:4" x14ac:dyDescent="0.3">
      <c r="C4302" s="62"/>
      <c r="D4302" s="62"/>
    </row>
    <row r="4303" spans="3:4" x14ac:dyDescent="0.3">
      <c r="C4303" s="62"/>
      <c r="D4303" s="62"/>
    </row>
    <row r="4304" spans="3:4" x14ac:dyDescent="0.3">
      <c r="C4304" s="62"/>
      <c r="D4304" s="62"/>
    </row>
    <row r="4305" spans="3:4" x14ac:dyDescent="0.3">
      <c r="C4305" s="62"/>
      <c r="D4305" s="62"/>
    </row>
    <row r="4306" spans="3:4" x14ac:dyDescent="0.3">
      <c r="C4306" s="62"/>
      <c r="D4306" s="62"/>
    </row>
    <row r="4307" spans="3:4" x14ac:dyDescent="0.3">
      <c r="C4307" s="62"/>
      <c r="D4307" s="62"/>
    </row>
    <row r="4308" spans="3:4" x14ac:dyDescent="0.3">
      <c r="C4308" s="62"/>
      <c r="D4308" s="62"/>
    </row>
    <row r="4309" spans="3:4" x14ac:dyDescent="0.3">
      <c r="C4309" s="62"/>
      <c r="D4309" s="62"/>
    </row>
    <row r="4310" spans="3:4" x14ac:dyDescent="0.3">
      <c r="C4310" s="62"/>
      <c r="D4310" s="62"/>
    </row>
    <row r="4311" spans="3:4" x14ac:dyDescent="0.3">
      <c r="C4311" s="62"/>
      <c r="D4311" s="62"/>
    </row>
    <row r="4312" spans="3:4" x14ac:dyDescent="0.3">
      <c r="C4312" s="62"/>
      <c r="D4312" s="62"/>
    </row>
    <row r="4313" spans="3:4" x14ac:dyDescent="0.3">
      <c r="C4313" s="62"/>
      <c r="D4313" s="62"/>
    </row>
    <row r="4314" spans="3:4" x14ac:dyDescent="0.3">
      <c r="C4314" s="62"/>
      <c r="D4314" s="62"/>
    </row>
    <row r="4315" spans="3:4" x14ac:dyDescent="0.3">
      <c r="C4315" s="62"/>
      <c r="D4315" s="62"/>
    </row>
    <row r="4316" spans="3:4" x14ac:dyDescent="0.3">
      <c r="C4316" s="62"/>
      <c r="D4316" s="62"/>
    </row>
    <row r="4317" spans="3:4" x14ac:dyDescent="0.3">
      <c r="C4317" s="62"/>
      <c r="D4317" s="62"/>
    </row>
    <row r="4318" spans="3:4" x14ac:dyDescent="0.3">
      <c r="C4318" s="62"/>
      <c r="D4318" s="62"/>
    </row>
    <row r="4319" spans="3:4" x14ac:dyDescent="0.3">
      <c r="C4319" s="62"/>
      <c r="D4319" s="62"/>
    </row>
    <row r="4320" spans="3:4" x14ac:dyDescent="0.3">
      <c r="C4320" s="62"/>
      <c r="D4320" s="62"/>
    </row>
    <row r="4321" spans="3:4" x14ac:dyDescent="0.3">
      <c r="C4321" s="62"/>
      <c r="D4321" s="62"/>
    </row>
    <row r="4322" spans="3:4" x14ac:dyDescent="0.3">
      <c r="C4322" s="62"/>
      <c r="D4322" s="62"/>
    </row>
    <row r="4323" spans="3:4" x14ac:dyDescent="0.3">
      <c r="C4323" s="62"/>
      <c r="D4323" s="62"/>
    </row>
    <row r="4324" spans="3:4" x14ac:dyDescent="0.3">
      <c r="C4324" s="62"/>
      <c r="D4324" s="62"/>
    </row>
    <row r="4325" spans="3:4" x14ac:dyDescent="0.3">
      <c r="C4325" s="62"/>
      <c r="D4325" s="62"/>
    </row>
    <row r="4326" spans="3:4" x14ac:dyDescent="0.3">
      <c r="C4326" s="62"/>
      <c r="D4326" s="62"/>
    </row>
    <row r="4327" spans="3:4" x14ac:dyDescent="0.3">
      <c r="C4327" s="62"/>
      <c r="D4327" s="62"/>
    </row>
    <row r="4328" spans="3:4" x14ac:dyDescent="0.3">
      <c r="C4328" s="62"/>
      <c r="D4328" s="62"/>
    </row>
    <row r="4329" spans="3:4" x14ac:dyDescent="0.3">
      <c r="C4329" s="62"/>
      <c r="D4329" s="62"/>
    </row>
    <row r="4330" spans="3:4" x14ac:dyDescent="0.3">
      <c r="C4330" s="62"/>
      <c r="D4330" s="62"/>
    </row>
    <row r="4331" spans="3:4" x14ac:dyDescent="0.3">
      <c r="C4331" s="62"/>
      <c r="D4331" s="62"/>
    </row>
    <row r="4332" spans="3:4" x14ac:dyDescent="0.3">
      <c r="C4332" s="62"/>
      <c r="D4332" s="62"/>
    </row>
    <row r="4333" spans="3:4" x14ac:dyDescent="0.3">
      <c r="C4333" s="62"/>
      <c r="D4333" s="62"/>
    </row>
    <row r="4334" spans="3:4" x14ac:dyDescent="0.3">
      <c r="C4334" s="62"/>
      <c r="D4334" s="62"/>
    </row>
    <row r="4335" spans="3:4" x14ac:dyDescent="0.3">
      <c r="C4335" s="62"/>
      <c r="D4335" s="62"/>
    </row>
    <row r="4336" spans="3:4" x14ac:dyDescent="0.3">
      <c r="C4336" s="62"/>
      <c r="D4336" s="62"/>
    </row>
    <row r="4337" spans="3:4" x14ac:dyDescent="0.3">
      <c r="C4337" s="62"/>
      <c r="D4337" s="62"/>
    </row>
    <row r="4338" spans="3:4" x14ac:dyDescent="0.3">
      <c r="C4338" s="62"/>
      <c r="D4338" s="62"/>
    </row>
    <row r="4339" spans="3:4" x14ac:dyDescent="0.3">
      <c r="C4339" s="62"/>
      <c r="D4339" s="62"/>
    </row>
    <row r="4340" spans="3:4" x14ac:dyDescent="0.3">
      <c r="C4340" s="62"/>
      <c r="D4340" s="62"/>
    </row>
    <row r="4341" spans="3:4" x14ac:dyDescent="0.3">
      <c r="C4341" s="62"/>
      <c r="D4341" s="62"/>
    </row>
    <row r="4342" spans="3:4" x14ac:dyDescent="0.3">
      <c r="C4342" s="62"/>
      <c r="D4342" s="62"/>
    </row>
    <row r="4343" spans="3:4" x14ac:dyDescent="0.3">
      <c r="C4343" s="62"/>
      <c r="D4343" s="62"/>
    </row>
    <row r="4344" spans="3:4" x14ac:dyDescent="0.3">
      <c r="C4344" s="62"/>
      <c r="D4344" s="62"/>
    </row>
    <row r="4345" spans="3:4" x14ac:dyDescent="0.3">
      <c r="C4345" s="62"/>
      <c r="D4345" s="62"/>
    </row>
    <row r="4346" spans="3:4" x14ac:dyDescent="0.3">
      <c r="C4346" s="62"/>
      <c r="D4346" s="62"/>
    </row>
    <row r="4347" spans="3:4" x14ac:dyDescent="0.3">
      <c r="C4347" s="62"/>
      <c r="D4347" s="62"/>
    </row>
    <row r="4348" spans="3:4" x14ac:dyDescent="0.3">
      <c r="C4348" s="62"/>
      <c r="D4348" s="62"/>
    </row>
    <row r="4349" spans="3:4" x14ac:dyDescent="0.3">
      <c r="C4349" s="62"/>
      <c r="D4349" s="62"/>
    </row>
    <row r="4350" spans="3:4" x14ac:dyDescent="0.3">
      <c r="C4350" s="62"/>
      <c r="D4350" s="62"/>
    </row>
    <row r="4351" spans="3:4" x14ac:dyDescent="0.3">
      <c r="C4351" s="62"/>
      <c r="D4351" s="62"/>
    </row>
    <row r="4352" spans="3:4" x14ac:dyDescent="0.3">
      <c r="C4352" s="62"/>
      <c r="D4352" s="62"/>
    </row>
    <row r="4353" spans="3:4" x14ac:dyDescent="0.3">
      <c r="C4353" s="62"/>
      <c r="D4353" s="62"/>
    </row>
    <row r="4354" spans="3:4" x14ac:dyDescent="0.3">
      <c r="C4354" s="62"/>
      <c r="D4354" s="62"/>
    </row>
    <row r="4355" spans="3:4" x14ac:dyDescent="0.3">
      <c r="C4355" s="62"/>
      <c r="D4355" s="62"/>
    </row>
    <row r="4356" spans="3:4" x14ac:dyDescent="0.3">
      <c r="C4356" s="62"/>
      <c r="D4356" s="62"/>
    </row>
    <row r="4357" spans="3:4" x14ac:dyDescent="0.3">
      <c r="C4357" s="62"/>
      <c r="D4357" s="62"/>
    </row>
    <row r="4358" spans="3:4" x14ac:dyDescent="0.3">
      <c r="C4358" s="62"/>
      <c r="D4358" s="62"/>
    </row>
    <row r="4359" spans="3:4" x14ac:dyDescent="0.3">
      <c r="C4359" s="62"/>
      <c r="D4359" s="62"/>
    </row>
    <row r="4360" spans="3:4" x14ac:dyDescent="0.3">
      <c r="C4360" s="62"/>
      <c r="D4360" s="62"/>
    </row>
    <row r="4361" spans="3:4" x14ac:dyDescent="0.3">
      <c r="C4361" s="62"/>
      <c r="D4361" s="62"/>
    </row>
    <row r="4362" spans="3:4" x14ac:dyDescent="0.3">
      <c r="C4362" s="62"/>
      <c r="D4362" s="62"/>
    </row>
    <row r="4363" spans="3:4" x14ac:dyDescent="0.3">
      <c r="C4363" s="62"/>
      <c r="D4363" s="62"/>
    </row>
    <row r="4364" spans="3:4" x14ac:dyDescent="0.3">
      <c r="C4364" s="62"/>
      <c r="D4364" s="62"/>
    </row>
    <row r="4365" spans="3:4" x14ac:dyDescent="0.3">
      <c r="C4365" s="62"/>
      <c r="D4365" s="62"/>
    </row>
    <row r="4366" spans="3:4" x14ac:dyDescent="0.3">
      <c r="C4366" s="62"/>
      <c r="D4366" s="62"/>
    </row>
    <row r="4367" spans="3:4" x14ac:dyDescent="0.3">
      <c r="C4367" s="62"/>
      <c r="D4367" s="62"/>
    </row>
    <row r="4368" spans="3:4" x14ac:dyDescent="0.3">
      <c r="C4368" s="62"/>
      <c r="D4368" s="62"/>
    </row>
    <row r="4369" spans="3:4" x14ac:dyDescent="0.3">
      <c r="C4369" s="62"/>
      <c r="D4369" s="62"/>
    </row>
    <row r="4370" spans="3:4" x14ac:dyDescent="0.3">
      <c r="C4370" s="62"/>
      <c r="D4370" s="62"/>
    </row>
    <row r="4371" spans="3:4" x14ac:dyDescent="0.3">
      <c r="C4371" s="62"/>
      <c r="D4371" s="62"/>
    </row>
    <row r="4372" spans="3:4" x14ac:dyDescent="0.3">
      <c r="C4372" s="62"/>
      <c r="D4372" s="62"/>
    </row>
    <row r="4373" spans="3:4" x14ac:dyDescent="0.3">
      <c r="C4373" s="62"/>
      <c r="D4373" s="62"/>
    </row>
    <row r="4374" spans="3:4" x14ac:dyDescent="0.3">
      <c r="C4374" s="62"/>
      <c r="D4374" s="62"/>
    </row>
    <row r="4375" spans="3:4" x14ac:dyDescent="0.3">
      <c r="C4375" s="62"/>
      <c r="D4375" s="62"/>
    </row>
    <row r="4376" spans="3:4" x14ac:dyDescent="0.3">
      <c r="C4376" s="62"/>
      <c r="D4376" s="62"/>
    </row>
    <row r="4377" spans="3:4" x14ac:dyDescent="0.3">
      <c r="C4377" s="62"/>
      <c r="D4377" s="62"/>
    </row>
    <row r="4378" spans="3:4" x14ac:dyDescent="0.3">
      <c r="C4378" s="62"/>
      <c r="D4378" s="62"/>
    </row>
    <row r="4379" spans="3:4" x14ac:dyDescent="0.3">
      <c r="C4379" s="62"/>
      <c r="D4379" s="62"/>
    </row>
    <row r="4380" spans="3:4" x14ac:dyDescent="0.3">
      <c r="C4380" s="62"/>
      <c r="D4380" s="62"/>
    </row>
    <row r="4381" spans="3:4" x14ac:dyDescent="0.3">
      <c r="C4381" s="62"/>
      <c r="D4381" s="62"/>
    </row>
    <row r="4382" spans="3:4" x14ac:dyDescent="0.3">
      <c r="C4382" s="62"/>
      <c r="D4382" s="62"/>
    </row>
    <row r="4383" spans="3:4" x14ac:dyDescent="0.3">
      <c r="C4383" s="62"/>
      <c r="D4383" s="62"/>
    </row>
    <row r="4384" spans="3:4" x14ac:dyDescent="0.3">
      <c r="C4384" s="62"/>
      <c r="D4384" s="62"/>
    </row>
    <row r="4385" spans="3:4" x14ac:dyDescent="0.3">
      <c r="C4385" s="62"/>
      <c r="D4385" s="62"/>
    </row>
    <row r="4386" spans="3:4" x14ac:dyDescent="0.3">
      <c r="C4386" s="62"/>
      <c r="D4386" s="62"/>
    </row>
    <row r="4387" spans="3:4" x14ac:dyDescent="0.3">
      <c r="C4387" s="62"/>
      <c r="D4387" s="62"/>
    </row>
    <row r="4388" spans="3:4" x14ac:dyDescent="0.3">
      <c r="C4388" s="62"/>
      <c r="D4388" s="62"/>
    </row>
    <row r="4389" spans="3:4" x14ac:dyDescent="0.3">
      <c r="C4389" s="62"/>
      <c r="D4389" s="62"/>
    </row>
    <row r="4390" spans="3:4" x14ac:dyDescent="0.3">
      <c r="C4390" s="62"/>
      <c r="D4390" s="62"/>
    </row>
    <row r="4391" spans="3:4" x14ac:dyDescent="0.3">
      <c r="C4391" s="62"/>
      <c r="D4391" s="62"/>
    </row>
    <row r="4392" spans="3:4" x14ac:dyDescent="0.3">
      <c r="C4392" s="62"/>
      <c r="D4392" s="62"/>
    </row>
    <row r="4393" spans="3:4" x14ac:dyDescent="0.3">
      <c r="C4393" s="62"/>
      <c r="D4393" s="62"/>
    </row>
    <row r="4394" spans="3:4" x14ac:dyDescent="0.3">
      <c r="C4394" s="62"/>
      <c r="D4394" s="62"/>
    </row>
    <row r="4395" spans="3:4" x14ac:dyDescent="0.3">
      <c r="C4395" s="62"/>
      <c r="D4395" s="62"/>
    </row>
    <row r="4396" spans="3:4" x14ac:dyDescent="0.3">
      <c r="C4396" s="62"/>
      <c r="D4396" s="62"/>
    </row>
    <row r="4397" spans="3:4" x14ac:dyDescent="0.3">
      <c r="C4397" s="62"/>
      <c r="D4397" s="62"/>
    </row>
    <row r="4398" spans="3:4" x14ac:dyDescent="0.3">
      <c r="C4398" s="62"/>
      <c r="D4398" s="62"/>
    </row>
    <row r="4399" spans="3:4" x14ac:dyDescent="0.3">
      <c r="C4399" s="62"/>
      <c r="D4399" s="62"/>
    </row>
    <row r="4400" spans="3:4" x14ac:dyDescent="0.3">
      <c r="C4400" s="62"/>
      <c r="D4400" s="62"/>
    </row>
    <row r="4401" spans="3:4" x14ac:dyDescent="0.3">
      <c r="C4401" s="62"/>
      <c r="D4401" s="62"/>
    </row>
    <row r="4402" spans="3:4" x14ac:dyDescent="0.3">
      <c r="C4402" s="62"/>
      <c r="D4402" s="62"/>
    </row>
    <row r="4403" spans="3:4" x14ac:dyDescent="0.3">
      <c r="C4403" s="62"/>
      <c r="D4403" s="62"/>
    </row>
    <row r="4404" spans="3:4" x14ac:dyDescent="0.3">
      <c r="C4404" s="62"/>
      <c r="D4404" s="62"/>
    </row>
    <row r="4405" spans="3:4" x14ac:dyDescent="0.3">
      <c r="C4405" s="62"/>
      <c r="D4405" s="62"/>
    </row>
    <row r="4406" spans="3:4" x14ac:dyDescent="0.3">
      <c r="C4406" s="62"/>
      <c r="D4406" s="62"/>
    </row>
    <row r="4407" spans="3:4" x14ac:dyDescent="0.3">
      <c r="C4407" s="62"/>
      <c r="D4407" s="62"/>
    </row>
    <row r="4408" spans="3:4" x14ac:dyDescent="0.3">
      <c r="C4408" s="62"/>
      <c r="D4408" s="62"/>
    </row>
    <row r="4409" spans="3:4" x14ac:dyDescent="0.3">
      <c r="C4409" s="62"/>
      <c r="D4409" s="62"/>
    </row>
    <row r="4410" spans="3:4" x14ac:dyDescent="0.3">
      <c r="C4410" s="62"/>
      <c r="D4410" s="62"/>
    </row>
    <row r="4411" spans="3:4" x14ac:dyDescent="0.3">
      <c r="C4411" s="62"/>
      <c r="D4411" s="62"/>
    </row>
    <row r="4412" spans="3:4" x14ac:dyDescent="0.3">
      <c r="C4412" s="62"/>
      <c r="D4412" s="62"/>
    </row>
    <row r="4413" spans="3:4" x14ac:dyDescent="0.3">
      <c r="C4413" s="62"/>
      <c r="D4413" s="62"/>
    </row>
    <row r="4414" spans="3:4" x14ac:dyDescent="0.3">
      <c r="C4414" s="62"/>
      <c r="D4414" s="62"/>
    </row>
    <row r="4415" spans="3:4" x14ac:dyDescent="0.3">
      <c r="C4415" s="62"/>
      <c r="D4415" s="62"/>
    </row>
    <row r="4416" spans="3:4" x14ac:dyDescent="0.3">
      <c r="C4416" s="62"/>
      <c r="D4416" s="62"/>
    </row>
    <row r="4417" spans="3:4" x14ac:dyDescent="0.3">
      <c r="C4417" s="62"/>
      <c r="D4417" s="62"/>
    </row>
    <row r="4418" spans="3:4" x14ac:dyDescent="0.3">
      <c r="C4418" s="62"/>
      <c r="D4418" s="62"/>
    </row>
    <row r="4419" spans="3:4" x14ac:dyDescent="0.3">
      <c r="C4419" s="62"/>
      <c r="D4419" s="62"/>
    </row>
    <row r="4420" spans="3:4" x14ac:dyDescent="0.3">
      <c r="C4420" s="62"/>
      <c r="D4420" s="62"/>
    </row>
    <row r="4421" spans="3:4" x14ac:dyDescent="0.3">
      <c r="C4421" s="62"/>
      <c r="D4421" s="62"/>
    </row>
    <row r="4422" spans="3:4" x14ac:dyDescent="0.3">
      <c r="C4422" s="62"/>
      <c r="D4422" s="62"/>
    </row>
    <row r="4423" spans="3:4" x14ac:dyDescent="0.3">
      <c r="C4423" s="62"/>
      <c r="D4423" s="62"/>
    </row>
    <row r="4424" spans="3:4" x14ac:dyDescent="0.3">
      <c r="C4424" s="62"/>
      <c r="D4424" s="62"/>
    </row>
    <row r="4425" spans="3:4" x14ac:dyDescent="0.3">
      <c r="C4425" s="62"/>
      <c r="D4425" s="62"/>
    </row>
    <row r="4426" spans="3:4" x14ac:dyDescent="0.3">
      <c r="C4426" s="62"/>
      <c r="D4426" s="62"/>
    </row>
    <row r="4427" spans="3:4" x14ac:dyDescent="0.3">
      <c r="C4427" s="62"/>
      <c r="D4427" s="62"/>
    </row>
    <row r="4428" spans="3:4" x14ac:dyDescent="0.3">
      <c r="C4428" s="62"/>
      <c r="D4428" s="62"/>
    </row>
    <row r="4429" spans="3:4" x14ac:dyDescent="0.3">
      <c r="C4429" s="62"/>
      <c r="D4429" s="62"/>
    </row>
    <row r="4430" spans="3:4" x14ac:dyDescent="0.3">
      <c r="C4430" s="62"/>
      <c r="D4430" s="62"/>
    </row>
    <row r="4431" spans="3:4" x14ac:dyDescent="0.3">
      <c r="C4431" s="62"/>
      <c r="D4431" s="62"/>
    </row>
    <row r="4432" spans="3:4" x14ac:dyDescent="0.3">
      <c r="C4432" s="62"/>
      <c r="D4432" s="62"/>
    </row>
    <row r="4433" spans="3:4" x14ac:dyDescent="0.3">
      <c r="C4433" s="62"/>
      <c r="D4433" s="62"/>
    </row>
    <row r="4434" spans="3:4" x14ac:dyDescent="0.3">
      <c r="C4434" s="62"/>
      <c r="D4434" s="62"/>
    </row>
    <row r="4435" spans="3:4" x14ac:dyDescent="0.3">
      <c r="C4435" s="62"/>
      <c r="D4435" s="62"/>
    </row>
    <row r="4436" spans="3:4" x14ac:dyDescent="0.3">
      <c r="C4436" s="62"/>
      <c r="D4436" s="62"/>
    </row>
    <row r="4437" spans="3:4" x14ac:dyDescent="0.3">
      <c r="C4437" s="62"/>
      <c r="D4437" s="62"/>
    </row>
    <row r="4438" spans="3:4" x14ac:dyDescent="0.3">
      <c r="C4438" s="62"/>
      <c r="D4438" s="62"/>
    </row>
    <row r="4439" spans="3:4" x14ac:dyDescent="0.3">
      <c r="C4439" s="62"/>
      <c r="D4439" s="62"/>
    </row>
    <row r="4440" spans="3:4" x14ac:dyDescent="0.3">
      <c r="C4440" s="62"/>
      <c r="D4440" s="62"/>
    </row>
    <row r="4441" spans="3:4" x14ac:dyDescent="0.3">
      <c r="C4441" s="62"/>
      <c r="D4441" s="62"/>
    </row>
    <row r="4442" spans="3:4" x14ac:dyDescent="0.3">
      <c r="C4442" s="62"/>
      <c r="D4442" s="62"/>
    </row>
    <row r="4443" spans="3:4" x14ac:dyDescent="0.3">
      <c r="C4443" s="62"/>
      <c r="D4443" s="62"/>
    </row>
    <row r="4444" spans="3:4" x14ac:dyDescent="0.3">
      <c r="C4444" s="62"/>
      <c r="D4444" s="62"/>
    </row>
    <row r="4445" spans="3:4" x14ac:dyDescent="0.3">
      <c r="C4445" s="62"/>
      <c r="D4445" s="62"/>
    </row>
    <row r="4446" spans="3:4" x14ac:dyDescent="0.3">
      <c r="C4446" s="62"/>
      <c r="D4446" s="62"/>
    </row>
    <row r="4447" spans="3:4" x14ac:dyDescent="0.3">
      <c r="C4447" s="62"/>
      <c r="D4447" s="62"/>
    </row>
    <row r="4448" spans="3:4" x14ac:dyDescent="0.3">
      <c r="C4448" s="62"/>
      <c r="D4448" s="62"/>
    </row>
    <row r="4449" spans="3:4" x14ac:dyDescent="0.3">
      <c r="C4449" s="62"/>
      <c r="D4449" s="62"/>
    </row>
    <row r="4450" spans="3:4" x14ac:dyDescent="0.3">
      <c r="C4450" s="62"/>
      <c r="D4450" s="62"/>
    </row>
    <row r="4451" spans="3:4" x14ac:dyDescent="0.3">
      <c r="C4451" s="62"/>
      <c r="D4451" s="62"/>
    </row>
    <row r="4452" spans="3:4" x14ac:dyDescent="0.3">
      <c r="C4452" s="62"/>
      <c r="D4452" s="62"/>
    </row>
    <row r="4453" spans="3:4" x14ac:dyDescent="0.3">
      <c r="C4453" s="62"/>
      <c r="D4453" s="62"/>
    </row>
    <row r="4454" spans="3:4" x14ac:dyDescent="0.3">
      <c r="C4454" s="62"/>
      <c r="D4454" s="62"/>
    </row>
    <row r="4455" spans="3:4" x14ac:dyDescent="0.3">
      <c r="C4455" s="62"/>
      <c r="D4455" s="62"/>
    </row>
    <row r="4456" spans="3:4" x14ac:dyDescent="0.3">
      <c r="C4456" s="62"/>
      <c r="D4456" s="62"/>
    </row>
    <row r="4457" spans="3:4" x14ac:dyDescent="0.3">
      <c r="C4457" s="62"/>
      <c r="D4457" s="62"/>
    </row>
    <row r="4458" spans="3:4" x14ac:dyDescent="0.3">
      <c r="C4458" s="62"/>
      <c r="D4458" s="62"/>
    </row>
    <row r="4459" spans="3:4" x14ac:dyDescent="0.3">
      <c r="C4459" s="62"/>
      <c r="D4459" s="62"/>
    </row>
    <row r="4460" spans="3:4" x14ac:dyDescent="0.3">
      <c r="C4460" s="62"/>
      <c r="D4460" s="62"/>
    </row>
    <row r="4461" spans="3:4" x14ac:dyDescent="0.3">
      <c r="C4461" s="62"/>
      <c r="D4461" s="62"/>
    </row>
    <row r="4462" spans="3:4" x14ac:dyDescent="0.3">
      <c r="C4462" s="62"/>
      <c r="D4462" s="62"/>
    </row>
    <row r="4463" spans="3:4" x14ac:dyDescent="0.3">
      <c r="C4463" s="62"/>
      <c r="D4463" s="62"/>
    </row>
    <row r="4464" spans="3:4" x14ac:dyDescent="0.3">
      <c r="C4464" s="62"/>
      <c r="D4464" s="62"/>
    </row>
    <row r="4465" spans="3:4" x14ac:dyDescent="0.3">
      <c r="C4465" s="62"/>
      <c r="D4465" s="62"/>
    </row>
    <row r="4466" spans="3:4" x14ac:dyDescent="0.3">
      <c r="C4466" s="62"/>
      <c r="D4466" s="62"/>
    </row>
    <row r="4467" spans="3:4" x14ac:dyDescent="0.3">
      <c r="C4467" s="62"/>
      <c r="D4467" s="62"/>
    </row>
    <row r="4468" spans="3:4" x14ac:dyDescent="0.3">
      <c r="C4468" s="62"/>
      <c r="D4468" s="62"/>
    </row>
    <row r="4469" spans="3:4" x14ac:dyDescent="0.3">
      <c r="C4469" s="62"/>
      <c r="D4469" s="62"/>
    </row>
    <row r="4470" spans="3:4" x14ac:dyDescent="0.3">
      <c r="C4470" s="62"/>
      <c r="D4470" s="62"/>
    </row>
    <row r="4471" spans="3:4" x14ac:dyDescent="0.3">
      <c r="C4471" s="62"/>
      <c r="D4471" s="62"/>
    </row>
    <row r="4472" spans="3:4" x14ac:dyDescent="0.3">
      <c r="C4472" s="62"/>
      <c r="D4472" s="62"/>
    </row>
    <row r="4473" spans="3:4" x14ac:dyDescent="0.3">
      <c r="C4473" s="62"/>
      <c r="D4473" s="62"/>
    </row>
    <row r="4474" spans="3:4" x14ac:dyDescent="0.3">
      <c r="C4474" s="62"/>
      <c r="D4474" s="62"/>
    </row>
    <row r="4475" spans="3:4" x14ac:dyDescent="0.3">
      <c r="C4475" s="62"/>
      <c r="D4475" s="62"/>
    </row>
    <row r="4476" spans="3:4" x14ac:dyDescent="0.3">
      <c r="C4476" s="62"/>
      <c r="D4476" s="62"/>
    </row>
    <row r="4477" spans="3:4" x14ac:dyDescent="0.3">
      <c r="C4477" s="62"/>
      <c r="D4477" s="62"/>
    </row>
    <row r="4478" spans="3:4" x14ac:dyDescent="0.3">
      <c r="C4478" s="62"/>
      <c r="D4478" s="62"/>
    </row>
    <row r="4479" spans="3:4" x14ac:dyDescent="0.3">
      <c r="C4479" s="62"/>
      <c r="D4479" s="62"/>
    </row>
    <row r="4480" spans="3:4" x14ac:dyDescent="0.3">
      <c r="C4480" s="62"/>
      <c r="D4480" s="62"/>
    </row>
    <row r="4481" spans="3:4" x14ac:dyDescent="0.3">
      <c r="C4481" s="62"/>
      <c r="D4481" s="62"/>
    </row>
    <row r="4482" spans="3:4" x14ac:dyDescent="0.3">
      <c r="C4482" s="62"/>
      <c r="D4482" s="62"/>
    </row>
    <row r="4483" spans="3:4" x14ac:dyDescent="0.3">
      <c r="C4483" s="62"/>
      <c r="D4483" s="62"/>
    </row>
    <row r="4484" spans="3:4" x14ac:dyDescent="0.3">
      <c r="C4484" s="62"/>
      <c r="D4484" s="62"/>
    </row>
    <row r="4485" spans="3:4" x14ac:dyDescent="0.3">
      <c r="C4485" s="62"/>
      <c r="D4485" s="62"/>
    </row>
    <row r="4486" spans="3:4" x14ac:dyDescent="0.3">
      <c r="C4486" s="62"/>
      <c r="D4486" s="62"/>
    </row>
    <row r="4487" spans="3:4" x14ac:dyDescent="0.3">
      <c r="C4487" s="62"/>
      <c r="D4487" s="62"/>
    </row>
    <row r="4488" spans="3:4" x14ac:dyDescent="0.3">
      <c r="C4488" s="62"/>
      <c r="D4488" s="62"/>
    </row>
    <row r="4489" spans="3:4" x14ac:dyDescent="0.3">
      <c r="C4489" s="62"/>
      <c r="D4489" s="62"/>
    </row>
    <row r="4490" spans="3:4" x14ac:dyDescent="0.3">
      <c r="C4490" s="62"/>
      <c r="D4490" s="62"/>
    </row>
    <row r="4491" spans="3:4" x14ac:dyDescent="0.3">
      <c r="C4491" s="62"/>
      <c r="D4491" s="62"/>
    </row>
    <row r="4492" spans="3:4" x14ac:dyDescent="0.3">
      <c r="C4492" s="62"/>
      <c r="D4492" s="62"/>
    </row>
    <row r="4493" spans="3:4" x14ac:dyDescent="0.3">
      <c r="C4493" s="62"/>
      <c r="D4493" s="62"/>
    </row>
    <row r="4494" spans="3:4" x14ac:dyDescent="0.3">
      <c r="C4494" s="62"/>
      <c r="D4494" s="62"/>
    </row>
    <row r="4495" spans="3:4" x14ac:dyDescent="0.3">
      <c r="C4495" s="62"/>
      <c r="D4495" s="62"/>
    </row>
    <row r="4496" spans="3:4" x14ac:dyDescent="0.3">
      <c r="C4496" s="62"/>
      <c r="D4496" s="62"/>
    </row>
    <row r="4497" spans="3:4" x14ac:dyDescent="0.3">
      <c r="C4497" s="62"/>
      <c r="D4497" s="62"/>
    </row>
    <row r="4498" spans="3:4" x14ac:dyDescent="0.3">
      <c r="C4498" s="62"/>
      <c r="D4498" s="62"/>
    </row>
    <row r="4499" spans="3:4" x14ac:dyDescent="0.3">
      <c r="C4499" s="62"/>
      <c r="D4499" s="62"/>
    </row>
    <row r="4500" spans="3:4" x14ac:dyDescent="0.3">
      <c r="C4500" s="62"/>
      <c r="D4500" s="62"/>
    </row>
    <row r="4501" spans="3:4" x14ac:dyDescent="0.3">
      <c r="C4501" s="62"/>
      <c r="D4501" s="62"/>
    </row>
    <row r="4502" spans="3:4" x14ac:dyDescent="0.3">
      <c r="C4502" s="62"/>
      <c r="D4502" s="62"/>
    </row>
    <row r="4503" spans="3:4" x14ac:dyDescent="0.3">
      <c r="C4503" s="62"/>
      <c r="D4503" s="62"/>
    </row>
    <row r="4504" spans="3:4" x14ac:dyDescent="0.3">
      <c r="C4504" s="62"/>
      <c r="D4504" s="62"/>
    </row>
    <row r="4505" spans="3:4" x14ac:dyDescent="0.3">
      <c r="C4505" s="62"/>
      <c r="D4505" s="62"/>
    </row>
    <row r="4506" spans="3:4" x14ac:dyDescent="0.3">
      <c r="C4506" s="62"/>
      <c r="D4506" s="62"/>
    </row>
    <row r="4507" spans="3:4" x14ac:dyDescent="0.3">
      <c r="C4507" s="62"/>
      <c r="D4507" s="62"/>
    </row>
    <row r="4508" spans="3:4" x14ac:dyDescent="0.3">
      <c r="C4508" s="62"/>
      <c r="D4508" s="62"/>
    </row>
    <row r="4509" spans="3:4" x14ac:dyDescent="0.3">
      <c r="C4509" s="62"/>
      <c r="D4509" s="62"/>
    </row>
    <row r="4510" spans="3:4" x14ac:dyDescent="0.3">
      <c r="C4510" s="62"/>
      <c r="D4510" s="62"/>
    </row>
    <row r="4511" spans="3:4" x14ac:dyDescent="0.3">
      <c r="C4511" s="62"/>
      <c r="D4511" s="62"/>
    </row>
    <row r="4512" spans="3:4" x14ac:dyDescent="0.3">
      <c r="C4512" s="62"/>
      <c r="D4512" s="62"/>
    </row>
    <row r="4513" spans="3:4" x14ac:dyDescent="0.3">
      <c r="C4513" s="62"/>
      <c r="D4513" s="62"/>
    </row>
    <row r="4514" spans="3:4" x14ac:dyDescent="0.3">
      <c r="C4514" s="62"/>
      <c r="D4514" s="62"/>
    </row>
    <row r="4515" spans="3:4" x14ac:dyDescent="0.3">
      <c r="C4515" s="62"/>
      <c r="D4515" s="62"/>
    </row>
    <row r="4516" spans="3:4" x14ac:dyDescent="0.3">
      <c r="C4516" s="62"/>
      <c r="D4516" s="62"/>
    </row>
    <row r="4517" spans="3:4" x14ac:dyDescent="0.3">
      <c r="C4517" s="62"/>
      <c r="D4517" s="62"/>
    </row>
    <row r="4518" spans="3:4" x14ac:dyDescent="0.3">
      <c r="C4518" s="62"/>
      <c r="D4518" s="62"/>
    </row>
    <row r="4519" spans="3:4" x14ac:dyDescent="0.3">
      <c r="C4519" s="62"/>
      <c r="D4519" s="62"/>
    </row>
    <row r="4520" spans="3:4" x14ac:dyDescent="0.3">
      <c r="C4520" s="62"/>
      <c r="D4520" s="62"/>
    </row>
    <row r="4521" spans="3:4" x14ac:dyDescent="0.3">
      <c r="C4521" s="62"/>
      <c r="D4521" s="62"/>
    </row>
    <row r="4522" spans="3:4" x14ac:dyDescent="0.3">
      <c r="C4522" s="62"/>
      <c r="D4522" s="62"/>
    </row>
    <row r="4523" spans="3:4" x14ac:dyDescent="0.3">
      <c r="C4523" s="62"/>
      <c r="D4523" s="62"/>
    </row>
    <row r="4524" spans="3:4" x14ac:dyDescent="0.3">
      <c r="C4524" s="62"/>
      <c r="D4524" s="62"/>
    </row>
    <row r="4525" spans="3:4" x14ac:dyDescent="0.3">
      <c r="C4525" s="62"/>
      <c r="D4525" s="62"/>
    </row>
    <row r="4526" spans="3:4" x14ac:dyDescent="0.3">
      <c r="C4526" s="62"/>
      <c r="D4526" s="62"/>
    </row>
    <row r="4527" spans="3:4" x14ac:dyDescent="0.3">
      <c r="C4527" s="62"/>
      <c r="D4527" s="62"/>
    </row>
    <row r="4528" spans="3:4" x14ac:dyDescent="0.3">
      <c r="C4528" s="62"/>
      <c r="D4528" s="62"/>
    </row>
    <row r="4529" spans="3:4" x14ac:dyDescent="0.3">
      <c r="C4529" s="62"/>
      <c r="D4529" s="62"/>
    </row>
    <row r="4530" spans="3:4" x14ac:dyDescent="0.3">
      <c r="C4530" s="62"/>
      <c r="D4530" s="62"/>
    </row>
    <row r="4531" spans="3:4" x14ac:dyDescent="0.3">
      <c r="C4531" s="62"/>
      <c r="D4531" s="62"/>
    </row>
    <row r="4532" spans="3:4" x14ac:dyDescent="0.3">
      <c r="C4532" s="62"/>
      <c r="D4532" s="62"/>
    </row>
    <row r="4533" spans="3:4" x14ac:dyDescent="0.3">
      <c r="C4533" s="62"/>
      <c r="D4533" s="62"/>
    </row>
    <row r="4534" spans="3:4" x14ac:dyDescent="0.3">
      <c r="C4534" s="62"/>
      <c r="D4534" s="62"/>
    </row>
    <row r="4535" spans="3:4" x14ac:dyDescent="0.3">
      <c r="C4535" s="62"/>
      <c r="D4535" s="62"/>
    </row>
    <row r="4536" spans="3:4" x14ac:dyDescent="0.3">
      <c r="C4536" s="62"/>
      <c r="D4536" s="62"/>
    </row>
    <row r="4537" spans="3:4" x14ac:dyDescent="0.3">
      <c r="C4537" s="62"/>
      <c r="D4537" s="62"/>
    </row>
    <row r="4538" spans="3:4" x14ac:dyDescent="0.3">
      <c r="C4538" s="62"/>
      <c r="D4538" s="62"/>
    </row>
    <row r="4539" spans="3:4" x14ac:dyDescent="0.3">
      <c r="C4539" s="62"/>
      <c r="D4539" s="62"/>
    </row>
    <row r="4540" spans="3:4" x14ac:dyDescent="0.3">
      <c r="C4540" s="62"/>
      <c r="D4540" s="62"/>
    </row>
    <row r="4541" spans="3:4" x14ac:dyDescent="0.3">
      <c r="C4541" s="62"/>
      <c r="D4541" s="62"/>
    </row>
    <row r="4542" spans="3:4" x14ac:dyDescent="0.3">
      <c r="C4542" s="62"/>
      <c r="D4542" s="62"/>
    </row>
    <row r="4543" spans="3:4" x14ac:dyDescent="0.3">
      <c r="C4543" s="62"/>
      <c r="D4543" s="62"/>
    </row>
    <row r="4544" spans="3:4" x14ac:dyDescent="0.3">
      <c r="C4544" s="62"/>
      <c r="D4544" s="62"/>
    </row>
    <row r="4545" spans="3:4" x14ac:dyDescent="0.3">
      <c r="C4545" s="62"/>
      <c r="D4545" s="62"/>
    </row>
    <row r="4546" spans="3:4" x14ac:dyDescent="0.3">
      <c r="C4546" s="62"/>
      <c r="D4546" s="62"/>
    </row>
    <row r="4547" spans="3:4" x14ac:dyDescent="0.3">
      <c r="C4547" s="62"/>
      <c r="D4547" s="62"/>
    </row>
    <row r="4548" spans="3:4" x14ac:dyDescent="0.3">
      <c r="C4548" s="62"/>
      <c r="D4548" s="62"/>
    </row>
    <row r="4549" spans="3:4" x14ac:dyDescent="0.3">
      <c r="C4549" s="62"/>
      <c r="D4549" s="62"/>
    </row>
    <row r="4550" spans="3:4" x14ac:dyDescent="0.3">
      <c r="C4550" s="62"/>
      <c r="D4550" s="62"/>
    </row>
    <row r="4551" spans="3:4" x14ac:dyDescent="0.3">
      <c r="C4551" s="62"/>
      <c r="D4551" s="62"/>
    </row>
    <row r="4552" spans="3:4" x14ac:dyDescent="0.3">
      <c r="C4552" s="62"/>
      <c r="D4552" s="62"/>
    </row>
    <row r="4553" spans="3:4" x14ac:dyDescent="0.3">
      <c r="C4553" s="62"/>
      <c r="D4553" s="62"/>
    </row>
    <row r="4554" spans="3:4" x14ac:dyDescent="0.3">
      <c r="C4554" s="62"/>
      <c r="D4554" s="62"/>
    </row>
    <row r="4555" spans="3:4" x14ac:dyDescent="0.3">
      <c r="C4555" s="62"/>
      <c r="D4555" s="62"/>
    </row>
    <row r="4556" spans="3:4" x14ac:dyDescent="0.3">
      <c r="C4556" s="62"/>
      <c r="D4556" s="62"/>
    </row>
    <row r="4557" spans="3:4" x14ac:dyDescent="0.3">
      <c r="C4557" s="62"/>
      <c r="D4557" s="62"/>
    </row>
    <row r="4558" spans="3:4" x14ac:dyDescent="0.3">
      <c r="C4558" s="62"/>
      <c r="D4558" s="62"/>
    </row>
    <row r="4559" spans="3:4" x14ac:dyDescent="0.3">
      <c r="C4559" s="62"/>
      <c r="D4559" s="62"/>
    </row>
    <row r="4560" spans="3:4" x14ac:dyDescent="0.3">
      <c r="C4560" s="62"/>
      <c r="D4560" s="62"/>
    </row>
    <row r="4561" spans="3:4" x14ac:dyDescent="0.3">
      <c r="C4561" s="62"/>
      <c r="D4561" s="62"/>
    </row>
    <row r="4562" spans="3:4" x14ac:dyDescent="0.3">
      <c r="C4562" s="62"/>
      <c r="D4562" s="62"/>
    </row>
    <row r="4563" spans="3:4" x14ac:dyDescent="0.3">
      <c r="C4563" s="62"/>
      <c r="D4563" s="62"/>
    </row>
    <row r="4564" spans="3:4" x14ac:dyDescent="0.3">
      <c r="C4564" s="62"/>
      <c r="D4564" s="62"/>
    </row>
    <row r="4565" spans="3:4" x14ac:dyDescent="0.3">
      <c r="C4565" s="62"/>
      <c r="D4565" s="62"/>
    </row>
    <row r="4566" spans="3:4" x14ac:dyDescent="0.3">
      <c r="C4566" s="62"/>
      <c r="D4566" s="62"/>
    </row>
    <row r="4567" spans="3:4" x14ac:dyDescent="0.3">
      <c r="C4567" s="62"/>
      <c r="D4567" s="62"/>
    </row>
    <row r="4568" spans="3:4" x14ac:dyDescent="0.3">
      <c r="C4568" s="62"/>
      <c r="D4568" s="62"/>
    </row>
    <row r="4569" spans="3:4" x14ac:dyDescent="0.3">
      <c r="C4569" s="62"/>
      <c r="D4569" s="62"/>
    </row>
    <row r="4570" spans="3:4" x14ac:dyDescent="0.3">
      <c r="C4570" s="62"/>
      <c r="D4570" s="62"/>
    </row>
    <row r="4571" spans="3:4" x14ac:dyDescent="0.3">
      <c r="C4571" s="62"/>
      <c r="D4571" s="62"/>
    </row>
    <row r="4572" spans="3:4" x14ac:dyDescent="0.3">
      <c r="C4572" s="62"/>
      <c r="D4572" s="62"/>
    </row>
    <row r="4573" spans="3:4" x14ac:dyDescent="0.3">
      <c r="C4573" s="62"/>
      <c r="D4573" s="62"/>
    </row>
    <row r="4574" spans="3:4" x14ac:dyDescent="0.3">
      <c r="C4574" s="62"/>
      <c r="D4574" s="62"/>
    </row>
    <row r="4575" spans="3:4" x14ac:dyDescent="0.3">
      <c r="C4575" s="62"/>
      <c r="D4575" s="62"/>
    </row>
    <row r="4576" spans="3:4" x14ac:dyDescent="0.3">
      <c r="C4576" s="62"/>
      <c r="D4576" s="62"/>
    </row>
    <row r="4577" spans="3:4" x14ac:dyDescent="0.3">
      <c r="C4577" s="62"/>
      <c r="D4577" s="62"/>
    </row>
    <row r="4578" spans="3:4" x14ac:dyDescent="0.3">
      <c r="C4578" s="62"/>
      <c r="D4578" s="62"/>
    </row>
    <row r="4579" spans="3:4" x14ac:dyDescent="0.3">
      <c r="C4579" s="62"/>
      <c r="D4579" s="62"/>
    </row>
    <row r="4580" spans="3:4" x14ac:dyDescent="0.3">
      <c r="C4580" s="62"/>
      <c r="D4580" s="62"/>
    </row>
    <row r="4581" spans="3:4" x14ac:dyDescent="0.3">
      <c r="C4581" s="62"/>
      <c r="D4581" s="62"/>
    </row>
    <row r="4582" spans="3:4" x14ac:dyDescent="0.3">
      <c r="C4582" s="62"/>
      <c r="D4582" s="62"/>
    </row>
    <row r="4583" spans="3:4" x14ac:dyDescent="0.3">
      <c r="C4583" s="62"/>
      <c r="D4583" s="62"/>
    </row>
    <row r="4584" spans="3:4" x14ac:dyDescent="0.3">
      <c r="C4584" s="62"/>
      <c r="D4584" s="62"/>
    </row>
    <row r="4585" spans="3:4" x14ac:dyDescent="0.3">
      <c r="C4585" s="62"/>
      <c r="D4585" s="62"/>
    </row>
    <row r="4586" spans="3:4" x14ac:dyDescent="0.3">
      <c r="C4586" s="62"/>
      <c r="D4586" s="62"/>
    </row>
    <row r="4587" spans="3:4" x14ac:dyDescent="0.3">
      <c r="C4587" s="62"/>
      <c r="D4587" s="62"/>
    </row>
    <row r="4588" spans="3:4" x14ac:dyDescent="0.3">
      <c r="C4588" s="62"/>
      <c r="D4588" s="62"/>
    </row>
    <row r="4589" spans="3:4" x14ac:dyDescent="0.3">
      <c r="C4589" s="62"/>
      <c r="D4589" s="62"/>
    </row>
    <row r="4590" spans="3:4" x14ac:dyDescent="0.3">
      <c r="C4590" s="62"/>
      <c r="D4590" s="62"/>
    </row>
    <row r="4591" spans="3:4" x14ac:dyDescent="0.3">
      <c r="C4591" s="62"/>
      <c r="D4591" s="62"/>
    </row>
    <row r="4592" spans="3:4" x14ac:dyDescent="0.3">
      <c r="C4592" s="62"/>
      <c r="D4592" s="62"/>
    </row>
    <row r="4593" spans="3:4" x14ac:dyDescent="0.3">
      <c r="C4593" s="62"/>
      <c r="D4593" s="62"/>
    </row>
    <row r="4594" spans="3:4" x14ac:dyDescent="0.3">
      <c r="C4594" s="62"/>
      <c r="D4594" s="62"/>
    </row>
    <row r="4595" spans="3:4" x14ac:dyDescent="0.3">
      <c r="C4595" s="62"/>
      <c r="D4595" s="62"/>
    </row>
    <row r="4596" spans="3:4" x14ac:dyDescent="0.3">
      <c r="C4596" s="62"/>
      <c r="D4596" s="62"/>
    </row>
    <row r="4597" spans="3:4" x14ac:dyDescent="0.3">
      <c r="C4597" s="62"/>
      <c r="D4597" s="62"/>
    </row>
    <row r="4598" spans="3:4" x14ac:dyDescent="0.3">
      <c r="C4598" s="62"/>
      <c r="D4598" s="62"/>
    </row>
    <row r="4599" spans="3:4" x14ac:dyDescent="0.3">
      <c r="C4599" s="62"/>
      <c r="D4599" s="62"/>
    </row>
    <row r="4600" spans="3:4" x14ac:dyDescent="0.3">
      <c r="C4600" s="62"/>
      <c r="D4600" s="62"/>
    </row>
    <row r="4601" spans="3:4" x14ac:dyDescent="0.3">
      <c r="C4601" s="62"/>
      <c r="D4601" s="62"/>
    </row>
    <row r="4602" spans="3:4" x14ac:dyDescent="0.3">
      <c r="C4602" s="62"/>
      <c r="D4602" s="62"/>
    </row>
    <row r="4603" spans="3:4" x14ac:dyDescent="0.3">
      <c r="C4603" s="62"/>
      <c r="D4603" s="62"/>
    </row>
    <row r="4604" spans="3:4" x14ac:dyDescent="0.3">
      <c r="C4604" s="62"/>
      <c r="D4604" s="62"/>
    </row>
    <row r="4605" spans="3:4" x14ac:dyDescent="0.3">
      <c r="C4605" s="62"/>
      <c r="D4605" s="62"/>
    </row>
    <row r="4606" spans="3:4" x14ac:dyDescent="0.3">
      <c r="C4606" s="62"/>
      <c r="D4606" s="62"/>
    </row>
    <row r="4607" spans="3:4" x14ac:dyDescent="0.3">
      <c r="C4607" s="62"/>
      <c r="D4607" s="62"/>
    </row>
    <row r="4608" spans="3:4" x14ac:dyDescent="0.3">
      <c r="C4608" s="62"/>
      <c r="D4608" s="62"/>
    </row>
    <row r="4609" spans="3:4" x14ac:dyDescent="0.3">
      <c r="C4609" s="62"/>
      <c r="D4609" s="62"/>
    </row>
    <row r="4610" spans="3:4" x14ac:dyDescent="0.3">
      <c r="C4610" s="62"/>
      <c r="D4610" s="62"/>
    </row>
    <row r="4611" spans="3:4" x14ac:dyDescent="0.3">
      <c r="C4611" s="62"/>
      <c r="D4611" s="62"/>
    </row>
    <row r="4612" spans="3:4" x14ac:dyDescent="0.3">
      <c r="C4612" s="62"/>
      <c r="D4612" s="62"/>
    </row>
    <row r="4613" spans="3:4" x14ac:dyDescent="0.3">
      <c r="C4613" s="62"/>
      <c r="D4613" s="62"/>
    </row>
    <row r="4614" spans="3:4" x14ac:dyDescent="0.3">
      <c r="C4614" s="62"/>
      <c r="D4614" s="62"/>
    </row>
    <row r="4615" spans="3:4" x14ac:dyDescent="0.3">
      <c r="C4615" s="62"/>
      <c r="D4615" s="62"/>
    </row>
    <row r="4616" spans="3:4" x14ac:dyDescent="0.3">
      <c r="C4616" s="62"/>
      <c r="D4616" s="62"/>
    </row>
    <row r="4617" spans="3:4" x14ac:dyDescent="0.3">
      <c r="C4617" s="62"/>
      <c r="D4617" s="62"/>
    </row>
    <row r="4618" spans="3:4" x14ac:dyDescent="0.3">
      <c r="C4618" s="62"/>
      <c r="D4618" s="62"/>
    </row>
    <row r="4619" spans="3:4" x14ac:dyDescent="0.3">
      <c r="C4619" s="62"/>
      <c r="D4619" s="62"/>
    </row>
    <row r="4620" spans="3:4" x14ac:dyDescent="0.3">
      <c r="C4620" s="62"/>
      <c r="D4620" s="62"/>
    </row>
    <row r="4621" spans="3:4" x14ac:dyDescent="0.3">
      <c r="C4621" s="62"/>
      <c r="D4621" s="62"/>
    </row>
    <row r="4622" spans="3:4" x14ac:dyDescent="0.3">
      <c r="C4622" s="62"/>
      <c r="D4622" s="62"/>
    </row>
    <row r="4623" spans="3:4" x14ac:dyDescent="0.3">
      <c r="C4623" s="62"/>
      <c r="D4623" s="62"/>
    </row>
    <row r="4624" spans="3:4" x14ac:dyDescent="0.3">
      <c r="C4624" s="62"/>
      <c r="D4624" s="62"/>
    </row>
    <row r="4625" spans="3:4" x14ac:dyDescent="0.3">
      <c r="C4625" s="62"/>
      <c r="D4625" s="62"/>
    </row>
    <row r="4626" spans="3:4" x14ac:dyDescent="0.3">
      <c r="C4626" s="62"/>
      <c r="D4626" s="62"/>
    </row>
    <row r="4627" spans="3:4" x14ac:dyDescent="0.3">
      <c r="C4627" s="62"/>
      <c r="D4627" s="62"/>
    </row>
    <row r="4628" spans="3:4" x14ac:dyDescent="0.3">
      <c r="C4628" s="62"/>
      <c r="D4628" s="62"/>
    </row>
    <row r="4629" spans="3:4" x14ac:dyDescent="0.3">
      <c r="C4629" s="62"/>
      <c r="D4629" s="62"/>
    </row>
    <row r="4630" spans="3:4" x14ac:dyDescent="0.3">
      <c r="C4630" s="62"/>
      <c r="D4630" s="62"/>
    </row>
    <row r="4631" spans="3:4" x14ac:dyDescent="0.3">
      <c r="C4631" s="62"/>
      <c r="D4631" s="62"/>
    </row>
    <row r="4632" spans="3:4" x14ac:dyDescent="0.3">
      <c r="C4632" s="62"/>
      <c r="D4632" s="62"/>
    </row>
    <row r="4633" spans="3:4" x14ac:dyDescent="0.3">
      <c r="C4633" s="62"/>
      <c r="D4633" s="62"/>
    </row>
    <row r="4634" spans="3:4" x14ac:dyDescent="0.3">
      <c r="C4634" s="62"/>
      <c r="D4634" s="62"/>
    </row>
    <row r="4635" spans="3:4" x14ac:dyDescent="0.3">
      <c r="C4635" s="62"/>
      <c r="D4635" s="62"/>
    </row>
    <row r="4636" spans="3:4" x14ac:dyDescent="0.3">
      <c r="C4636" s="62"/>
      <c r="D4636" s="62"/>
    </row>
    <row r="4637" spans="3:4" x14ac:dyDescent="0.3">
      <c r="C4637" s="62"/>
      <c r="D4637" s="62"/>
    </row>
    <row r="4638" spans="3:4" x14ac:dyDescent="0.3">
      <c r="C4638" s="62"/>
      <c r="D4638" s="62"/>
    </row>
    <row r="4639" spans="3:4" x14ac:dyDescent="0.3">
      <c r="C4639" s="62"/>
      <c r="D4639" s="62"/>
    </row>
    <row r="4640" spans="3:4" x14ac:dyDescent="0.3">
      <c r="C4640" s="62"/>
      <c r="D4640" s="62"/>
    </row>
    <row r="4641" spans="3:4" x14ac:dyDescent="0.3">
      <c r="C4641" s="62"/>
      <c r="D4641" s="62"/>
    </row>
    <row r="4642" spans="3:4" x14ac:dyDescent="0.3">
      <c r="C4642" s="62"/>
      <c r="D4642" s="62"/>
    </row>
    <row r="4643" spans="3:4" x14ac:dyDescent="0.3">
      <c r="C4643" s="62"/>
      <c r="D4643" s="62"/>
    </row>
    <row r="4644" spans="3:4" x14ac:dyDescent="0.3">
      <c r="C4644" s="62"/>
      <c r="D4644" s="62"/>
    </row>
    <row r="4645" spans="3:4" x14ac:dyDescent="0.3">
      <c r="C4645" s="62"/>
      <c r="D4645" s="62"/>
    </row>
    <row r="4646" spans="3:4" x14ac:dyDescent="0.3">
      <c r="C4646" s="62"/>
      <c r="D4646" s="62"/>
    </row>
    <row r="4647" spans="3:4" x14ac:dyDescent="0.3">
      <c r="C4647" s="62"/>
      <c r="D4647" s="62"/>
    </row>
    <row r="4648" spans="3:4" x14ac:dyDescent="0.3">
      <c r="C4648" s="62"/>
      <c r="D4648" s="62"/>
    </row>
    <row r="4649" spans="3:4" x14ac:dyDescent="0.3">
      <c r="C4649" s="62"/>
      <c r="D4649" s="62"/>
    </row>
    <row r="4650" spans="3:4" x14ac:dyDescent="0.3">
      <c r="C4650" s="62"/>
      <c r="D4650" s="62"/>
    </row>
    <row r="4651" spans="3:4" x14ac:dyDescent="0.3">
      <c r="C4651" s="62"/>
      <c r="D4651" s="62"/>
    </row>
    <row r="4652" spans="3:4" x14ac:dyDescent="0.3">
      <c r="C4652" s="62"/>
      <c r="D4652" s="62"/>
    </row>
    <row r="4653" spans="3:4" x14ac:dyDescent="0.3">
      <c r="C4653" s="62"/>
      <c r="D4653" s="62"/>
    </row>
    <row r="4654" spans="3:4" x14ac:dyDescent="0.3">
      <c r="C4654" s="62"/>
      <c r="D4654" s="62"/>
    </row>
    <row r="4655" spans="3:4" x14ac:dyDescent="0.3">
      <c r="C4655" s="62"/>
      <c r="D4655" s="62"/>
    </row>
    <row r="4656" spans="3:4" x14ac:dyDescent="0.3">
      <c r="C4656" s="62"/>
      <c r="D4656" s="62"/>
    </row>
    <row r="4657" spans="3:4" x14ac:dyDescent="0.3">
      <c r="C4657" s="62"/>
      <c r="D4657" s="62"/>
    </row>
    <row r="4658" spans="3:4" x14ac:dyDescent="0.3">
      <c r="C4658" s="62"/>
      <c r="D4658" s="62"/>
    </row>
    <row r="4659" spans="3:4" x14ac:dyDescent="0.3">
      <c r="C4659" s="62"/>
      <c r="D4659" s="62"/>
    </row>
    <row r="4660" spans="3:4" x14ac:dyDescent="0.3">
      <c r="C4660" s="62"/>
      <c r="D4660" s="62"/>
    </row>
    <row r="4661" spans="3:4" x14ac:dyDescent="0.3">
      <c r="C4661" s="62"/>
      <c r="D4661" s="62"/>
    </row>
    <row r="4662" spans="3:4" x14ac:dyDescent="0.3">
      <c r="C4662" s="62"/>
      <c r="D4662" s="62"/>
    </row>
    <row r="4663" spans="3:4" x14ac:dyDescent="0.3">
      <c r="C4663" s="62"/>
      <c r="D4663" s="62"/>
    </row>
    <row r="4664" spans="3:4" x14ac:dyDescent="0.3">
      <c r="C4664" s="62"/>
      <c r="D4664" s="62"/>
    </row>
    <row r="4665" spans="3:4" x14ac:dyDescent="0.3">
      <c r="C4665" s="62"/>
      <c r="D4665" s="62"/>
    </row>
    <row r="4666" spans="3:4" x14ac:dyDescent="0.3">
      <c r="C4666" s="62"/>
      <c r="D4666" s="62"/>
    </row>
    <row r="4667" spans="3:4" x14ac:dyDescent="0.3">
      <c r="C4667" s="62"/>
      <c r="D4667" s="62"/>
    </row>
    <row r="4668" spans="3:4" x14ac:dyDescent="0.3">
      <c r="C4668" s="62"/>
      <c r="D4668" s="62"/>
    </row>
    <row r="4669" spans="3:4" x14ac:dyDescent="0.3">
      <c r="C4669" s="62"/>
      <c r="D4669" s="62"/>
    </row>
    <row r="4670" spans="3:4" x14ac:dyDescent="0.3">
      <c r="C4670" s="62"/>
      <c r="D4670" s="62"/>
    </row>
    <row r="4671" spans="3:4" x14ac:dyDescent="0.3">
      <c r="C4671" s="62"/>
      <c r="D4671" s="62"/>
    </row>
    <row r="4672" spans="3:4" x14ac:dyDescent="0.3">
      <c r="C4672" s="62"/>
      <c r="D4672" s="62"/>
    </row>
    <row r="4673" spans="3:4" x14ac:dyDescent="0.3">
      <c r="C4673" s="62"/>
      <c r="D4673" s="62"/>
    </row>
    <row r="4674" spans="3:4" x14ac:dyDescent="0.3">
      <c r="C4674" s="62"/>
      <c r="D4674" s="62"/>
    </row>
    <row r="4675" spans="3:4" x14ac:dyDescent="0.3">
      <c r="C4675" s="62"/>
      <c r="D4675" s="62"/>
    </row>
    <row r="4676" spans="3:4" x14ac:dyDescent="0.3">
      <c r="C4676" s="62"/>
      <c r="D4676" s="62"/>
    </row>
    <row r="4677" spans="3:4" x14ac:dyDescent="0.3">
      <c r="C4677" s="62"/>
      <c r="D4677" s="62"/>
    </row>
    <row r="4678" spans="3:4" x14ac:dyDescent="0.3">
      <c r="C4678" s="62"/>
      <c r="D4678" s="62"/>
    </row>
    <row r="4679" spans="3:4" x14ac:dyDescent="0.3">
      <c r="C4679" s="62"/>
      <c r="D4679" s="62"/>
    </row>
    <row r="4680" spans="3:4" x14ac:dyDescent="0.3">
      <c r="C4680" s="62"/>
      <c r="D4680" s="62"/>
    </row>
    <row r="4681" spans="3:4" x14ac:dyDescent="0.3">
      <c r="C4681" s="62"/>
      <c r="D4681" s="62"/>
    </row>
    <row r="4682" spans="3:4" x14ac:dyDescent="0.3">
      <c r="C4682" s="62"/>
      <c r="D4682" s="62"/>
    </row>
    <row r="4683" spans="3:4" x14ac:dyDescent="0.3">
      <c r="C4683" s="62"/>
      <c r="D4683" s="62"/>
    </row>
    <row r="4684" spans="3:4" x14ac:dyDescent="0.3">
      <c r="C4684" s="62"/>
      <c r="D4684" s="62"/>
    </row>
    <row r="4685" spans="3:4" x14ac:dyDescent="0.3">
      <c r="C4685" s="62"/>
      <c r="D4685" s="62"/>
    </row>
    <row r="4686" spans="3:4" x14ac:dyDescent="0.3">
      <c r="C4686" s="62"/>
      <c r="D4686" s="62"/>
    </row>
    <row r="4687" spans="3:4" x14ac:dyDescent="0.3">
      <c r="C4687" s="62"/>
      <c r="D4687" s="62"/>
    </row>
    <row r="4688" spans="3:4" x14ac:dyDescent="0.3">
      <c r="C4688" s="62"/>
      <c r="D4688" s="62"/>
    </row>
    <row r="4689" spans="3:4" x14ac:dyDescent="0.3">
      <c r="C4689" s="62"/>
      <c r="D4689" s="62"/>
    </row>
    <row r="4690" spans="3:4" x14ac:dyDescent="0.3">
      <c r="C4690" s="62"/>
      <c r="D4690" s="62"/>
    </row>
    <row r="4691" spans="3:4" x14ac:dyDescent="0.3">
      <c r="C4691" s="62"/>
      <c r="D4691" s="62"/>
    </row>
    <row r="4692" spans="3:4" x14ac:dyDescent="0.3">
      <c r="C4692" s="62"/>
      <c r="D4692" s="62"/>
    </row>
    <row r="4693" spans="3:4" x14ac:dyDescent="0.3">
      <c r="C4693" s="62"/>
      <c r="D4693" s="62"/>
    </row>
    <row r="4694" spans="3:4" x14ac:dyDescent="0.3">
      <c r="C4694" s="62"/>
      <c r="D4694" s="62"/>
    </row>
    <row r="4695" spans="3:4" x14ac:dyDescent="0.3">
      <c r="C4695" s="62"/>
      <c r="D4695" s="62"/>
    </row>
    <row r="4696" spans="3:4" x14ac:dyDescent="0.3">
      <c r="C4696" s="62"/>
      <c r="D4696" s="62"/>
    </row>
    <row r="4697" spans="3:4" x14ac:dyDescent="0.3">
      <c r="C4697" s="62"/>
      <c r="D4697" s="62"/>
    </row>
    <row r="4698" spans="3:4" x14ac:dyDescent="0.3">
      <c r="C4698" s="62"/>
      <c r="D4698" s="62"/>
    </row>
    <row r="4699" spans="3:4" x14ac:dyDescent="0.3">
      <c r="C4699" s="62"/>
      <c r="D4699" s="62"/>
    </row>
    <row r="4700" spans="3:4" x14ac:dyDescent="0.3">
      <c r="C4700" s="62"/>
      <c r="D4700" s="62"/>
    </row>
    <row r="4701" spans="3:4" x14ac:dyDescent="0.3">
      <c r="C4701" s="62"/>
      <c r="D4701" s="62"/>
    </row>
    <row r="4702" spans="3:4" x14ac:dyDescent="0.3">
      <c r="C4702" s="62"/>
      <c r="D4702" s="62"/>
    </row>
    <row r="4703" spans="3:4" x14ac:dyDescent="0.3">
      <c r="C4703" s="62"/>
      <c r="D4703" s="62"/>
    </row>
    <row r="4704" spans="3:4" x14ac:dyDescent="0.3">
      <c r="C4704" s="62"/>
      <c r="D4704" s="62"/>
    </row>
    <row r="4705" spans="3:4" x14ac:dyDescent="0.3">
      <c r="C4705" s="62"/>
      <c r="D4705" s="62"/>
    </row>
    <row r="4706" spans="3:4" x14ac:dyDescent="0.3">
      <c r="C4706" s="62"/>
      <c r="D4706" s="62"/>
    </row>
    <row r="4707" spans="3:4" x14ac:dyDescent="0.3">
      <c r="C4707" s="62"/>
      <c r="D4707" s="62"/>
    </row>
    <row r="4708" spans="3:4" x14ac:dyDescent="0.3">
      <c r="C4708" s="62"/>
      <c r="D4708" s="62"/>
    </row>
    <row r="4709" spans="3:4" x14ac:dyDescent="0.3">
      <c r="C4709" s="62"/>
      <c r="D4709" s="62"/>
    </row>
    <row r="4710" spans="3:4" x14ac:dyDescent="0.3">
      <c r="C4710" s="62"/>
      <c r="D4710" s="62"/>
    </row>
    <row r="4711" spans="3:4" x14ac:dyDescent="0.3">
      <c r="C4711" s="62"/>
      <c r="D4711" s="62"/>
    </row>
    <row r="4712" spans="3:4" x14ac:dyDescent="0.3">
      <c r="C4712" s="62"/>
      <c r="D4712" s="62"/>
    </row>
    <row r="4713" spans="3:4" x14ac:dyDescent="0.3">
      <c r="C4713" s="62"/>
      <c r="D4713" s="62"/>
    </row>
    <row r="4714" spans="3:4" x14ac:dyDescent="0.3">
      <c r="C4714" s="62"/>
      <c r="D4714" s="62"/>
    </row>
    <row r="4715" spans="3:4" x14ac:dyDescent="0.3">
      <c r="C4715" s="62"/>
      <c r="D4715" s="62"/>
    </row>
    <row r="4716" spans="3:4" x14ac:dyDescent="0.3">
      <c r="C4716" s="62"/>
      <c r="D4716" s="62"/>
    </row>
    <row r="4717" spans="3:4" x14ac:dyDescent="0.3">
      <c r="C4717" s="62"/>
      <c r="D4717" s="62"/>
    </row>
    <row r="4718" spans="3:4" x14ac:dyDescent="0.3">
      <c r="C4718" s="62"/>
      <c r="D4718" s="62"/>
    </row>
    <row r="4719" spans="3:4" x14ac:dyDescent="0.3">
      <c r="C4719" s="62"/>
      <c r="D4719" s="62"/>
    </row>
    <row r="4720" spans="3:4" x14ac:dyDescent="0.3">
      <c r="C4720" s="62"/>
      <c r="D4720" s="62"/>
    </row>
    <row r="4721" spans="3:4" x14ac:dyDescent="0.3">
      <c r="C4721" s="62"/>
      <c r="D4721" s="62"/>
    </row>
    <row r="4722" spans="3:4" x14ac:dyDescent="0.3">
      <c r="C4722" s="62"/>
      <c r="D4722" s="62"/>
    </row>
    <row r="4723" spans="3:4" x14ac:dyDescent="0.3">
      <c r="C4723" s="62"/>
      <c r="D4723" s="62"/>
    </row>
    <row r="4724" spans="3:4" x14ac:dyDescent="0.3">
      <c r="C4724" s="62"/>
      <c r="D4724" s="62"/>
    </row>
    <row r="4725" spans="3:4" x14ac:dyDescent="0.3">
      <c r="C4725" s="62"/>
      <c r="D4725" s="62"/>
    </row>
    <row r="4726" spans="3:4" x14ac:dyDescent="0.3">
      <c r="C4726" s="62"/>
      <c r="D4726" s="62"/>
    </row>
    <row r="4727" spans="3:4" x14ac:dyDescent="0.3">
      <c r="C4727" s="62"/>
      <c r="D4727" s="62"/>
    </row>
    <row r="4728" spans="3:4" x14ac:dyDescent="0.3">
      <c r="C4728" s="62"/>
      <c r="D4728" s="62"/>
    </row>
    <row r="4729" spans="3:4" x14ac:dyDescent="0.3">
      <c r="C4729" s="62"/>
      <c r="D4729" s="62"/>
    </row>
    <row r="4730" spans="3:4" x14ac:dyDescent="0.3">
      <c r="C4730" s="62"/>
      <c r="D4730" s="62"/>
    </row>
    <row r="4731" spans="3:4" x14ac:dyDescent="0.3">
      <c r="C4731" s="62"/>
      <c r="D4731" s="62"/>
    </row>
    <row r="4732" spans="3:4" x14ac:dyDescent="0.3">
      <c r="C4732" s="62"/>
      <c r="D4732" s="62"/>
    </row>
    <row r="4733" spans="3:4" x14ac:dyDescent="0.3">
      <c r="C4733" s="62"/>
      <c r="D4733" s="62"/>
    </row>
    <row r="4734" spans="3:4" x14ac:dyDescent="0.3">
      <c r="C4734" s="62"/>
      <c r="D4734" s="62"/>
    </row>
    <row r="4735" spans="3:4" x14ac:dyDescent="0.3">
      <c r="C4735" s="62"/>
      <c r="D4735" s="62"/>
    </row>
    <row r="4736" spans="3:4" x14ac:dyDescent="0.3">
      <c r="C4736" s="62"/>
      <c r="D4736" s="62"/>
    </row>
    <row r="4737" spans="3:4" x14ac:dyDescent="0.3">
      <c r="C4737" s="62"/>
      <c r="D4737" s="62"/>
    </row>
    <row r="4738" spans="3:4" x14ac:dyDescent="0.3">
      <c r="C4738" s="62"/>
      <c r="D4738" s="62"/>
    </row>
    <row r="4739" spans="3:4" x14ac:dyDescent="0.3">
      <c r="C4739" s="62"/>
      <c r="D4739" s="62"/>
    </row>
    <row r="4740" spans="3:4" x14ac:dyDescent="0.3">
      <c r="C4740" s="62"/>
      <c r="D4740" s="62"/>
    </row>
    <row r="4741" spans="3:4" x14ac:dyDescent="0.3">
      <c r="C4741" s="62"/>
      <c r="D4741" s="62"/>
    </row>
    <row r="4742" spans="3:4" x14ac:dyDescent="0.3">
      <c r="C4742" s="62"/>
      <c r="D4742" s="62"/>
    </row>
    <row r="4743" spans="3:4" x14ac:dyDescent="0.3">
      <c r="C4743" s="62"/>
      <c r="D4743" s="62"/>
    </row>
    <row r="4744" spans="3:4" x14ac:dyDescent="0.3">
      <c r="C4744" s="62"/>
      <c r="D4744" s="62"/>
    </row>
    <row r="4745" spans="3:4" x14ac:dyDescent="0.3">
      <c r="C4745" s="62"/>
      <c r="D4745" s="62"/>
    </row>
    <row r="4746" spans="3:4" x14ac:dyDescent="0.3">
      <c r="C4746" s="62"/>
      <c r="D4746" s="62"/>
    </row>
    <row r="4747" spans="3:4" x14ac:dyDescent="0.3">
      <c r="C4747" s="62"/>
      <c r="D4747" s="62"/>
    </row>
    <row r="4748" spans="3:4" x14ac:dyDescent="0.3">
      <c r="C4748" s="62"/>
      <c r="D4748" s="62"/>
    </row>
    <row r="4749" spans="3:4" x14ac:dyDescent="0.3">
      <c r="C4749" s="62"/>
      <c r="D4749" s="62"/>
    </row>
    <row r="4750" spans="3:4" x14ac:dyDescent="0.3">
      <c r="C4750" s="62"/>
      <c r="D4750" s="62"/>
    </row>
    <row r="4751" spans="3:4" x14ac:dyDescent="0.3">
      <c r="C4751" s="62"/>
      <c r="D4751" s="62"/>
    </row>
    <row r="4752" spans="3:4" x14ac:dyDescent="0.3">
      <c r="C4752" s="62"/>
      <c r="D4752" s="62"/>
    </row>
    <row r="4753" spans="3:4" x14ac:dyDescent="0.3">
      <c r="C4753" s="62"/>
      <c r="D4753" s="62"/>
    </row>
    <row r="4754" spans="3:4" x14ac:dyDescent="0.3">
      <c r="C4754" s="62"/>
      <c r="D4754" s="62"/>
    </row>
    <row r="4755" spans="3:4" x14ac:dyDescent="0.3">
      <c r="C4755" s="62"/>
      <c r="D4755" s="62"/>
    </row>
    <row r="4756" spans="3:4" x14ac:dyDescent="0.3">
      <c r="C4756" s="62"/>
      <c r="D4756" s="62"/>
    </row>
    <row r="4757" spans="3:4" x14ac:dyDescent="0.3">
      <c r="C4757" s="62"/>
      <c r="D4757" s="62"/>
    </row>
    <row r="4758" spans="3:4" x14ac:dyDescent="0.3">
      <c r="C4758" s="62"/>
      <c r="D4758" s="62"/>
    </row>
    <row r="4759" spans="3:4" x14ac:dyDescent="0.3">
      <c r="C4759" s="62"/>
      <c r="D4759" s="62"/>
    </row>
    <row r="4760" spans="3:4" x14ac:dyDescent="0.3">
      <c r="C4760" s="62"/>
      <c r="D4760" s="62"/>
    </row>
    <row r="4761" spans="3:4" x14ac:dyDescent="0.3">
      <c r="C4761" s="62"/>
      <c r="D4761" s="62"/>
    </row>
    <row r="4762" spans="3:4" x14ac:dyDescent="0.3">
      <c r="C4762" s="62"/>
      <c r="D4762" s="62"/>
    </row>
    <row r="4763" spans="3:4" x14ac:dyDescent="0.3">
      <c r="C4763" s="62"/>
      <c r="D4763" s="62"/>
    </row>
    <row r="4764" spans="3:4" x14ac:dyDescent="0.3">
      <c r="C4764" s="62"/>
      <c r="D4764" s="62"/>
    </row>
    <row r="4765" spans="3:4" x14ac:dyDescent="0.3">
      <c r="C4765" s="62"/>
      <c r="D4765" s="62"/>
    </row>
    <row r="4766" spans="3:4" x14ac:dyDescent="0.3">
      <c r="C4766" s="62"/>
      <c r="D4766" s="62"/>
    </row>
    <row r="4767" spans="3:4" x14ac:dyDescent="0.3">
      <c r="C4767" s="62"/>
      <c r="D4767" s="62"/>
    </row>
    <row r="4768" spans="3:4" x14ac:dyDescent="0.3">
      <c r="C4768" s="62"/>
      <c r="D4768" s="62"/>
    </row>
    <row r="4769" spans="3:4" x14ac:dyDescent="0.3">
      <c r="C4769" s="62"/>
      <c r="D4769" s="62"/>
    </row>
    <row r="4770" spans="3:4" x14ac:dyDescent="0.3">
      <c r="C4770" s="62"/>
      <c r="D4770" s="62"/>
    </row>
    <row r="4771" spans="3:4" x14ac:dyDescent="0.3">
      <c r="C4771" s="62"/>
      <c r="D4771" s="62"/>
    </row>
    <row r="4772" spans="3:4" x14ac:dyDescent="0.3">
      <c r="C4772" s="62"/>
      <c r="D4772" s="62"/>
    </row>
    <row r="4773" spans="3:4" x14ac:dyDescent="0.3">
      <c r="C4773" s="62"/>
      <c r="D4773" s="62"/>
    </row>
    <row r="4774" spans="3:4" x14ac:dyDescent="0.3">
      <c r="C4774" s="62"/>
      <c r="D4774" s="62"/>
    </row>
    <row r="4775" spans="3:4" x14ac:dyDescent="0.3">
      <c r="C4775" s="62"/>
      <c r="D4775" s="62"/>
    </row>
    <row r="4776" spans="3:4" x14ac:dyDescent="0.3">
      <c r="C4776" s="62"/>
      <c r="D4776" s="62"/>
    </row>
    <row r="4777" spans="3:4" x14ac:dyDescent="0.3">
      <c r="C4777" s="62"/>
      <c r="D4777" s="62"/>
    </row>
    <row r="4778" spans="3:4" x14ac:dyDescent="0.3">
      <c r="C4778" s="62"/>
      <c r="D4778" s="62"/>
    </row>
    <row r="4779" spans="3:4" x14ac:dyDescent="0.3">
      <c r="C4779" s="62"/>
      <c r="D4779" s="62"/>
    </row>
    <row r="4780" spans="3:4" x14ac:dyDescent="0.3">
      <c r="C4780" s="62"/>
      <c r="D4780" s="62"/>
    </row>
    <row r="4781" spans="3:4" x14ac:dyDescent="0.3">
      <c r="C4781" s="62"/>
      <c r="D4781" s="62"/>
    </row>
    <row r="4782" spans="3:4" x14ac:dyDescent="0.3">
      <c r="C4782" s="62"/>
      <c r="D4782" s="62"/>
    </row>
    <row r="4783" spans="3:4" x14ac:dyDescent="0.3">
      <c r="C4783" s="62"/>
      <c r="D4783" s="62"/>
    </row>
    <row r="4784" spans="3:4" x14ac:dyDescent="0.3">
      <c r="C4784" s="62"/>
      <c r="D4784" s="62"/>
    </row>
    <row r="4785" spans="3:4" x14ac:dyDescent="0.3">
      <c r="C4785" s="62"/>
      <c r="D4785" s="62"/>
    </row>
    <row r="4786" spans="3:4" x14ac:dyDescent="0.3">
      <c r="C4786" s="62"/>
      <c r="D4786" s="62"/>
    </row>
    <row r="4787" spans="3:4" x14ac:dyDescent="0.3">
      <c r="C4787" s="62"/>
      <c r="D4787" s="62"/>
    </row>
    <row r="4788" spans="3:4" x14ac:dyDescent="0.3">
      <c r="C4788" s="62"/>
      <c r="D4788" s="62"/>
    </row>
    <row r="4789" spans="3:4" x14ac:dyDescent="0.3">
      <c r="C4789" s="62"/>
      <c r="D4789" s="62"/>
    </row>
    <row r="4790" spans="3:4" x14ac:dyDescent="0.3">
      <c r="C4790" s="62"/>
      <c r="D4790" s="62"/>
    </row>
    <row r="4791" spans="3:4" x14ac:dyDescent="0.3">
      <c r="C4791" s="62"/>
      <c r="D4791" s="62"/>
    </row>
    <row r="4792" spans="3:4" x14ac:dyDescent="0.3">
      <c r="C4792" s="62"/>
      <c r="D4792" s="62"/>
    </row>
    <row r="4793" spans="3:4" x14ac:dyDescent="0.3">
      <c r="C4793" s="62"/>
      <c r="D4793" s="62"/>
    </row>
    <row r="4794" spans="3:4" x14ac:dyDescent="0.3">
      <c r="C4794" s="62"/>
      <c r="D4794" s="62"/>
    </row>
    <row r="4795" spans="3:4" x14ac:dyDescent="0.3">
      <c r="C4795" s="62"/>
      <c r="D4795" s="62"/>
    </row>
    <row r="4796" spans="3:4" x14ac:dyDescent="0.3">
      <c r="C4796" s="62"/>
      <c r="D4796" s="62"/>
    </row>
    <row r="4797" spans="3:4" x14ac:dyDescent="0.3">
      <c r="C4797" s="62"/>
      <c r="D4797" s="62"/>
    </row>
    <row r="4798" spans="3:4" x14ac:dyDescent="0.3">
      <c r="C4798" s="62"/>
      <c r="D4798" s="62"/>
    </row>
    <row r="4799" spans="3:4" x14ac:dyDescent="0.3">
      <c r="C4799" s="62"/>
      <c r="D4799" s="62"/>
    </row>
    <row r="4800" spans="3:4" x14ac:dyDescent="0.3">
      <c r="C4800" s="62"/>
      <c r="D4800" s="62"/>
    </row>
    <row r="4801" spans="3:4" x14ac:dyDescent="0.3">
      <c r="C4801" s="62"/>
      <c r="D4801" s="62"/>
    </row>
    <row r="4802" spans="3:4" x14ac:dyDescent="0.3">
      <c r="C4802" s="62"/>
      <c r="D4802" s="62"/>
    </row>
    <row r="4803" spans="3:4" x14ac:dyDescent="0.3">
      <c r="C4803" s="62"/>
      <c r="D4803" s="62"/>
    </row>
    <row r="4804" spans="3:4" x14ac:dyDescent="0.3">
      <c r="C4804" s="62"/>
      <c r="D4804" s="62"/>
    </row>
    <row r="4805" spans="3:4" x14ac:dyDescent="0.3">
      <c r="C4805" s="62"/>
      <c r="D4805" s="62"/>
    </row>
    <row r="4806" spans="3:4" x14ac:dyDescent="0.3">
      <c r="C4806" s="62"/>
      <c r="D4806" s="62"/>
    </row>
    <row r="4807" spans="3:4" x14ac:dyDescent="0.3">
      <c r="C4807" s="62"/>
      <c r="D4807" s="62"/>
    </row>
    <row r="4808" spans="3:4" x14ac:dyDescent="0.3">
      <c r="C4808" s="62"/>
      <c r="D4808" s="62"/>
    </row>
    <row r="4809" spans="3:4" x14ac:dyDescent="0.3">
      <c r="C4809" s="62"/>
      <c r="D4809" s="62"/>
    </row>
    <row r="4810" spans="3:4" x14ac:dyDescent="0.3">
      <c r="C4810" s="62"/>
      <c r="D4810" s="62"/>
    </row>
    <row r="4811" spans="3:4" x14ac:dyDescent="0.3">
      <c r="C4811" s="62"/>
      <c r="D4811" s="62"/>
    </row>
    <row r="4812" spans="3:4" x14ac:dyDescent="0.3">
      <c r="C4812" s="62"/>
      <c r="D4812" s="62"/>
    </row>
    <row r="4813" spans="3:4" x14ac:dyDescent="0.3">
      <c r="C4813" s="62"/>
      <c r="D4813" s="62"/>
    </row>
    <row r="4814" spans="3:4" x14ac:dyDescent="0.3">
      <c r="C4814" s="62"/>
      <c r="D4814" s="62"/>
    </row>
    <row r="4815" spans="3:4" x14ac:dyDescent="0.3">
      <c r="C4815" s="62"/>
      <c r="D4815" s="62"/>
    </row>
    <row r="4816" spans="3:4" x14ac:dyDescent="0.3">
      <c r="C4816" s="62"/>
      <c r="D4816" s="62"/>
    </row>
    <row r="4817" spans="3:4" x14ac:dyDescent="0.3">
      <c r="C4817" s="62"/>
      <c r="D4817" s="62"/>
    </row>
    <row r="4818" spans="3:4" x14ac:dyDescent="0.3">
      <c r="C4818" s="62"/>
      <c r="D4818" s="62"/>
    </row>
    <row r="4819" spans="3:4" x14ac:dyDescent="0.3">
      <c r="C4819" s="62"/>
      <c r="D4819" s="62"/>
    </row>
    <row r="4820" spans="3:4" x14ac:dyDescent="0.3">
      <c r="C4820" s="62"/>
      <c r="D4820" s="62"/>
    </row>
    <row r="4821" spans="3:4" x14ac:dyDescent="0.3">
      <c r="C4821" s="62"/>
      <c r="D4821" s="62"/>
    </row>
    <row r="4822" spans="3:4" x14ac:dyDescent="0.3">
      <c r="C4822" s="62"/>
      <c r="D4822" s="62"/>
    </row>
    <row r="4823" spans="3:4" x14ac:dyDescent="0.3">
      <c r="C4823" s="62"/>
      <c r="D4823" s="62"/>
    </row>
    <row r="4824" spans="3:4" x14ac:dyDescent="0.3">
      <c r="C4824" s="62"/>
      <c r="D4824" s="62"/>
    </row>
    <row r="4825" spans="3:4" x14ac:dyDescent="0.3">
      <c r="C4825" s="62"/>
      <c r="D4825" s="62"/>
    </row>
    <row r="4826" spans="3:4" x14ac:dyDescent="0.3">
      <c r="C4826" s="62"/>
      <c r="D4826" s="62"/>
    </row>
    <row r="4827" spans="3:4" x14ac:dyDescent="0.3">
      <c r="C4827" s="62"/>
      <c r="D4827" s="62"/>
    </row>
    <row r="4828" spans="3:4" x14ac:dyDescent="0.3">
      <c r="C4828" s="62"/>
      <c r="D4828" s="62"/>
    </row>
    <row r="4829" spans="3:4" x14ac:dyDescent="0.3">
      <c r="C4829" s="62"/>
      <c r="D4829" s="62"/>
    </row>
    <row r="4830" spans="3:4" x14ac:dyDescent="0.3">
      <c r="C4830" s="62"/>
      <c r="D4830" s="62"/>
    </row>
    <row r="4831" spans="3:4" x14ac:dyDescent="0.3">
      <c r="C4831" s="62"/>
      <c r="D4831" s="62"/>
    </row>
    <row r="4832" spans="3:4" x14ac:dyDescent="0.3">
      <c r="C4832" s="62"/>
      <c r="D4832" s="62"/>
    </row>
    <row r="4833" spans="3:4" x14ac:dyDescent="0.3">
      <c r="C4833" s="62"/>
      <c r="D4833" s="62"/>
    </row>
    <row r="4834" spans="3:4" x14ac:dyDescent="0.3">
      <c r="C4834" s="62"/>
      <c r="D4834" s="62"/>
    </row>
    <row r="4835" spans="3:4" x14ac:dyDescent="0.3">
      <c r="C4835" s="62"/>
      <c r="D4835" s="62"/>
    </row>
    <row r="4836" spans="3:4" x14ac:dyDescent="0.3">
      <c r="C4836" s="62"/>
      <c r="D4836" s="62"/>
    </row>
    <row r="4837" spans="3:4" x14ac:dyDescent="0.3">
      <c r="C4837" s="62"/>
      <c r="D4837" s="62"/>
    </row>
    <row r="4838" spans="3:4" x14ac:dyDescent="0.3">
      <c r="C4838" s="62"/>
      <c r="D4838" s="62"/>
    </row>
    <row r="4839" spans="3:4" x14ac:dyDescent="0.3">
      <c r="C4839" s="62"/>
      <c r="D4839" s="62"/>
    </row>
    <row r="4840" spans="3:4" x14ac:dyDescent="0.3">
      <c r="C4840" s="62"/>
      <c r="D4840" s="62"/>
    </row>
    <row r="4841" spans="3:4" x14ac:dyDescent="0.3">
      <c r="C4841" s="62"/>
      <c r="D4841" s="62"/>
    </row>
    <row r="4842" spans="3:4" x14ac:dyDescent="0.3">
      <c r="C4842" s="62"/>
      <c r="D4842" s="62"/>
    </row>
    <row r="4843" spans="3:4" x14ac:dyDescent="0.3">
      <c r="C4843" s="62"/>
      <c r="D4843" s="62"/>
    </row>
    <row r="4844" spans="3:4" x14ac:dyDescent="0.3">
      <c r="C4844" s="62"/>
      <c r="D4844" s="62"/>
    </row>
    <row r="4845" spans="3:4" x14ac:dyDescent="0.3">
      <c r="C4845" s="62"/>
      <c r="D4845" s="62"/>
    </row>
    <row r="4846" spans="3:4" x14ac:dyDescent="0.3">
      <c r="C4846" s="62"/>
      <c r="D4846" s="62"/>
    </row>
    <row r="4847" spans="3:4" x14ac:dyDescent="0.3">
      <c r="C4847" s="62"/>
      <c r="D4847" s="62"/>
    </row>
    <row r="4848" spans="3:4" x14ac:dyDescent="0.3">
      <c r="C4848" s="62"/>
      <c r="D4848" s="62"/>
    </row>
    <row r="4849" spans="3:4" x14ac:dyDescent="0.3">
      <c r="C4849" s="62"/>
      <c r="D4849" s="62"/>
    </row>
    <row r="4850" spans="3:4" x14ac:dyDescent="0.3">
      <c r="C4850" s="62"/>
      <c r="D4850" s="62"/>
    </row>
    <row r="4851" spans="3:4" x14ac:dyDescent="0.3">
      <c r="C4851" s="62"/>
      <c r="D4851" s="62"/>
    </row>
    <row r="4852" spans="3:4" x14ac:dyDescent="0.3">
      <c r="C4852" s="62"/>
      <c r="D4852" s="62"/>
    </row>
    <row r="4853" spans="3:4" x14ac:dyDescent="0.3">
      <c r="C4853" s="62"/>
      <c r="D4853" s="62"/>
    </row>
    <row r="4854" spans="3:4" x14ac:dyDescent="0.3">
      <c r="C4854" s="62"/>
      <c r="D4854" s="62"/>
    </row>
    <row r="4855" spans="3:4" x14ac:dyDescent="0.3">
      <c r="C4855" s="62"/>
      <c r="D4855" s="62"/>
    </row>
    <row r="4856" spans="3:4" x14ac:dyDescent="0.3">
      <c r="C4856" s="62"/>
      <c r="D4856" s="62"/>
    </row>
    <row r="4857" spans="3:4" x14ac:dyDescent="0.3">
      <c r="C4857" s="62"/>
      <c r="D4857" s="62"/>
    </row>
    <row r="4858" spans="3:4" x14ac:dyDescent="0.3">
      <c r="C4858" s="62"/>
      <c r="D4858" s="62"/>
    </row>
    <row r="4859" spans="3:4" x14ac:dyDescent="0.3">
      <c r="C4859" s="62"/>
      <c r="D4859" s="62"/>
    </row>
    <row r="4860" spans="3:4" x14ac:dyDescent="0.3">
      <c r="C4860" s="62"/>
      <c r="D4860" s="62"/>
    </row>
    <row r="4861" spans="3:4" x14ac:dyDescent="0.3">
      <c r="C4861" s="62"/>
      <c r="D4861" s="62"/>
    </row>
    <row r="4862" spans="3:4" x14ac:dyDescent="0.3">
      <c r="C4862" s="62"/>
      <c r="D4862" s="62"/>
    </row>
    <row r="4863" spans="3:4" x14ac:dyDescent="0.3">
      <c r="C4863" s="62"/>
      <c r="D4863" s="62"/>
    </row>
    <row r="4864" spans="3:4" x14ac:dyDescent="0.3">
      <c r="C4864" s="62"/>
      <c r="D4864" s="62"/>
    </row>
    <row r="4865" spans="3:4" x14ac:dyDescent="0.3">
      <c r="C4865" s="62"/>
      <c r="D4865" s="62"/>
    </row>
    <row r="4866" spans="3:4" x14ac:dyDescent="0.3">
      <c r="C4866" s="62"/>
      <c r="D4866" s="62"/>
    </row>
    <row r="4867" spans="3:4" x14ac:dyDescent="0.3">
      <c r="C4867" s="62"/>
      <c r="D4867" s="62"/>
    </row>
    <row r="4868" spans="3:4" x14ac:dyDescent="0.3">
      <c r="C4868" s="62"/>
      <c r="D4868" s="62"/>
    </row>
    <row r="4869" spans="3:4" x14ac:dyDescent="0.3">
      <c r="C4869" s="62"/>
      <c r="D4869" s="62"/>
    </row>
    <row r="4870" spans="3:4" x14ac:dyDescent="0.3">
      <c r="C4870" s="62"/>
      <c r="D4870" s="62"/>
    </row>
    <row r="4871" spans="3:4" x14ac:dyDescent="0.3">
      <c r="C4871" s="62"/>
      <c r="D4871" s="62"/>
    </row>
    <row r="4872" spans="3:4" x14ac:dyDescent="0.3">
      <c r="C4872" s="62"/>
      <c r="D4872" s="62"/>
    </row>
    <row r="4873" spans="3:4" x14ac:dyDescent="0.3">
      <c r="C4873" s="62"/>
      <c r="D4873" s="62"/>
    </row>
    <row r="4874" spans="3:4" x14ac:dyDescent="0.3">
      <c r="C4874" s="62"/>
      <c r="D4874" s="62"/>
    </row>
    <row r="4875" spans="3:4" x14ac:dyDescent="0.3">
      <c r="C4875" s="62"/>
      <c r="D4875" s="62"/>
    </row>
    <row r="4876" spans="3:4" x14ac:dyDescent="0.3">
      <c r="C4876" s="62"/>
      <c r="D4876" s="62"/>
    </row>
    <row r="4877" spans="3:4" x14ac:dyDescent="0.3">
      <c r="C4877" s="62"/>
      <c r="D4877" s="62"/>
    </row>
    <row r="4878" spans="3:4" x14ac:dyDescent="0.3">
      <c r="C4878" s="62"/>
      <c r="D4878" s="62"/>
    </row>
    <row r="4879" spans="3:4" x14ac:dyDescent="0.3">
      <c r="C4879" s="62"/>
      <c r="D4879" s="62"/>
    </row>
    <row r="4880" spans="3:4" x14ac:dyDescent="0.3">
      <c r="C4880" s="62"/>
      <c r="D4880" s="62"/>
    </row>
    <row r="4881" spans="3:4" x14ac:dyDescent="0.3">
      <c r="C4881" s="62"/>
      <c r="D4881" s="62"/>
    </row>
    <row r="4882" spans="3:4" x14ac:dyDescent="0.3">
      <c r="C4882" s="62"/>
      <c r="D4882" s="62"/>
    </row>
    <row r="4883" spans="3:4" x14ac:dyDescent="0.3">
      <c r="C4883" s="62"/>
      <c r="D4883" s="62"/>
    </row>
    <row r="4884" spans="3:4" x14ac:dyDescent="0.3">
      <c r="C4884" s="62"/>
      <c r="D4884" s="62"/>
    </row>
    <row r="4885" spans="3:4" x14ac:dyDescent="0.3">
      <c r="C4885" s="62"/>
      <c r="D4885" s="62"/>
    </row>
    <row r="4886" spans="3:4" x14ac:dyDescent="0.3">
      <c r="C4886" s="62"/>
      <c r="D4886" s="62"/>
    </row>
    <row r="4887" spans="3:4" x14ac:dyDescent="0.3">
      <c r="C4887" s="62"/>
      <c r="D4887" s="62"/>
    </row>
    <row r="4888" spans="3:4" x14ac:dyDescent="0.3">
      <c r="C4888" s="62"/>
      <c r="D4888" s="62"/>
    </row>
    <row r="4889" spans="3:4" x14ac:dyDescent="0.3">
      <c r="C4889" s="62"/>
      <c r="D4889" s="62"/>
    </row>
    <row r="4890" spans="3:4" x14ac:dyDescent="0.3">
      <c r="C4890" s="62"/>
      <c r="D4890" s="62"/>
    </row>
    <row r="4891" spans="3:4" x14ac:dyDescent="0.3">
      <c r="C4891" s="62"/>
      <c r="D4891" s="62"/>
    </row>
    <row r="4892" spans="3:4" x14ac:dyDescent="0.3">
      <c r="C4892" s="62"/>
      <c r="D4892" s="62"/>
    </row>
    <row r="4893" spans="3:4" x14ac:dyDescent="0.3">
      <c r="C4893" s="62"/>
      <c r="D4893" s="62"/>
    </row>
    <row r="4894" spans="3:4" x14ac:dyDescent="0.3">
      <c r="C4894" s="62"/>
      <c r="D4894" s="62"/>
    </row>
    <row r="4895" spans="3:4" x14ac:dyDescent="0.3">
      <c r="C4895" s="62"/>
      <c r="D4895" s="62"/>
    </row>
    <row r="4896" spans="3:4" x14ac:dyDescent="0.3">
      <c r="C4896" s="62"/>
      <c r="D4896" s="62"/>
    </row>
    <row r="4897" spans="3:4" x14ac:dyDescent="0.3">
      <c r="C4897" s="62"/>
      <c r="D4897" s="62"/>
    </row>
    <row r="4898" spans="3:4" x14ac:dyDescent="0.3">
      <c r="C4898" s="62"/>
      <c r="D4898" s="62"/>
    </row>
    <row r="4899" spans="3:4" x14ac:dyDescent="0.3">
      <c r="C4899" s="62"/>
      <c r="D4899" s="62"/>
    </row>
    <row r="4900" spans="3:4" x14ac:dyDescent="0.3">
      <c r="C4900" s="62"/>
      <c r="D4900" s="62"/>
    </row>
    <row r="4901" spans="3:4" x14ac:dyDescent="0.3">
      <c r="C4901" s="62"/>
      <c r="D4901" s="62"/>
    </row>
    <row r="4902" spans="3:4" x14ac:dyDescent="0.3">
      <c r="C4902" s="62"/>
      <c r="D4902" s="62"/>
    </row>
    <row r="4903" spans="3:4" x14ac:dyDescent="0.3">
      <c r="C4903" s="62"/>
      <c r="D4903" s="62"/>
    </row>
    <row r="4904" spans="3:4" x14ac:dyDescent="0.3">
      <c r="C4904" s="62"/>
      <c r="D4904" s="62"/>
    </row>
    <row r="4905" spans="3:4" x14ac:dyDescent="0.3">
      <c r="C4905" s="62"/>
      <c r="D4905" s="62"/>
    </row>
    <row r="4906" spans="3:4" x14ac:dyDescent="0.3">
      <c r="C4906" s="62"/>
      <c r="D4906" s="62"/>
    </row>
    <row r="4907" spans="3:4" x14ac:dyDescent="0.3">
      <c r="C4907" s="62"/>
      <c r="D4907" s="62"/>
    </row>
    <row r="4908" spans="3:4" x14ac:dyDescent="0.3">
      <c r="C4908" s="62"/>
      <c r="D4908" s="62"/>
    </row>
    <row r="4909" spans="3:4" x14ac:dyDescent="0.3">
      <c r="C4909" s="62"/>
      <c r="D4909" s="62"/>
    </row>
    <row r="4910" spans="3:4" x14ac:dyDescent="0.3">
      <c r="C4910" s="62"/>
      <c r="D4910" s="62"/>
    </row>
    <row r="4911" spans="3:4" x14ac:dyDescent="0.3">
      <c r="C4911" s="62"/>
      <c r="D4911" s="62"/>
    </row>
    <row r="4912" spans="3:4" x14ac:dyDescent="0.3">
      <c r="C4912" s="62"/>
      <c r="D4912" s="62"/>
    </row>
    <row r="4913" spans="3:4" x14ac:dyDescent="0.3">
      <c r="C4913" s="62"/>
      <c r="D4913" s="62"/>
    </row>
    <row r="4914" spans="3:4" x14ac:dyDescent="0.3">
      <c r="C4914" s="62"/>
      <c r="D4914" s="62"/>
    </row>
    <row r="4915" spans="3:4" x14ac:dyDescent="0.3">
      <c r="C4915" s="62"/>
      <c r="D4915" s="62"/>
    </row>
    <row r="4916" spans="3:4" x14ac:dyDescent="0.3">
      <c r="C4916" s="62"/>
      <c r="D4916" s="62"/>
    </row>
    <row r="4917" spans="3:4" x14ac:dyDescent="0.3">
      <c r="C4917" s="62"/>
      <c r="D4917" s="62"/>
    </row>
    <row r="4918" spans="3:4" x14ac:dyDescent="0.3">
      <c r="C4918" s="62"/>
      <c r="D4918" s="62"/>
    </row>
    <row r="4919" spans="3:4" x14ac:dyDescent="0.3">
      <c r="C4919" s="62"/>
      <c r="D4919" s="62"/>
    </row>
    <row r="4920" spans="3:4" x14ac:dyDescent="0.3">
      <c r="C4920" s="62"/>
      <c r="D4920" s="62"/>
    </row>
    <row r="4921" spans="3:4" x14ac:dyDescent="0.3">
      <c r="C4921" s="62"/>
      <c r="D4921" s="62"/>
    </row>
    <row r="4922" spans="3:4" x14ac:dyDescent="0.3">
      <c r="C4922" s="62"/>
      <c r="D4922" s="62"/>
    </row>
    <row r="4923" spans="3:4" x14ac:dyDescent="0.3">
      <c r="C4923" s="62"/>
      <c r="D4923" s="62"/>
    </row>
    <row r="4924" spans="3:4" x14ac:dyDescent="0.3">
      <c r="C4924" s="62"/>
      <c r="D4924" s="62"/>
    </row>
    <row r="4925" spans="3:4" x14ac:dyDescent="0.3">
      <c r="C4925" s="62"/>
      <c r="D4925" s="62"/>
    </row>
    <row r="4926" spans="3:4" x14ac:dyDescent="0.3">
      <c r="C4926" s="62"/>
      <c r="D4926" s="62"/>
    </row>
    <row r="4927" spans="3:4" x14ac:dyDescent="0.3">
      <c r="C4927" s="62"/>
      <c r="D4927" s="62"/>
    </row>
    <row r="4928" spans="3:4" x14ac:dyDescent="0.3">
      <c r="C4928" s="62"/>
      <c r="D4928" s="62"/>
    </row>
    <row r="4929" spans="3:4" x14ac:dyDescent="0.3">
      <c r="C4929" s="62"/>
      <c r="D4929" s="62"/>
    </row>
    <row r="4930" spans="3:4" x14ac:dyDescent="0.3">
      <c r="C4930" s="62"/>
      <c r="D4930" s="62"/>
    </row>
    <row r="4931" spans="3:4" x14ac:dyDescent="0.3">
      <c r="C4931" s="62"/>
      <c r="D4931" s="62"/>
    </row>
    <row r="4932" spans="3:4" x14ac:dyDescent="0.3">
      <c r="C4932" s="62"/>
      <c r="D4932" s="62"/>
    </row>
    <row r="4933" spans="3:4" x14ac:dyDescent="0.3">
      <c r="C4933" s="62"/>
      <c r="D4933" s="62"/>
    </row>
    <row r="4934" spans="3:4" x14ac:dyDescent="0.3">
      <c r="C4934" s="62"/>
      <c r="D4934" s="62"/>
    </row>
    <row r="4935" spans="3:4" x14ac:dyDescent="0.3">
      <c r="C4935" s="62"/>
      <c r="D4935" s="62"/>
    </row>
    <row r="4936" spans="3:4" x14ac:dyDescent="0.3">
      <c r="C4936" s="62"/>
      <c r="D4936" s="62"/>
    </row>
    <row r="4937" spans="3:4" x14ac:dyDescent="0.3">
      <c r="C4937" s="62"/>
      <c r="D4937" s="62"/>
    </row>
    <row r="4938" spans="3:4" x14ac:dyDescent="0.3">
      <c r="C4938" s="62"/>
      <c r="D4938" s="62"/>
    </row>
    <row r="4939" spans="3:4" x14ac:dyDescent="0.3">
      <c r="C4939" s="62"/>
      <c r="D4939" s="62"/>
    </row>
    <row r="4940" spans="3:4" x14ac:dyDescent="0.3">
      <c r="C4940" s="62"/>
      <c r="D4940" s="62"/>
    </row>
    <row r="4941" spans="3:4" x14ac:dyDescent="0.3">
      <c r="C4941" s="62"/>
      <c r="D4941" s="62"/>
    </row>
    <row r="4942" spans="3:4" x14ac:dyDescent="0.3">
      <c r="C4942" s="62"/>
      <c r="D4942" s="62"/>
    </row>
    <row r="4943" spans="3:4" x14ac:dyDescent="0.3">
      <c r="C4943" s="62"/>
      <c r="D4943" s="62"/>
    </row>
    <row r="4944" spans="3:4" x14ac:dyDescent="0.3">
      <c r="C4944" s="62"/>
      <c r="D4944" s="62"/>
    </row>
    <row r="4945" spans="3:4" x14ac:dyDescent="0.3">
      <c r="C4945" s="62"/>
      <c r="D4945" s="62"/>
    </row>
    <row r="4946" spans="3:4" x14ac:dyDescent="0.3">
      <c r="C4946" s="62"/>
      <c r="D4946" s="62"/>
    </row>
    <row r="4947" spans="3:4" x14ac:dyDescent="0.3">
      <c r="C4947" s="62"/>
      <c r="D4947" s="62"/>
    </row>
    <row r="4948" spans="3:4" x14ac:dyDescent="0.3">
      <c r="C4948" s="62"/>
      <c r="D4948" s="62"/>
    </row>
    <row r="4949" spans="3:4" x14ac:dyDescent="0.3">
      <c r="C4949" s="62"/>
      <c r="D4949" s="62"/>
    </row>
    <row r="4950" spans="3:4" x14ac:dyDescent="0.3">
      <c r="C4950" s="62"/>
      <c r="D4950" s="62"/>
    </row>
    <row r="4951" spans="3:4" x14ac:dyDescent="0.3">
      <c r="C4951" s="62"/>
      <c r="D4951" s="62"/>
    </row>
    <row r="4952" spans="3:4" x14ac:dyDescent="0.3">
      <c r="C4952" s="62"/>
      <c r="D4952" s="62"/>
    </row>
    <row r="4953" spans="3:4" x14ac:dyDescent="0.3">
      <c r="C4953" s="62"/>
      <c r="D4953" s="62"/>
    </row>
    <row r="4954" spans="3:4" x14ac:dyDescent="0.3">
      <c r="C4954" s="62"/>
      <c r="D4954" s="62"/>
    </row>
    <row r="4955" spans="3:4" x14ac:dyDescent="0.3">
      <c r="C4955" s="62"/>
      <c r="D4955" s="62"/>
    </row>
    <row r="4956" spans="3:4" x14ac:dyDescent="0.3">
      <c r="C4956" s="62"/>
      <c r="D4956" s="62"/>
    </row>
    <row r="4957" spans="3:4" x14ac:dyDescent="0.3">
      <c r="C4957" s="62"/>
      <c r="D4957" s="62"/>
    </row>
    <row r="4958" spans="3:4" x14ac:dyDescent="0.3">
      <c r="C4958" s="62"/>
      <c r="D4958" s="62"/>
    </row>
    <row r="4959" spans="3:4" x14ac:dyDescent="0.3">
      <c r="C4959" s="62"/>
      <c r="D4959" s="62"/>
    </row>
    <row r="4960" spans="3:4" x14ac:dyDescent="0.3">
      <c r="C4960" s="62"/>
      <c r="D4960" s="62"/>
    </row>
    <row r="4961" spans="3:4" x14ac:dyDescent="0.3">
      <c r="C4961" s="62"/>
      <c r="D4961" s="62"/>
    </row>
    <row r="4962" spans="3:4" x14ac:dyDescent="0.3">
      <c r="C4962" s="62"/>
      <c r="D4962" s="62"/>
    </row>
    <row r="4963" spans="3:4" x14ac:dyDescent="0.3">
      <c r="C4963" s="62"/>
      <c r="D4963" s="62"/>
    </row>
    <row r="4964" spans="3:4" x14ac:dyDescent="0.3">
      <c r="C4964" s="62"/>
      <c r="D4964" s="62"/>
    </row>
    <row r="4965" spans="3:4" x14ac:dyDescent="0.3">
      <c r="C4965" s="62"/>
      <c r="D4965" s="62"/>
    </row>
    <row r="4966" spans="3:4" x14ac:dyDescent="0.3">
      <c r="C4966" s="62"/>
      <c r="D4966" s="62"/>
    </row>
    <row r="4967" spans="3:4" x14ac:dyDescent="0.3">
      <c r="C4967" s="62"/>
      <c r="D4967" s="62"/>
    </row>
    <row r="4968" spans="3:4" x14ac:dyDescent="0.3">
      <c r="C4968" s="62"/>
      <c r="D4968" s="62"/>
    </row>
    <row r="4969" spans="3:4" x14ac:dyDescent="0.3">
      <c r="C4969" s="62"/>
      <c r="D4969" s="62"/>
    </row>
    <row r="4970" spans="3:4" x14ac:dyDescent="0.3">
      <c r="C4970" s="62"/>
      <c r="D4970" s="62"/>
    </row>
    <row r="4971" spans="3:4" x14ac:dyDescent="0.3">
      <c r="C4971" s="62"/>
      <c r="D4971" s="62"/>
    </row>
    <row r="4972" spans="3:4" x14ac:dyDescent="0.3">
      <c r="C4972" s="62"/>
      <c r="D4972" s="62"/>
    </row>
    <row r="4973" spans="3:4" x14ac:dyDescent="0.3">
      <c r="C4973" s="62"/>
      <c r="D4973" s="62"/>
    </row>
    <row r="4974" spans="3:4" x14ac:dyDescent="0.3">
      <c r="C4974" s="62"/>
      <c r="D4974" s="62"/>
    </row>
    <row r="4975" spans="3:4" x14ac:dyDescent="0.3">
      <c r="C4975" s="62"/>
      <c r="D4975" s="62"/>
    </row>
    <row r="4976" spans="3:4" x14ac:dyDescent="0.3">
      <c r="C4976" s="62"/>
      <c r="D4976" s="62"/>
    </row>
    <row r="4977" spans="3:4" x14ac:dyDescent="0.3">
      <c r="C4977" s="62"/>
      <c r="D4977" s="62"/>
    </row>
    <row r="4978" spans="3:4" x14ac:dyDescent="0.3">
      <c r="C4978" s="62"/>
      <c r="D4978" s="62"/>
    </row>
    <row r="4979" spans="3:4" x14ac:dyDescent="0.3">
      <c r="C4979" s="62"/>
      <c r="D4979" s="62"/>
    </row>
    <row r="4980" spans="3:4" x14ac:dyDescent="0.3">
      <c r="C4980" s="62"/>
      <c r="D4980" s="62"/>
    </row>
    <row r="4981" spans="3:4" x14ac:dyDescent="0.3">
      <c r="C4981" s="62"/>
      <c r="D4981" s="62"/>
    </row>
    <row r="4982" spans="3:4" x14ac:dyDescent="0.3">
      <c r="C4982" s="62"/>
      <c r="D4982" s="62"/>
    </row>
    <row r="4983" spans="3:4" x14ac:dyDescent="0.3">
      <c r="C4983" s="62"/>
      <c r="D4983" s="62"/>
    </row>
    <row r="4984" spans="3:4" x14ac:dyDescent="0.3">
      <c r="C4984" s="62"/>
      <c r="D4984" s="62"/>
    </row>
    <row r="4985" spans="3:4" x14ac:dyDescent="0.3">
      <c r="C4985" s="62"/>
      <c r="D4985" s="62"/>
    </row>
    <row r="4986" spans="3:4" x14ac:dyDescent="0.3">
      <c r="C4986" s="62"/>
      <c r="D4986" s="62"/>
    </row>
    <row r="4987" spans="3:4" x14ac:dyDescent="0.3">
      <c r="C4987" s="62"/>
      <c r="D4987" s="62"/>
    </row>
    <row r="4988" spans="3:4" x14ac:dyDescent="0.3">
      <c r="C4988" s="62"/>
      <c r="D4988" s="62"/>
    </row>
    <row r="4989" spans="3:4" x14ac:dyDescent="0.3">
      <c r="C4989" s="62"/>
      <c r="D4989" s="62"/>
    </row>
    <row r="4990" spans="3:4" x14ac:dyDescent="0.3">
      <c r="C4990" s="62"/>
      <c r="D4990" s="62"/>
    </row>
    <row r="4991" spans="3:4" x14ac:dyDescent="0.3">
      <c r="C4991" s="62"/>
      <c r="D4991" s="62"/>
    </row>
    <row r="4992" spans="3:4" x14ac:dyDescent="0.3">
      <c r="C4992" s="62"/>
      <c r="D4992" s="62"/>
    </row>
    <row r="4993" spans="3:4" x14ac:dyDescent="0.3">
      <c r="C4993" s="62"/>
      <c r="D4993" s="62"/>
    </row>
    <row r="4994" spans="3:4" x14ac:dyDescent="0.3">
      <c r="C4994" s="62"/>
      <c r="D4994" s="62"/>
    </row>
    <row r="4995" spans="3:4" x14ac:dyDescent="0.3">
      <c r="C4995" s="62"/>
      <c r="D4995" s="62"/>
    </row>
    <row r="4996" spans="3:4" x14ac:dyDescent="0.3">
      <c r="C4996" s="62"/>
      <c r="D4996" s="62"/>
    </row>
    <row r="4997" spans="3:4" x14ac:dyDescent="0.3">
      <c r="C4997" s="62"/>
      <c r="D4997" s="62"/>
    </row>
    <row r="4998" spans="3:4" x14ac:dyDescent="0.3">
      <c r="C4998" s="62"/>
      <c r="D4998" s="62"/>
    </row>
    <row r="4999" spans="3:4" x14ac:dyDescent="0.3">
      <c r="C4999" s="62"/>
      <c r="D4999" s="62"/>
    </row>
    <row r="5000" spans="3:4" x14ac:dyDescent="0.3">
      <c r="C5000" s="62"/>
      <c r="D5000" s="62"/>
    </row>
    <row r="5001" spans="3:4" x14ac:dyDescent="0.3">
      <c r="C5001" s="62"/>
      <c r="D5001" s="62"/>
    </row>
    <row r="5002" spans="3:4" x14ac:dyDescent="0.3">
      <c r="C5002" s="62"/>
      <c r="D5002" s="62"/>
    </row>
    <row r="5003" spans="3:4" x14ac:dyDescent="0.3">
      <c r="C5003" s="62"/>
      <c r="D5003" s="62"/>
    </row>
    <row r="5004" spans="3:4" x14ac:dyDescent="0.3">
      <c r="C5004" s="62"/>
      <c r="D5004" s="62"/>
    </row>
    <row r="5005" spans="3:4" x14ac:dyDescent="0.3">
      <c r="C5005" s="62"/>
      <c r="D5005" s="62"/>
    </row>
    <row r="5006" spans="3:4" x14ac:dyDescent="0.3">
      <c r="C5006" s="62"/>
      <c r="D5006" s="62"/>
    </row>
    <row r="5007" spans="3:4" x14ac:dyDescent="0.3">
      <c r="C5007" s="62"/>
      <c r="D5007" s="62"/>
    </row>
    <row r="5008" spans="3:4" x14ac:dyDescent="0.3">
      <c r="C5008" s="62"/>
      <c r="D5008" s="62"/>
    </row>
    <row r="5009" spans="3:4" x14ac:dyDescent="0.3">
      <c r="C5009" s="62"/>
      <c r="D5009" s="62"/>
    </row>
    <row r="5010" spans="3:4" x14ac:dyDescent="0.3">
      <c r="C5010" s="62"/>
      <c r="D5010" s="62"/>
    </row>
    <row r="5011" spans="3:4" x14ac:dyDescent="0.3">
      <c r="C5011" s="62"/>
      <c r="D5011" s="62"/>
    </row>
    <row r="5012" spans="3:4" x14ac:dyDescent="0.3">
      <c r="C5012" s="62"/>
      <c r="D5012" s="62"/>
    </row>
    <row r="5013" spans="3:4" x14ac:dyDescent="0.3">
      <c r="C5013" s="62"/>
      <c r="D5013" s="62"/>
    </row>
    <row r="5014" spans="3:4" x14ac:dyDescent="0.3">
      <c r="C5014" s="62"/>
      <c r="D5014" s="62"/>
    </row>
    <row r="5015" spans="3:4" x14ac:dyDescent="0.3">
      <c r="C5015" s="62"/>
      <c r="D5015" s="62"/>
    </row>
    <row r="5016" spans="3:4" x14ac:dyDescent="0.3">
      <c r="C5016" s="62"/>
      <c r="D5016" s="62"/>
    </row>
    <row r="5017" spans="3:4" x14ac:dyDescent="0.3">
      <c r="C5017" s="62"/>
      <c r="D5017" s="62"/>
    </row>
    <row r="5018" spans="3:4" x14ac:dyDescent="0.3">
      <c r="C5018" s="62"/>
      <c r="D5018" s="62"/>
    </row>
    <row r="5019" spans="3:4" x14ac:dyDescent="0.3">
      <c r="C5019" s="62"/>
      <c r="D5019" s="62"/>
    </row>
    <row r="5020" spans="3:4" x14ac:dyDescent="0.3">
      <c r="C5020" s="62"/>
      <c r="D5020" s="62"/>
    </row>
    <row r="5021" spans="3:4" x14ac:dyDescent="0.3">
      <c r="C5021" s="62"/>
      <c r="D5021" s="62"/>
    </row>
    <row r="5022" spans="3:4" x14ac:dyDescent="0.3">
      <c r="C5022" s="62"/>
      <c r="D5022" s="62"/>
    </row>
    <row r="5023" spans="3:4" x14ac:dyDescent="0.3">
      <c r="C5023" s="62"/>
      <c r="D5023" s="62"/>
    </row>
    <row r="5024" spans="3:4" x14ac:dyDescent="0.3">
      <c r="C5024" s="62"/>
      <c r="D5024" s="62"/>
    </row>
    <row r="5025" spans="3:4" x14ac:dyDescent="0.3">
      <c r="C5025" s="62"/>
      <c r="D5025" s="62"/>
    </row>
    <row r="5026" spans="3:4" x14ac:dyDescent="0.3">
      <c r="C5026" s="62"/>
      <c r="D5026" s="62"/>
    </row>
    <row r="5027" spans="3:4" x14ac:dyDescent="0.3">
      <c r="C5027" s="62"/>
      <c r="D5027" s="62"/>
    </row>
    <row r="5028" spans="3:4" x14ac:dyDescent="0.3">
      <c r="C5028" s="62"/>
      <c r="D5028" s="62"/>
    </row>
    <row r="5029" spans="3:4" x14ac:dyDescent="0.3">
      <c r="C5029" s="62"/>
      <c r="D5029" s="62"/>
    </row>
    <row r="5030" spans="3:4" x14ac:dyDescent="0.3">
      <c r="C5030" s="62"/>
      <c r="D5030" s="62"/>
    </row>
    <row r="5031" spans="3:4" x14ac:dyDescent="0.3">
      <c r="C5031" s="62"/>
      <c r="D5031" s="62"/>
    </row>
    <row r="5032" spans="3:4" x14ac:dyDescent="0.3">
      <c r="C5032" s="62"/>
      <c r="D5032" s="62"/>
    </row>
    <row r="5033" spans="3:4" x14ac:dyDescent="0.3">
      <c r="C5033" s="62"/>
      <c r="D5033" s="62"/>
    </row>
    <row r="5034" spans="3:4" x14ac:dyDescent="0.3">
      <c r="C5034" s="62"/>
      <c r="D5034" s="62"/>
    </row>
    <row r="5035" spans="3:4" x14ac:dyDescent="0.3">
      <c r="C5035" s="62"/>
      <c r="D5035" s="62"/>
    </row>
    <row r="5036" spans="3:4" x14ac:dyDescent="0.3">
      <c r="C5036" s="62"/>
      <c r="D5036" s="62"/>
    </row>
    <row r="5037" spans="3:4" x14ac:dyDescent="0.3">
      <c r="C5037" s="62"/>
      <c r="D5037" s="62"/>
    </row>
    <row r="5038" spans="3:4" x14ac:dyDescent="0.3">
      <c r="C5038" s="62"/>
      <c r="D5038" s="62"/>
    </row>
    <row r="5039" spans="3:4" x14ac:dyDescent="0.3">
      <c r="C5039" s="62"/>
      <c r="D5039" s="62"/>
    </row>
    <row r="5040" spans="3:4" x14ac:dyDescent="0.3">
      <c r="C5040" s="62"/>
      <c r="D5040" s="62"/>
    </row>
    <row r="5041" spans="3:4" x14ac:dyDescent="0.3">
      <c r="C5041" s="62"/>
      <c r="D5041" s="62"/>
    </row>
    <row r="5042" spans="3:4" x14ac:dyDescent="0.3">
      <c r="C5042" s="62"/>
      <c r="D5042" s="62"/>
    </row>
    <row r="5043" spans="3:4" x14ac:dyDescent="0.3">
      <c r="C5043" s="62"/>
      <c r="D5043" s="62"/>
    </row>
    <row r="5044" spans="3:4" x14ac:dyDescent="0.3">
      <c r="C5044" s="62"/>
      <c r="D5044" s="62"/>
    </row>
    <row r="5045" spans="3:4" x14ac:dyDescent="0.3">
      <c r="C5045" s="62"/>
      <c r="D5045" s="62"/>
    </row>
    <row r="5046" spans="3:4" x14ac:dyDescent="0.3">
      <c r="C5046" s="62"/>
      <c r="D5046" s="62"/>
    </row>
    <row r="5047" spans="3:4" x14ac:dyDescent="0.3">
      <c r="C5047" s="62"/>
      <c r="D5047" s="62"/>
    </row>
    <row r="5048" spans="3:4" x14ac:dyDescent="0.3">
      <c r="C5048" s="62"/>
      <c r="D5048" s="62"/>
    </row>
    <row r="5049" spans="3:4" x14ac:dyDescent="0.3">
      <c r="C5049" s="62"/>
      <c r="D5049" s="62"/>
    </row>
    <row r="5050" spans="3:4" x14ac:dyDescent="0.3">
      <c r="C5050" s="62"/>
      <c r="D5050" s="62"/>
    </row>
    <row r="5051" spans="3:4" x14ac:dyDescent="0.3">
      <c r="C5051" s="62"/>
      <c r="D5051" s="62"/>
    </row>
    <row r="5052" spans="3:4" x14ac:dyDescent="0.3">
      <c r="C5052" s="62"/>
      <c r="D5052" s="62"/>
    </row>
    <row r="5053" spans="3:4" x14ac:dyDescent="0.3">
      <c r="C5053" s="62"/>
      <c r="D5053" s="62"/>
    </row>
    <row r="5054" spans="3:4" x14ac:dyDescent="0.3">
      <c r="C5054" s="62"/>
      <c r="D5054" s="62"/>
    </row>
    <row r="5055" spans="3:4" x14ac:dyDescent="0.3">
      <c r="C5055" s="62"/>
      <c r="D5055" s="62"/>
    </row>
    <row r="5056" spans="3:4" x14ac:dyDescent="0.3">
      <c r="C5056" s="62"/>
      <c r="D5056" s="62"/>
    </row>
    <row r="5057" spans="3:4" x14ac:dyDescent="0.3">
      <c r="C5057" s="62"/>
      <c r="D5057" s="62"/>
    </row>
    <row r="5058" spans="3:4" x14ac:dyDescent="0.3">
      <c r="C5058" s="62"/>
      <c r="D5058" s="62"/>
    </row>
    <row r="5059" spans="3:4" x14ac:dyDescent="0.3">
      <c r="C5059" s="62"/>
      <c r="D5059" s="62"/>
    </row>
    <row r="5060" spans="3:4" x14ac:dyDescent="0.3">
      <c r="C5060" s="62"/>
      <c r="D5060" s="62"/>
    </row>
    <row r="5061" spans="3:4" x14ac:dyDescent="0.3">
      <c r="C5061" s="62"/>
      <c r="D5061" s="62"/>
    </row>
    <row r="5062" spans="3:4" x14ac:dyDescent="0.3">
      <c r="C5062" s="62"/>
      <c r="D5062" s="62"/>
    </row>
    <row r="5063" spans="3:4" x14ac:dyDescent="0.3">
      <c r="C5063" s="62"/>
      <c r="D5063" s="62"/>
    </row>
    <row r="5064" spans="3:4" x14ac:dyDescent="0.3">
      <c r="C5064" s="62"/>
      <c r="D5064" s="62"/>
    </row>
    <row r="5065" spans="3:4" x14ac:dyDescent="0.3">
      <c r="C5065" s="62"/>
      <c r="D5065" s="62"/>
    </row>
    <row r="5066" spans="3:4" x14ac:dyDescent="0.3">
      <c r="C5066" s="62"/>
      <c r="D5066" s="62"/>
    </row>
    <row r="5067" spans="3:4" x14ac:dyDescent="0.3">
      <c r="C5067" s="62"/>
      <c r="D5067" s="62"/>
    </row>
    <row r="5068" spans="3:4" x14ac:dyDescent="0.3">
      <c r="C5068" s="62"/>
      <c r="D5068" s="62"/>
    </row>
    <row r="5069" spans="3:4" x14ac:dyDescent="0.3">
      <c r="C5069" s="62"/>
      <c r="D5069" s="62"/>
    </row>
    <row r="5070" spans="3:4" x14ac:dyDescent="0.3">
      <c r="C5070" s="62"/>
      <c r="D5070" s="62"/>
    </row>
    <row r="5071" spans="3:4" x14ac:dyDescent="0.3">
      <c r="C5071" s="62"/>
      <c r="D5071" s="62"/>
    </row>
    <row r="5072" spans="3:4" x14ac:dyDescent="0.3">
      <c r="C5072" s="62"/>
      <c r="D5072" s="62"/>
    </row>
    <row r="5073" spans="3:4" x14ac:dyDescent="0.3">
      <c r="C5073" s="62"/>
      <c r="D5073" s="62"/>
    </row>
    <row r="5074" spans="3:4" x14ac:dyDescent="0.3">
      <c r="C5074" s="62"/>
      <c r="D5074" s="62"/>
    </row>
    <row r="5075" spans="3:4" x14ac:dyDescent="0.3">
      <c r="C5075" s="62"/>
      <c r="D5075" s="62"/>
    </row>
    <row r="5076" spans="3:4" x14ac:dyDescent="0.3">
      <c r="C5076" s="62"/>
      <c r="D5076" s="62"/>
    </row>
    <row r="5077" spans="3:4" x14ac:dyDescent="0.3">
      <c r="C5077" s="62"/>
      <c r="D5077" s="62"/>
    </row>
    <row r="5078" spans="3:4" x14ac:dyDescent="0.3">
      <c r="C5078" s="62"/>
      <c r="D5078" s="62"/>
    </row>
    <row r="5079" spans="3:4" x14ac:dyDescent="0.3">
      <c r="C5079" s="62"/>
      <c r="D5079" s="62"/>
    </row>
    <row r="5080" spans="3:4" x14ac:dyDescent="0.3">
      <c r="C5080" s="62"/>
      <c r="D5080" s="62"/>
    </row>
    <row r="5081" spans="3:4" x14ac:dyDescent="0.3">
      <c r="C5081" s="62"/>
      <c r="D5081" s="62"/>
    </row>
    <row r="5082" spans="3:4" x14ac:dyDescent="0.3">
      <c r="C5082" s="62"/>
      <c r="D5082" s="62"/>
    </row>
    <row r="5083" spans="3:4" x14ac:dyDescent="0.3">
      <c r="C5083" s="62"/>
      <c r="D5083" s="62"/>
    </row>
    <row r="5084" spans="3:4" x14ac:dyDescent="0.3">
      <c r="C5084" s="62"/>
      <c r="D5084" s="62"/>
    </row>
    <row r="5085" spans="3:4" x14ac:dyDescent="0.3">
      <c r="C5085" s="62"/>
      <c r="D5085" s="62"/>
    </row>
    <row r="5086" spans="3:4" x14ac:dyDescent="0.3">
      <c r="C5086" s="62"/>
      <c r="D5086" s="62"/>
    </row>
    <row r="5087" spans="3:4" x14ac:dyDescent="0.3">
      <c r="C5087" s="62"/>
      <c r="D5087" s="62"/>
    </row>
    <row r="5088" spans="3:4" x14ac:dyDescent="0.3">
      <c r="C5088" s="62"/>
      <c r="D5088" s="62"/>
    </row>
    <row r="5089" spans="3:4" x14ac:dyDescent="0.3">
      <c r="C5089" s="62"/>
      <c r="D5089" s="62"/>
    </row>
    <row r="5090" spans="3:4" x14ac:dyDescent="0.3">
      <c r="C5090" s="62"/>
      <c r="D5090" s="62"/>
    </row>
    <row r="5091" spans="3:4" x14ac:dyDescent="0.3">
      <c r="C5091" s="62"/>
      <c r="D5091" s="62"/>
    </row>
    <row r="5092" spans="3:4" x14ac:dyDescent="0.3">
      <c r="C5092" s="62"/>
      <c r="D5092" s="62"/>
    </row>
    <row r="5093" spans="3:4" x14ac:dyDescent="0.3">
      <c r="C5093" s="62"/>
      <c r="D5093" s="62"/>
    </row>
    <row r="5094" spans="3:4" x14ac:dyDescent="0.3">
      <c r="C5094" s="62"/>
      <c r="D5094" s="62"/>
    </row>
    <row r="5095" spans="3:4" x14ac:dyDescent="0.3">
      <c r="C5095" s="62"/>
      <c r="D5095" s="62"/>
    </row>
    <row r="5096" spans="3:4" x14ac:dyDescent="0.3">
      <c r="C5096" s="62"/>
      <c r="D5096" s="62"/>
    </row>
    <row r="5097" spans="3:4" x14ac:dyDescent="0.3">
      <c r="C5097" s="62"/>
      <c r="D5097" s="62"/>
    </row>
    <row r="5098" spans="3:4" x14ac:dyDescent="0.3">
      <c r="C5098" s="62"/>
      <c r="D5098" s="62"/>
    </row>
    <row r="5099" spans="3:4" x14ac:dyDescent="0.3">
      <c r="C5099" s="62"/>
      <c r="D5099" s="62"/>
    </row>
    <row r="5100" spans="3:4" x14ac:dyDescent="0.3">
      <c r="C5100" s="62"/>
      <c r="D5100" s="62"/>
    </row>
    <row r="5101" spans="3:4" x14ac:dyDescent="0.3">
      <c r="C5101" s="62"/>
      <c r="D5101" s="62"/>
    </row>
    <row r="5102" spans="3:4" x14ac:dyDescent="0.3">
      <c r="C5102" s="62"/>
      <c r="D5102" s="62"/>
    </row>
    <row r="5103" spans="3:4" x14ac:dyDescent="0.3">
      <c r="C5103" s="62"/>
      <c r="D5103" s="62"/>
    </row>
    <row r="5104" spans="3:4" x14ac:dyDescent="0.3">
      <c r="C5104" s="62"/>
      <c r="D5104" s="62"/>
    </row>
    <row r="5105" spans="3:4" x14ac:dyDescent="0.3">
      <c r="C5105" s="62"/>
      <c r="D5105" s="62"/>
    </row>
    <row r="5106" spans="3:4" x14ac:dyDescent="0.3">
      <c r="C5106" s="62"/>
      <c r="D5106" s="62"/>
    </row>
    <row r="5107" spans="3:4" x14ac:dyDescent="0.3">
      <c r="C5107" s="62"/>
      <c r="D5107" s="62"/>
    </row>
    <row r="5108" spans="3:4" x14ac:dyDescent="0.3">
      <c r="C5108" s="62"/>
      <c r="D5108" s="62"/>
    </row>
    <row r="5109" spans="3:4" x14ac:dyDescent="0.3">
      <c r="C5109" s="62"/>
      <c r="D5109" s="62"/>
    </row>
    <row r="5110" spans="3:4" x14ac:dyDescent="0.3">
      <c r="C5110" s="62"/>
      <c r="D5110" s="62"/>
    </row>
    <row r="5111" spans="3:4" x14ac:dyDescent="0.3">
      <c r="C5111" s="62"/>
      <c r="D5111" s="62"/>
    </row>
    <row r="5112" spans="3:4" x14ac:dyDescent="0.3">
      <c r="C5112" s="62"/>
      <c r="D5112" s="62"/>
    </row>
    <row r="5113" spans="3:4" x14ac:dyDescent="0.3">
      <c r="C5113" s="62"/>
      <c r="D5113" s="62"/>
    </row>
    <row r="5114" spans="3:4" x14ac:dyDescent="0.3">
      <c r="C5114" s="62"/>
      <c r="D5114" s="62"/>
    </row>
    <row r="5115" spans="3:4" x14ac:dyDescent="0.3">
      <c r="C5115" s="62"/>
      <c r="D5115" s="62"/>
    </row>
    <row r="5116" spans="3:4" x14ac:dyDescent="0.3">
      <c r="C5116" s="62"/>
      <c r="D5116" s="62"/>
    </row>
    <row r="5117" spans="3:4" x14ac:dyDescent="0.3">
      <c r="C5117" s="62"/>
      <c r="D5117" s="62"/>
    </row>
    <row r="5118" spans="3:4" x14ac:dyDescent="0.3">
      <c r="C5118" s="62"/>
      <c r="D5118" s="62"/>
    </row>
    <row r="5119" spans="3:4" x14ac:dyDescent="0.3">
      <c r="C5119" s="62"/>
      <c r="D5119" s="62"/>
    </row>
    <row r="5120" spans="3:4" x14ac:dyDescent="0.3">
      <c r="C5120" s="62"/>
      <c r="D5120" s="62"/>
    </row>
    <row r="5121" spans="3:4" x14ac:dyDescent="0.3">
      <c r="C5121" s="62"/>
      <c r="D5121" s="62"/>
    </row>
    <row r="5122" spans="3:4" x14ac:dyDescent="0.3">
      <c r="C5122" s="62"/>
      <c r="D5122" s="62"/>
    </row>
    <row r="5123" spans="3:4" x14ac:dyDescent="0.3">
      <c r="C5123" s="62"/>
      <c r="D5123" s="62"/>
    </row>
    <row r="5124" spans="3:4" x14ac:dyDescent="0.3">
      <c r="C5124" s="62"/>
      <c r="D5124" s="62"/>
    </row>
    <row r="5125" spans="3:4" x14ac:dyDescent="0.3">
      <c r="C5125" s="62"/>
      <c r="D5125" s="62"/>
    </row>
    <row r="5126" spans="3:4" x14ac:dyDescent="0.3">
      <c r="C5126" s="62"/>
      <c r="D5126" s="62"/>
    </row>
    <row r="5127" spans="3:4" x14ac:dyDescent="0.3">
      <c r="C5127" s="62"/>
      <c r="D5127" s="62"/>
    </row>
    <row r="5128" spans="3:4" x14ac:dyDescent="0.3">
      <c r="C5128" s="62"/>
      <c r="D5128" s="62"/>
    </row>
    <row r="5129" spans="3:4" x14ac:dyDescent="0.3">
      <c r="C5129" s="62"/>
      <c r="D5129" s="62"/>
    </row>
    <row r="5130" spans="3:4" x14ac:dyDescent="0.3">
      <c r="C5130" s="62"/>
      <c r="D5130" s="62"/>
    </row>
    <row r="5131" spans="3:4" x14ac:dyDescent="0.3">
      <c r="C5131" s="62"/>
      <c r="D5131" s="62"/>
    </row>
    <row r="5132" spans="3:4" x14ac:dyDescent="0.3">
      <c r="C5132" s="62"/>
      <c r="D5132" s="62"/>
    </row>
    <row r="5133" spans="3:4" x14ac:dyDescent="0.3">
      <c r="C5133" s="62"/>
      <c r="D5133" s="62"/>
    </row>
    <row r="5134" spans="3:4" x14ac:dyDescent="0.3">
      <c r="C5134" s="62"/>
      <c r="D5134" s="62"/>
    </row>
    <row r="5135" spans="3:4" x14ac:dyDescent="0.3">
      <c r="C5135" s="62"/>
      <c r="D5135" s="62"/>
    </row>
    <row r="5136" spans="3:4" x14ac:dyDescent="0.3">
      <c r="C5136" s="62"/>
      <c r="D5136" s="62"/>
    </row>
    <row r="5137" spans="3:4" x14ac:dyDescent="0.3">
      <c r="C5137" s="62"/>
      <c r="D5137" s="62"/>
    </row>
    <row r="5138" spans="3:4" x14ac:dyDescent="0.3">
      <c r="C5138" s="62"/>
      <c r="D5138" s="62"/>
    </row>
    <row r="5139" spans="3:4" x14ac:dyDescent="0.3">
      <c r="C5139" s="62"/>
      <c r="D5139" s="62"/>
    </row>
    <row r="5140" spans="3:4" x14ac:dyDescent="0.3">
      <c r="C5140" s="62"/>
      <c r="D5140" s="62"/>
    </row>
    <row r="5141" spans="3:4" x14ac:dyDescent="0.3">
      <c r="C5141" s="62"/>
      <c r="D5141" s="62"/>
    </row>
    <row r="5142" spans="3:4" x14ac:dyDescent="0.3">
      <c r="C5142" s="62"/>
      <c r="D5142" s="62"/>
    </row>
    <row r="5143" spans="3:4" x14ac:dyDescent="0.3">
      <c r="C5143" s="62"/>
      <c r="D5143" s="62"/>
    </row>
    <row r="5144" spans="3:4" x14ac:dyDescent="0.3">
      <c r="C5144" s="62"/>
      <c r="D5144" s="62"/>
    </row>
    <row r="5145" spans="3:4" x14ac:dyDescent="0.3">
      <c r="C5145" s="62"/>
      <c r="D5145" s="62"/>
    </row>
    <row r="5146" spans="3:4" x14ac:dyDescent="0.3">
      <c r="C5146" s="62"/>
      <c r="D5146" s="62"/>
    </row>
    <row r="5147" spans="3:4" x14ac:dyDescent="0.3">
      <c r="C5147" s="62"/>
      <c r="D5147" s="62"/>
    </row>
    <row r="5148" spans="3:4" x14ac:dyDescent="0.3">
      <c r="C5148" s="62"/>
      <c r="D5148" s="62"/>
    </row>
    <row r="5149" spans="3:4" x14ac:dyDescent="0.3">
      <c r="C5149" s="62"/>
      <c r="D5149" s="62"/>
    </row>
    <row r="5150" spans="3:4" x14ac:dyDescent="0.3">
      <c r="C5150" s="62"/>
      <c r="D5150" s="62"/>
    </row>
    <row r="5151" spans="3:4" x14ac:dyDescent="0.3">
      <c r="C5151" s="62"/>
      <c r="D5151" s="62"/>
    </row>
    <row r="5152" spans="3:4" x14ac:dyDescent="0.3">
      <c r="C5152" s="62"/>
      <c r="D5152" s="62"/>
    </row>
    <row r="5153" spans="3:4" x14ac:dyDescent="0.3">
      <c r="C5153" s="62"/>
      <c r="D5153" s="62"/>
    </row>
    <row r="5154" spans="3:4" x14ac:dyDescent="0.3">
      <c r="C5154" s="62"/>
      <c r="D5154" s="62"/>
    </row>
    <row r="5155" spans="3:4" x14ac:dyDescent="0.3">
      <c r="C5155" s="62"/>
      <c r="D5155" s="62"/>
    </row>
    <row r="5156" spans="3:4" x14ac:dyDescent="0.3">
      <c r="C5156" s="62"/>
      <c r="D5156" s="62"/>
    </row>
    <row r="5157" spans="3:4" x14ac:dyDescent="0.3">
      <c r="C5157" s="62"/>
      <c r="D5157" s="62"/>
    </row>
    <row r="5158" spans="3:4" x14ac:dyDescent="0.3">
      <c r="C5158" s="62"/>
      <c r="D5158" s="62"/>
    </row>
    <row r="5159" spans="3:4" x14ac:dyDescent="0.3">
      <c r="C5159" s="62"/>
      <c r="D5159" s="62"/>
    </row>
    <row r="5160" spans="3:4" x14ac:dyDescent="0.3">
      <c r="C5160" s="62"/>
      <c r="D5160" s="62"/>
    </row>
    <row r="5161" spans="3:4" x14ac:dyDescent="0.3">
      <c r="C5161" s="62"/>
      <c r="D5161" s="62"/>
    </row>
    <row r="5162" spans="3:4" x14ac:dyDescent="0.3">
      <c r="C5162" s="62"/>
      <c r="D5162" s="62"/>
    </row>
    <row r="5163" spans="3:4" x14ac:dyDescent="0.3">
      <c r="C5163" s="62"/>
      <c r="D5163" s="62"/>
    </row>
    <row r="5164" spans="3:4" x14ac:dyDescent="0.3">
      <c r="C5164" s="62"/>
      <c r="D5164" s="62"/>
    </row>
    <row r="5165" spans="3:4" x14ac:dyDescent="0.3">
      <c r="C5165" s="62"/>
      <c r="D5165" s="62"/>
    </row>
    <row r="5166" spans="3:4" x14ac:dyDescent="0.3">
      <c r="C5166" s="62"/>
      <c r="D5166" s="62"/>
    </row>
    <row r="5167" spans="3:4" x14ac:dyDescent="0.3">
      <c r="C5167" s="62"/>
      <c r="D5167" s="62"/>
    </row>
    <row r="5168" spans="3:4" x14ac:dyDescent="0.3">
      <c r="C5168" s="62"/>
      <c r="D5168" s="62"/>
    </row>
    <row r="5169" spans="3:4" x14ac:dyDescent="0.3">
      <c r="C5169" s="62"/>
      <c r="D5169" s="62"/>
    </row>
    <row r="5170" spans="3:4" x14ac:dyDescent="0.3">
      <c r="C5170" s="62"/>
      <c r="D5170" s="62"/>
    </row>
    <row r="5171" spans="3:4" x14ac:dyDescent="0.3">
      <c r="C5171" s="62"/>
      <c r="D5171" s="62"/>
    </row>
    <row r="5172" spans="3:4" x14ac:dyDescent="0.3">
      <c r="C5172" s="62"/>
      <c r="D5172" s="62"/>
    </row>
    <row r="5173" spans="3:4" x14ac:dyDescent="0.3">
      <c r="C5173" s="62"/>
      <c r="D5173" s="62"/>
    </row>
    <row r="5174" spans="3:4" x14ac:dyDescent="0.3">
      <c r="C5174" s="62"/>
      <c r="D5174" s="62"/>
    </row>
    <row r="5175" spans="3:4" x14ac:dyDescent="0.3">
      <c r="C5175" s="62"/>
      <c r="D5175" s="62"/>
    </row>
    <row r="5176" spans="3:4" x14ac:dyDescent="0.3">
      <c r="C5176" s="62"/>
      <c r="D5176" s="62"/>
    </row>
    <row r="5177" spans="3:4" x14ac:dyDescent="0.3">
      <c r="C5177" s="62"/>
      <c r="D5177" s="62"/>
    </row>
    <row r="5178" spans="3:4" x14ac:dyDescent="0.3">
      <c r="C5178" s="62"/>
      <c r="D5178" s="62"/>
    </row>
    <row r="5179" spans="3:4" x14ac:dyDescent="0.3">
      <c r="C5179" s="62"/>
      <c r="D5179" s="62"/>
    </row>
    <row r="5180" spans="3:4" x14ac:dyDescent="0.3">
      <c r="C5180" s="62"/>
      <c r="D5180" s="62"/>
    </row>
    <row r="5181" spans="3:4" x14ac:dyDescent="0.3">
      <c r="C5181" s="62"/>
      <c r="D5181" s="62"/>
    </row>
    <row r="5182" spans="3:4" x14ac:dyDescent="0.3">
      <c r="C5182" s="62"/>
      <c r="D5182" s="62"/>
    </row>
    <row r="5183" spans="3:4" x14ac:dyDescent="0.3">
      <c r="C5183" s="62"/>
      <c r="D5183" s="62"/>
    </row>
    <row r="5184" spans="3:4" x14ac:dyDescent="0.3">
      <c r="C5184" s="62"/>
      <c r="D5184" s="62"/>
    </row>
    <row r="5185" spans="3:4" x14ac:dyDescent="0.3">
      <c r="C5185" s="62"/>
      <c r="D5185" s="62"/>
    </row>
    <row r="5186" spans="3:4" x14ac:dyDescent="0.3">
      <c r="C5186" s="62"/>
      <c r="D5186" s="62"/>
    </row>
    <row r="5187" spans="3:4" x14ac:dyDescent="0.3">
      <c r="C5187" s="62"/>
      <c r="D5187" s="62"/>
    </row>
    <row r="5188" spans="3:4" x14ac:dyDescent="0.3">
      <c r="C5188" s="62"/>
      <c r="D5188" s="62"/>
    </row>
    <row r="5189" spans="3:4" x14ac:dyDescent="0.3">
      <c r="C5189" s="62"/>
      <c r="D5189" s="62"/>
    </row>
    <row r="5190" spans="3:4" x14ac:dyDescent="0.3">
      <c r="C5190" s="62"/>
      <c r="D5190" s="62"/>
    </row>
    <row r="5191" spans="3:4" x14ac:dyDescent="0.3">
      <c r="C5191" s="62"/>
      <c r="D5191" s="62"/>
    </row>
    <row r="5192" spans="3:4" x14ac:dyDescent="0.3">
      <c r="C5192" s="62"/>
      <c r="D5192" s="62"/>
    </row>
    <row r="5193" spans="3:4" x14ac:dyDescent="0.3">
      <c r="C5193" s="62"/>
      <c r="D5193" s="62"/>
    </row>
    <row r="5194" spans="3:4" x14ac:dyDescent="0.3">
      <c r="C5194" s="62"/>
      <c r="D5194" s="62"/>
    </row>
    <row r="5195" spans="3:4" x14ac:dyDescent="0.3">
      <c r="C5195" s="62"/>
      <c r="D5195" s="62"/>
    </row>
    <row r="5196" spans="3:4" x14ac:dyDescent="0.3">
      <c r="C5196" s="62"/>
      <c r="D5196" s="62"/>
    </row>
    <row r="5197" spans="3:4" x14ac:dyDescent="0.3">
      <c r="C5197" s="62"/>
      <c r="D5197" s="62"/>
    </row>
    <row r="5198" spans="3:4" x14ac:dyDescent="0.3">
      <c r="C5198" s="62"/>
      <c r="D5198" s="62"/>
    </row>
    <row r="5199" spans="3:4" x14ac:dyDescent="0.3">
      <c r="C5199" s="62"/>
      <c r="D5199" s="62"/>
    </row>
    <row r="5200" spans="3:4" x14ac:dyDescent="0.3">
      <c r="C5200" s="62"/>
      <c r="D5200" s="62"/>
    </row>
    <row r="5201" spans="3:4" x14ac:dyDescent="0.3">
      <c r="C5201" s="62"/>
      <c r="D5201" s="62"/>
    </row>
    <row r="5202" spans="3:4" x14ac:dyDescent="0.3">
      <c r="C5202" s="62"/>
      <c r="D5202" s="62"/>
    </row>
    <row r="5203" spans="3:4" x14ac:dyDescent="0.3">
      <c r="C5203" s="62"/>
      <c r="D5203" s="62"/>
    </row>
    <row r="5204" spans="3:4" x14ac:dyDescent="0.3">
      <c r="C5204" s="62"/>
      <c r="D5204" s="62"/>
    </row>
    <row r="5205" spans="3:4" x14ac:dyDescent="0.3">
      <c r="C5205" s="62"/>
      <c r="D5205" s="62"/>
    </row>
    <row r="5206" spans="3:4" x14ac:dyDescent="0.3">
      <c r="C5206" s="62"/>
      <c r="D5206" s="62"/>
    </row>
    <row r="5207" spans="3:4" x14ac:dyDescent="0.3">
      <c r="C5207" s="62"/>
      <c r="D5207" s="62"/>
    </row>
    <row r="5208" spans="3:4" x14ac:dyDescent="0.3">
      <c r="C5208" s="62"/>
      <c r="D5208" s="62"/>
    </row>
    <row r="5209" spans="3:4" x14ac:dyDescent="0.3">
      <c r="C5209" s="62"/>
      <c r="D5209" s="62"/>
    </row>
    <row r="5210" spans="3:4" x14ac:dyDescent="0.3">
      <c r="C5210" s="62"/>
      <c r="D5210" s="62"/>
    </row>
    <row r="5211" spans="3:4" x14ac:dyDescent="0.3">
      <c r="C5211" s="62"/>
      <c r="D5211" s="62"/>
    </row>
    <row r="5212" spans="3:4" x14ac:dyDescent="0.3">
      <c r="C5212" s="62"/>
      <c r="D5212" s="62"/>
    </row>
    <row r="5213" spans="3:4" x14ac:dyDescent="0.3">
      <c r="C5213" s="62"/>
      <c r="D5213" s="62"/>
    </row>
    <row r="5214" spans="3:4" x14ac:dyDescent="0.3">
      <c r="C5214" s="62"/>
      <c r="D5214" s="62"/>
    </row>
    <row r="5215" spans="3:4" x14ac:dyDescent="0.3">
      <c r="C5215" s="62"/>
      <c r="D5215" s="62"/>
    </row>
    <row r="5216" spans="3:4" x14ac:dyDescent="0.3">
      <c r="C5216" s="62"/>
      <c r="D5216" s="62"/>
    </row>
    <row r="5217" spans="3:4" x14ac:dyDescent="0.3">
      <c r="C5217" s="62"/>
      <c r="D5217" s="62"/>
    </row>
    <row r="5218" spans="3:4" x14ac:dyDescent="0.3">
      <c r="C5218" s="62"/>
      <c r="D5218" s="62"/>
    </row>
    <row r="5219" spans="3:4" x14ac:dyDescent="0.3">
      <c r="C5219" s="62"/>
      <c r="D5219" s="62"/>
    </row>
    <row r="5220" spans="3:4" x14ac:dyDescent="0.3">
      <c r="C5220" s="62"/>
      <c r="D5220" s="62"/>
    </row>
    <row r="5221" spans="3:4" x14ac:dyDescent="0.3">
      <c r="C5221" s="62"/>
      <c r="D5221" s="62"/>
    </row>
    <row r="5222" spans="3:4" x14ac:dyDescent="0.3">
      <c r="C5222" s="62"/>
      <c r="D5222" s="62"/>
    </row>
    <row r="5223" spans="3:4" x14ac:dyDescent="0.3">
      <c r="C5223" s="62"/>
      <c r="D5223" s="62"/>
    </row>
    <row r="5224" spans="3:4" x14ac:dyDescent="0.3">
      <c r="C5224" s="62"/>
      <c r="D5224" s="62"/>
    </row>
    <row r="5225" spans="3:4" x14ac:dyDescent="0.3">
      <c r="C5225" s="62"/>
      <c r="D5225" s="62"/>
    </row>
    <row r="5226" spans="3:4" x14ac:dyDescent="0.3">
      <c r="C5226" s="62"/>
      <c r="D5226" s="62"/>
    </row>
    <row r="5227" spans="3:4" x14ac:dyDescent="0.3">
      <c r="C5227" s="62"/>
      <c r="D5227" s="62"/>
    </row>
    <row r="5228" spans="3:4" x14ac:dyDescent="0.3">
      <c r="C5228" s="62"/>
      <c r="D5228" s="62"/>
    </row>
    <row r="5229" spans="3:4" x14ac:dyDescent="0.3">
      <c r="C5229" s="62"/>
      <c r="D5229" s="62"/>
    </row>
    <row r="5230" spans="3:4" x14ac:dyDescent="0.3">
      <c r="C5230" s="62"/>
      <c r="D5230" s="62"/>
    </row>
    <row r="5231" spans="3:4" x14ac:dyDescent="0.3">
      <c r="C5231" s="62"/>
      <c r="D5231" s="62"/>
    </row>
    <row r="5232" spans="3:4" x14ac:dyDescent="0.3">
      <c r="C5232" s="62"/>
      <c r="D5232" s="62"/>
    </row>
    <row r="5233" spans="3:4" x14ac:dyDescent="0.3">
      <c r="C5233" s="62"/>
      <c r="D5233" s="62"/>
    </row>
    <row r="5234" spans="3:4" x14ac:dyDescent="0.3">
      <c r="C5234" s="62"/>
      <c r="D5234" s="62"/>
    </row>
    <row r="5235" spans="3:4" x14ac:dyDescent="0.3">
      <c r="C5235" s="62"/>
      <c r="D5235" s="62"/>
    </row>
    <row r="5236" spans="3:4" x14ac:dyDescent="0.3">
      <c r="C5236" s="62"/>
      <c r="D5236" s="62"/>
    </row>
    <row r="5237" spans="3:4" x14ac:dyDescent="0.3">
      <c r="C5237" s="62"/>
      <c r="D5237" s="62"/>
    </row>
    <row r="5238" spans="3:4" x14ac:dyDescent="0.3">
      <c r="C5238" s="62"/>
      <c r="D5238" s="62"/>
    </row>
    <row r="5239" spans="3:4" x14ac:dyDescent="0.3">
      <c r="C5239" s="62"/>
      <c r="D5239" s="62"/>
    </row>
    <row r="5240" spans="3:4" x14ac:dyDescent="0.3">
      <c r="C5240" s="62"/>
      <c r="D5240" s="62"/>
    </row>
    <row r="5241" spans="3:4" x14ac:dyDescent="0.3">
      <c r="C5241" s="62"/>
      <c r="D5241" s="62"/>
    </row>
    <row r="5242" spans="3:4" x14ac:dyDescent="0.3">
      <c r="C5242" s="62"/>
      <c r="D5242" s="62"/>
    </row>
    <row r="5243" spans="3:4" x14ac:dyDescent="0.3">
      <c r="C5243" s="62"/>
      <c r="D5243" s="62"/>
    </row>
    <row r="5244" spans="3:4" x14ac:dyDescent="0.3">
      <c r="C5244" s="62"/>
      <c r="D5244" s="62"/>
    </row>
    <row r="5245" spans="3:4" x14ac:dyDescent="0.3">
      <c r="C5245" s="62"/>
      <c r="D5245" s="62"/>
    </row>
    <row r="5246" spans="3:4" x14ac:dyDescent="0.3">
      <c r="C5246" s="62"/>
      <c r="D5246" s="62"/>
    </row>
    <row r="5247" spans="3:4" x14ac:dyDescent="0.3">
      <c r="C5247" s="62"/>
      <c r="D5247" s="62"/>
    </row>
    <row r="5248" spans="3:4" x14ac:dyDescent="0.3">
      <c r="C5248" s="62"/>
      <c r="D5248" s="62"/>
    </row>
    <row r="5249" spans="3:4" x14ac:dyDescent="0.3">
      <c r="C5249" s="62"/>
      <c r="D5249" s="62"/>
    </row>
    <row r="5250" spans="3:4" x14ac:dyDescent="0.3">
      <c r="C5250" s="62"/>
      <c r="D5250" s="62"/>
    </row>
    <row r="5251" spans="3:4" x14ac:dyDescent="0.3">
      <c r="C5251" s="62"/>
      <c r="D5251" s="62"/>
    </row>
    <row r="5252" spans="3:4" x14ac:dyDescent="0.3">
      <c r="C5252" s="62"/>
      <c r="D5252" s="62"/>
    </row>
    <row r="5253" spans="3:4" x14ac:dyDescent="0.3">
      <c r="C5253" s="62"/>
      <c r="D5253" s="62"/>
    </row>
    <row r="5254" spans="3:4" x14ac:dyDescent="0.3">
      <c r="C5254" s="62"/>
      <c r="D5254" s="62"/>
    </row>
    <row r="5255" spans="3:4" x14ac:dyDescent="0.3">
      <c r="C5255" s="62"/>
      <c r="D5255" s="62"/>
    </row>
    <row r="5256" spans="3:4" x14ac:dyDescent="0.3">
      <c r="C5256" s="62"/>
      <c r="D5256" s="62"/>
    </row>
    <row r="5257" spans="3:4" x14ac:dyDescent="0.3">
      <c r="C5257" s="62"/>
      <c r="D5257" s="62"/>
    </row>
    <row r="5258" spans="3:4" x14ac:dyDescent="0.3">
      <c r="C5258" s="62"/>
      <c r="D5258" s="62"/>
    </row>
    <row r="5259" spans="3:4" x14ac:dyDescent="0.3">
      <c r="C5259" s="62"/>
      <c r="D5259" s="62"/>
    </row>
    <row r="5260" spans="3:4" x14ac:dyDescent="0.3">
      <c r="C5260" s="62"/>
      <c r="D5260" s="62"/>
    </row>
    <row r="5261" spans="3:4" x14ac:dyDescent="0.3">
      <c r="C5261" s="62"/>
      <c r="D5261" s="62"/>
    </row>
    <row r="5262" spans="3:4" x14ac:dyDescent="0.3">
      <c r="C5262" s="62"/>
      <c r="D5262" s="62"/>
    </row>
    <row r="5263" spans="3:4" x14ac:dyDescent="0.3">
      <c r="C5263" s="62"/>
      <c r="D5263" s="62"/>
    </row>
    <row r="5264" spans="3:4" x14ac:dyDescent="0.3">
      <c r="C5264" s="62"/>
      <c r="D5264" s="62"/>
    </row>
    <row r="5265" spans="3:4" x14ac:dyDescent="0.3">
      <c r="C5265" s="62"/>
      <c r="D5265" s="62"/>
    </row>
    <row r="5266" spans="3:4" x14ac:dyDescent="0.3">
      <c r="C5266" s="62"/>
      <c r="D5266" s="62"/>
    </row>
    <row r="5267" spans="3:4" x14ac:dyDescent="0.3">
      <c r="C5267" s="62"/>
      <c r="D5267" s="62"/>
    </row>
    <row r="5268" spans="3:4" x14ac:dyDescent="0.3">
      <c r="C5268" s="62"/>
      <c r="D5268" s="62"/>
    </row>
    <row r="5269" spans="3:4" x14ac:dyDescent="0.3">
      <c r="C5269" s="62"/>
      <c r="D5269" s="62"/>
    </row>
    <row r="5270" spans="3:4" x14ac:dyDescent="0.3">
      <c r="C5270" s="62"/>
      <c r="D5270" s="62"/>
    </row>
    <row r="5271" spans="3:4" x14ac:dyDescent="0.3">
      <c r="C5271" s="62"/>
      <c r="D5271" s="62"/>
    </row>
    <row r="5272" spans="3:4" x14ac:dyDescent="0.3">
      <c r="C5272" s="62"/>
      <c r="D5272" s="62"/>
    </row>
    <row r="5273" spans="3:4" x14ac:dyDescent="0.3">
      <c r="C5273" s="62"/>
      <c r="D5273" s="62"/>
    </row>
    <row r="5274" spans="3:4" x14ac:dyDescent="0.3">
      <c r="C5274" s="62"/>
      <c r="D5274" s="62"/>
    </row>
    <row r="5275" spans="3:4" x14ac:dyDescent="0.3">
      <c r="C5275" s="62"/>
      <c r="D5275" s="62"/>
    </row>
    <row r="5276" spans="3:4" x14ac:dyDescent="0.3">
      <c r="C5276" s="62"/>
      <c r="D5276" s="62"/>
    </row>
    <row r="5277" spans="3:4" x14ac:dyDescent="0.3">
      <c r="C5277" s="62"/>
      <c r="D5277" s="62"/>
    </row>
    <row r="5278" spans="3:4" x14ac:dyDescent="0.3">
      <c r="C5278" s="62"/>
      <c r="D5278" s="62"/>
    </row>
    <row r="5279" spans="3:4" x14ac:dyDescent="0.3">
      <c r="C5279" s="62"/>
      <c r="D5279" s="62"/>
    </row>
    <row r="5280" spans="3:4" x14ac:dyDescent="0.3">
      <c r="C5280" s="62"/>
      <c r="D5280" s="62"/>
    </row>
    <row r="5281" spans="3:4" x14ac:dyDescent="0.3">
      <c r="C5281" s="62"/>
      <c r="D5281" s="62"/>
    </row>
    <row r="5282" spans="3:4" x14ac:dyDescent="0.3">
      <c r="C5282" s="62"/>
      <c r="D5282" s="62"/>
    </row>
    <row r="5283" spans="3:4" x14ac:dyDescent="0.3">
      <c r="C5283" s="62"/>
      <c r="D5283" s="62"/>
    </row>
    <row r="5284" spans="3:4" x14ac:dyDescent="0.3">
      <c r="C5284" s="62"/>
      <c r="D5284" s="62"/>
    </row>
    <row r="5285" spans="3:4" x14ac:dyDescent="0.3">
      <c r="C5285" s="62"/>
      <c r="D5285" s="62"/>
    </row>
    <row r="5286" spans="3:4" x14ac:dyDescent="0.3">
      <c r="C5286" s="62"/>
      <c r="D5286" s="62"/>
    </row>
    <row r="5287" spans="3:4" x14ac:dyDescent="0.3">
      <c r="C5287" s="62"/>
      <c r="D5287" s="62"/>
    </row>
    <row r="5288" spans="3:4" x14ac:dyDescent="0.3">
      <c r="C5288" s="62"/>
      <c r="D5288" s="62"/>
    </row>
    <row r="5289" spans="3:4" x14ac:dyDescent="0.3">
      <c r="C5289" s="62"/>
      <c r="D5289" s="62"/>
    </row>
    <row r="5290" spans="3:4" x14ac:dyDescent="0.3">
      <c r="C5290" s="62"/>
      <c r="D5290" s="62"/>
    </row>
    <row r="5291" spans="3:4" x14ac:dyDescent="0.3">
      <c r="C5291" s="62"/>
      <c r="D5291" s="62"/>
    </row>
    <row r="5292" spans="3:4" x14ac:dyDescent="0.3">
      <c r="C5292" s="62"/>
      <c r="D5292" s="62"/>
    </row>
    <row r="5293" spans="3:4" x14ac:dyDescent="0.3">
      <c r="C5293" s="62"/>
      <c r="D5293" s="62"/>
    </row>
    <row r="5294" spans="3:4" x14ac:dyDescent="0.3">
      <c r="C5294" s="62"/>
      <c r="D5294" s="62"/>
    </row>
    <row r="5295" spans="3:4" x14ac:dyDescent="0.3">
      <c r="C5295" s="62"/>
      <c r="D5295" s="62"/>
    </row>
    <row r="5296" spans="3:4" x14ac:dyDescent="0.3">
      <c r="C5296" s="62"/>
      <c r="D5296" s="62"/>
    </row>
    <row r="5297" spans="3:4" x14ac:dyDescent="0.3">
      <c r="C5297" s="62"/>
      <c r="D5297" s="62"/>
    </row>
    <row r="5298" spans="3:4" x14ac:dyDescent="0.3">
      <c r="C5298" s="62"/>
      <c r="D5298" s="62"/>
    </row>
    <row r="5299" spans="3:4" x14ac:dyDescent="0.3">
      <c r="C5299" s="62"/>
      <c r="D5299" s="62"/>
    </row>
    <row r="5300" spans="3:4" x14ac:dyDescent="0.3">
      <c r="C5300" s="62"/>
      <c r="D5300" s="62"/>
    </row>
    <row r="5301" spans="3:4" x14ac:dyDescent="0.3">
      <c r="C5301" s="62"/>
      <c r="D5301" s="62"/>
    </row>
    <row r="5302" spans="3:4" x14ac:dyDescent="0.3">
      <c r="C5302" s="62"/>
      <c r="D5302" s="62"/>
    </row>
    <row r="5303" spans="3:4" x14ac:dyDescent="0.3">
      <c r="C5303" s="62"/>
      <c r="D5303" s="62"/>
    </row>
    <row r="5304" spans="3:4" x14ac:dyDescent="0.3">
      <c r="C5304" s="62"/>
      <c r="D5304" s="62"/>
    </row>
    <row r="5305" spans="3:4" x14ac:dyDescent="0.3">
      <c r="C5305" s="62"/>
      <c r="D5305" s="62"/>
    </row>
    <row r="5306" spans="3:4" x14ac:dyDescent="0.3">
      <c r="C5306" s="62"/>
      <c r="D5306" s="62"/>
    </row>
    <row r="5307" spans="3:4" x14ac:dyDescent="0.3">
      <c r="C5307" s="62"/>
      <c r="D5307" s="62"/>
    </row>
    <row r="5308" spans="3:4" x14ac:dyDescent="0.3">
      <c r="C5308" s="62"/>
      <c r="D5308" s="62"/>
    </row>
    <row r="5309" spans="3:4" x14ac:dyDescent="0.3">
      <c r="C5309" s="62"/>
      <c r="D5309" s="62"/>
    </row>
    <row r="5310" spans="3:4" x14ac:dyDescent="0.3">
      <c r="C5310" s="62"/>
      <c r="D5310" s="62"/>
    </row>
    <row r="5311" spans="3:4" x14ac:dyDescent="0.3">
      <c r="C5311" s="62"/>
      <c r="D5311" s="62"/>
    </row>
    <row r="5312" spans="3:4" x14ac:dyDescent="0.3">
      <c r="C5312" s="62"/>
      <c r="D5312" s="62"/>
    </row>
    <row r="5313" spans="3:4" x14ac:dyDescent="0.3">
      <c r="C5313" s="62"/>
      <c r="D5313" s="62"/>
    </row>
    <row r="5314" spans="3:4" x14ac:dyDescent="0.3">
      <c r="C5314" s="62"/>
      <c r="D5314" s="62"/>
    </row>
    <row r="5315" spans="3:4" x14ac:dyDescent="0.3">
      <c r="C5315" s="62"/>
      <c r="D5315" s="62"/>
    </row>
    <row r="5316" spans="3:4" x14ac:dyDescent="0.3">
      <c r="C5316" s="62"/>
      <c r="D5316" s="62"/>
    </row>
    <row r="5317" spans="3:4" x14ac:dyDescent="0.3">
      <c r="C5317" s="62"/>
      <c r="D5317" s="62"/>
    </row>
    <row r="5318" spans="3:4" x14ac:dyDescent="0.3">
      <c r="C5318" s="62"/>
      <c r="D5318" s="62"/>
    </row>
    <row r="5319" spans="3:4" x14ac:dyDescent="0.3">
      <c r="C5319" s="62"/>
      <c r="D5319" s="62"/>
    </row>
    <row r="5320" spans="3:4" x14ac:dyDescent="0.3">
      <c r="C5320" s="62"/>
      <c r="D5320" s="62"/>
    </row>
    <row r="5321" spans="3:4" x14ac:dyDescent="0.3">
      <c r="C5321" s="62"/>
      <c r="D5321" s="62"/>
    </row>
    <row r="5322" spans="3:4" x14ac:dyDescent="0.3">
      <c r="C5322" s="62"/>
      <c r="D5322" s="62"/>
    </row>
    <row r="5323" spans="3:4" x14ac:dyDescent="0.3">
      <c r="C5323" s="62"/>
      <c r="D5323" s="62"/>
    </row>
    <row r="5324" spans="3:4" x14ac:dyDescent="0.3">
      <c r="C5324" s="62"/>
      <c r="D5324" s="62"/>
    </row>
    <row r="5325" spans="3:4" x14ac:dyDescent="0.3">
      <c r="C5325" s="62"/>
      <c r="D5325" s="62"/>
    </row>
    <row r="5326" spans="3:4" x14ac:dyDescent="0.3">
      <c r="C5326" s="62"/>
      <c r="D5326" s="62"/>
    </row>
    <row r="5327" spans="3:4" x14ac:dyDescent="0.3">
      <c r="C5327" s="62"/>
      <c r="D5327" s="62"/>
    </row>
    <row r="5328" spans="3:4" x14ac:dyDescent="0.3">
      <c r="C5328" s="62"/>
      <c r="D5328" s="62"/>
    </row>
    <row r="5329" spans="3:4" x14ac:dyDescent="0.3">
      <c r="C5329" s="62"/>
      <c r="D5329" s="62"/>
    </row>
    <row r="5330" spans="3:4" x14ac:dyDescent="0.3">
      <c r="C5330" s="62"/>
      <c r="D5330" s="62"/>
    </row>
    <row r="5331" spans="3:4" x14ac:dyDescent="0.3">
      <c r="C5331" s="62"/>
      <c r="D5331" s="62"/>
    </row>
    <row r="5332" spans="3:4" x14ac:dyDescent="0.3">
      <c r="C5332" s="62"/>
      <c r="D5332" s="62"/>
    </row>
    <row r="5333" spans="3:4" x14ac:dyDescent="0.3">
      <c r="C5333" s="62"/>
      <c r="D5333" s="62"/>
    </row>
    <row r="5334" spans="3:4" x14ac:dyDescent="0.3">
      <c r="C5334" s="62"/>
      <c r="D5334" s="62"/>
    </row>
    <row r="5335" spans="3:4" x14ac:dyDescent="0.3">
      <c r="C5335" s="62"/>
      <c r="D5335" s="62"/>
    </row>
    <row r="5336" spans="3:4" x14ac:dyDescent="0.3">
      <c r="C5336" s="62"/>
      <c r="D5336" s="62"/>
    </row>
    <row r="5337" spans="3:4" x14ac:dyDescent="0.3">
      <c r="C5337" s="62"/>
      <c r="D5337" s="62"/>
    </row>
    <row r="5338" spans="3:4" x14ac:dyDescent="0.3">
      <c r="C5338" s="62"/>
      <c r="D5338" s="62"/>
    </row>
    <row r="5339" spans="3:4" x14ac:dyDescent="0.3">
      <c r="C5339" s="62"/>
      <c r="D5339" s="62"/>
    </row>
    <row r="5340" spans="3:4" x14ac:dyDescent="0.3">
      <c r="C5340" s="62"/>
      <c r="D5340" s="62"/>
    </row>
    <row r="5341" spans="3:4" x14ac:dyDescent="0.3">
      <c r="C5341" s="62"/>
      <c r="D5341" s="62"/>
    </row>
    <row r="5342" spans="3:4" x14ac:dyDescent="0.3">
      <c r="C5342" s="62"/>
      <c r="D5342" s="62"/>
    </row>
    <row r="5343" spans="3:4" x14ac:dyDescent="0.3">
      <c r="C5343" s="62"/>
      <c r="D5343" s="62"/>
    </row>
    <row r="5344" spans="3:4" x14ac:dyDescent="0.3">
      <c r="C5344" s="62"/>
      <c r="D5344" s="62"/>
    </row>
    <row r="5345" spans="3:4" x14ac:dyDescent="0.3">
      <c r="C5345" s="62"/>
      <c r="D5345" s="62"/>
    </row>
    <row r="5346" spans="3:4" x14ac:dyDescent="0.3">
      <c r="C5346" s="62"/>
      <c r="D5346" s="62"/>
    </row>
    <row r="5347" spans="3:4" x14ac:dyDescent="0.3">
      <c r="C5347" s="62"/>
      <c r="D5347" s="62"/>
    </row>
    <row r="5348" spans="3:4" x14ac:dyDescent="0.3">
      <c r="C5348" s="62"/>
      <c r="D5348" s="62"/>
    </row>
    <row r="5349" spans="3:4" x14ac:dyDescent="0.3">
      <c r="C5349" s="62"/>
      <c r="D5349" s="62"/>
    </row>
    <row r="5350" spans="3:4" x14ac:dyDescent="0.3">
      <c r="C5350" s="62"/>
      <c r="D5350" s="62"/>
    </row>
    <row r="5351" spans="3:4" x14ac:dyDescent="0.3">
      <c r="C5351" s="62"/>
      <c r="D5351" s="62"/>
    </row>
    <row r="5352" spans="3:4" x14ac:dyDescent="0.3">
      <c r="C5352" s="62"/>
      <c r="D5352" s="62"/>
    </row>
    <row r="5353" spans="3:4" x14ac:dyDescent="0.3">
      <c r="C5353" s="62"/>
      <c r="D5353" s="62"/>
    </row>
    <row r="5354" spans="3:4" x14ac:dyDescent="0.3">
      <c r="C5354" s="62"/>
      <c r="D5354" s="62"/>
    </row>
    <row r="5355" spans="3:4" x14ac:dyDescent="0.3">
      <c r="C5355" s="62"/>
      <c r="D5355" s="62"/>
    </row>
    <row r="5356" spans="3:4" x14ac:dyDescent="0.3">
      <c r="C5356" s="62"/>
      <c r="D5356" s="62"/>
    </row>
    <row r="5357" spans="3:4" x14ac:dyDescent="0.3">
      <c r="C5357" s="62"/>
      <c r="D5357" s="62"/>
    </row>
    <row r="5358" spans="3:4" x14ac:dyDescent="0.3">
      <c r="C5358" s="62"/>
      <c r="D5358" s="62"/>
    </row>
    <row r="5359" spans="3:4" x14ac:dyDescent="0.3">
      <c r="C5359" s="62"/>
      <c r="D5359" s="62"/>
    </row>
    <row r="5360" spans="3:4" x14ac:dyDescent="0.3">
      <c r="C5360" s="62"/>
      <c r="D5360" s="62"/>
    </row>
    <row r="5361" spans="3:4" x14ac:dyDescent="0.3">
      <c r="C5361" s="62"/>
      <c r="D5361" s="62"/>
    </row>
    <row r="5362" spans="3:4" x14ac:dyDescent="0.3">
      <c r="C5362" s="62"/>
      <c r="D5362" s="62"/>
    </row>
    <row r="5363" spans="3:4" x14ac:dyDescent="0.3">
      <c r="C5363" s="62"/>
      <c r="D5363" s="62"/>
    </row>
    <row r="5364" spans="3:4" x14ac:dyDescent="0.3">
      <c r="C5364" s="62"/>
      <c r="D5364" s="62"/>
    </row>
    <row r="5365" spans="3:4" x14ac:dyDescent="0.3">
      <c r="C5365" s="62"/>
      <c r="D5365" s="62"/>
    </row>
    <row r="5366" spans="3:4" x14ac:dyDescent="0.3">
      <c r="C5366" s="62"/>
      <c r="D5366" s="62"/>
    </row>
    <row r="5367" spans="3:4" x14ac:dyDescent="0.3">
      <c r="C5367" s="62"/>
      <c r="D5367" s="62"/>
    </row>
    <row r="5368" spans="3:4" x14ac:dyDescent="0.3">
      <c r="C5368" s="62"/>
      <c r="D5368" s="62"/>
    </row>
    <row r="5369" spans="3:4" x14ac:dyDescent="0.3">
      <c r="C5369" s="62"/>
      <c r="D5369" s="62"/>
    </row>
    <row r="5370" spans="3:4" x14ac:dyDescent="0.3">
      <c r="C5370" s="62"/>
      <c r="D5370" s="62"/>
    </row>
    <row r="5371" spans="3:4" x14ac:dyDescent="0.3">
      <c r="C5371" s="62"/>
      <c r="D5371" s="62"/>
    </row>
    <row r="5372" spans="3:4" x14ac:dyDescent="0.3">
      <c r="C5372" s="62"/>
      <c r="D5372" s="62"/>
    </row>
    <row r="5373" spans="3:4" x14ac:dyDescent="0.3">
      <c r="C5373" s="62"/>
      <c r="D5373" s="62"/>
    </row>
    <row r="5374" spans="3:4" x14ac:dyDescent="0.3">
      <c r="C5374" s="62"/>
      <c r="D5374" s="62"/>
    </row>
    <row r="5375" spans="3:4" x14ac:dyDescent="0.3">
      <c r="C5375" s="62"/>
      <c r="D5375" s="62"/>
    </row>
    <row r="5376" spans="3:4" x14ac:dyDescent="0.3">
      <c r="C5376" s="62"/>
      <c r="D5376" s="62"/>
    </row>
    <row r="5377" spans="3:4" x14ac:dyDescent="0.3">
      <c r="C5377" s="62"/>
      <c r="D5377" s="62"/>
    </row>
    <row r="5378" spans="3:4" x14ac:dyDescent="0.3">
      <c r="C5378" s="62"/>
      <c r="D5378" s="62"/>
    </row>
    <row r="5379" spans="3:4" x14ac:dyDescent="0.3">
      <c r="C5379" s="62"/>
      <c r="D5379" s="62"/>
    </row>
    <row r="5380" spans="3:4" x14ac:dyDescent="0.3">
      <c r="C5380" s="62"/>
      <c r="D5380" s="62"/>
    </row>
    <row r="5381" spans="3:4" x14ac:dyDescent="0.3">
      <c r="C5381" s="62"/>
      <c r="D5381" s="62"/>
    </row>
    <row r="5382" spans="3:4" x14ac:dyDescent="0.3">
      <c r="C5382" s="62"/>
      <c r="D5382" s="62"/>
    </row>
    <row r="5383" spans="3:4" x14ac:dyDescent="0.3">
      <c r="C5383" s="62"/>
      <c r="D5383" s="62"/>
    </row>
    <row r="5384" spans="3:4" x14ac:dyDescent="0.3">
      <c r="C5384" s="62"/>
      <c r="D5384" s="62"/>
    </row>
    <row r="5385" spans="3:4" x14ac:dyDescent="0.3">
      <c r="C5385" s="62"/>
      <c r="D5385" s="62"/>
    </row>
    <row r="5386" spans="3:4" x14ac:dyDescent="0.3">
      <c r="C5386" s="62"/>
      <c r="D5386" s="62"/>
    </row>
    <row r="5387" spans="3:4" x14ac:dyDescent="0.3">
      <c r="C5387" s="62"/>
      <c r="D5387" s="62"/>
    </row>
    <row r="5388" spans="3:4" x14ac:dyDescent="0.3">
      <c r="C5388" s="62"/>
      <c r="D5388" s="62"/>
    </row>
    <row r="5389" spans="3:4" x14ac:dyDescent="0.3">
      <c r="C5389" s="62"/>
      <c r="D5389" s="62"/>
    </row>
    <row r="5390" spans="3:4" x14ac:dyDescent="0.3">
      <c r="C5390" s="62"/>
      <c r="D5390" s="62"/>
    </row>
    <row r="5391" spans="3:4" x14ac:dyDescent="0.3">
      <c r="C5391" s="62"/>
      <c r="D5391" s="62"/>
    </row>
    <row r="5392" spans="3:4" x14ac:dyDescent="0.3">
      <c r="C5392" s="62"/>
      <c r="D5392" s="62"/>
    </row>
    <row r="5393" spans="3:4" x14ac:dyDescent="0.3">
      <c r="C5393" s="62"/>
      <c r="D5393" s="62"/>
    </row>
    <row r="5394" spans="3:4" x14ac:dyDescent="0.3">
      <c r="C5394" s="62"/>
      <c r="D5394" s="62"/>
    </row>
    <row r="5395" spans="3:4" x14ac:dyDescent="0.3">
      <c r="C5395" s="62"/>
      <c r="D5395" s="62"/>
    </row>
    <row r="5396" spans="3:4" x14ac:dyDescent="0.3">
      <c r="C5396" s="62"/>
      <c r="D5396" s="62"/>
    </row>
    <row r="5397" spans="3:4" x14ac:dyDescent="0.3">
      <c r="C5397" s="62"/>
      <c r="D5397" s="62"/>
    </row>
    <row r="5398" spans="3:4" x14ac:dyDescent="0.3">
      <c r="C5398" s="62"/>
      <c r="D5398" s="62"/>
    </row>
    <row r="5399" spans="3:4" x14ac:dyDescent="0.3">
      <c r="C5399" s="62"/>
      <c r="D5399" s="62"/>
    </row>
    <row r="5400" spans="3:4" x14ac:dyDescent="0.3">
      <c r="C5400" s="62"/>
      <c r="D5400" s="62"/>
    </row>
    <row r="5401" spans="3:4" x14ac:dyDescent="0.3">
      <c r="C5401" s="62"/>
      <c r="D5401" s="62"/>
    </row>
    <row r="5402" spans="3:4" x14ac:dyDescent="0.3">
      <c r="C5402" s="62"/>
      <c r="D5402" s="62"/>
    </row>
    <row r="5403" spans="3:4" x14ac:dyDescent="0.3">
      <c r="C5403" s="62"/>
      <c r="D5403" s="62"/>
    </row>
    <row r="5404" spans="3:4" x14ac:dyDescent="0.3">
      <c r="C5404" s="62"/>
      <c r="D5404" s="62"/>
    </row>
    <row r="5405" spans="3:4" x14ac:dyDescent="0.3">
      <c r="C5405" s="62"/>
      <c r="D5405" s="62"/>
    </row>
    <row r="5406" spans="3:4" x14ac:dyDescent="0.3">
      <c r="C5406" s="62"/>
      <c r="D5406" s="62"/>
    </row>
    <row r="5407" spans="3:4" x14ac:dyDescent="0.3">
      <c r="C5407" s="62"/>
      <c r="D5407" s="62"/>
    </row>
    <row r="5408" spans="3:4" x14ac:dyDescent="0.3">
      <c r="C5408" s="62"/>
      <c r="D5408" s="62"/>
    </row>
    <row r="5409" spans="3:4" x14ac:dyDescent="0.3">
      <c r="C5409" s="62"/>
      <c r="D5409" s="62"/>
    </row>
    <row r="5410" spans="3:4" x14ac:dyDescent="0.3">
      <c r="C5410" s="62"/>
      <c r="D5410" s="62"/>
    </row>
    <row r="5411" spans="3:4" x14ac:dyDescent="0.3">
      <c r="C5411" s="62"/>
      <c r="D5411" s="62"/>
    </row>
    <row r="5412" spans="3:4" x14ac:dyDescent="0.3">
      <c r="C5412" s="62"/>
      <c r="D5412" s="62"/>
    </row>
    <row r="5413" spans="3:4" x14ac:dyDescent="0.3">
      <c r="C5413" s="62"/>
      <c r="D5413" s="62"/>
    </row>
    <row r="5414" spans="3:4" x14ac:dyDescent="0.3">
      <c r="C5414" s="62"/>
      <c r="D5414" s="62"/>
    </row>
    <row r="5415" spans="3:4" x14ac:dyDescent="0.3">
      <c r="C5415" s="62"/>
      <c r="D5415" s="62"/>
    </row>
    <row r="5416" spans="3:4" x14ac:dyDescent="0.3">
      <c r="C5416" s="62"/>
      <c r="D5416" s="62"/>
    </row>
    <row r="5417" spans="3:4" x14ac:dyDescent="0.3">
      <c r="C5417" s="62"/>
      <c r="D5417" s="62"/>
    </row>
    <row r="5418" spans="3:4" x14ac:dyDescent="0.3">
      <c r="C5418" s="62"/>
      <c r="D5418" s="62"/>
    </row>
    <row r="5419" spans="3:4" x14ac:dyDescent="0.3">
      <c r="C5419" s="62"/>
      <c r="D5419" s="62"/>
    </row>
    <row r="5420" spans="3:4" x14ac:dyDescent="0.3">
      <c r="C5420" s="62"/>
      <c r="D5420" s="62"/>
    </row>
    <row r="5421" spans="3:4" x14ac:dyDescent="0.3">
      <c r="C5421" s="62"/>
      <c r="D5421" s="62"/>
    </row>
    <row r="5422" spans="3:4" x14ac:dyDescent="0.3">
      <c r="C5422" s="62"/>
      <c r="D5422" s="62"/>
    </row>
    <row r="5423" spans="3:4" x14ac:dyDescent="0.3">
      <c r="C5423" s="62"/>
      <c r="D5423" s="62"/>
    </row>
    <row r="5424" spans="3:4" x14ac:dyDescent="0.3">
      <c r="C5424" s="62"/>
      <c r="D5424" s="62"/>
    </row>
    <row r="5425" spans="3:4" x14ac:dyDescent="0.3">
      <c r="C5425" s="62"/>
      <c r="D5425" s="62"/>
    </row>
    <row r="5426" spans="3:4" x14ac:dyDescent="0.3">
      <c r="C5426" s="62"/>
      <c r="D5426" s="62"/>
    </row>
    <row r="5427" spans="3:4" x14ac:dyDescent="0.3">
      <c r="C5427" s="62"/>
      <c r="D5427" s="62"/>
    </row>
    <row r="5428" spans="3:4" x14ac:dyDescent="0.3">
      <c r="C5428" s="62"/>
      <c r="D5428" s="62"/>
    </row>
    <row r="5429" spans="3:4" x14ac:dyDescent="0.3">
      <c r="C5429" s="62"/>
      <c r="D5429" s="62"/>
    </row>
    <row r="5430" spans="3:4" x14ac:dyDescent="0.3">
      <c r="C5430" s="62"/>
      <c r="D5430" s="62"/>
    </row>
    <row r="5431" spans="3:4" x14ac:dyDescent="0.3">
      <c r="C5431" s="62"/>
      <c r="D5431" s="62"/>
    </row>
    <row r="5432" spans="3:4" x14ac:dyDescent="0.3">
      <c r="C5432" s="62"/>
      <c r="D5432" s="62"/>
    </row>
    <row r="5433" spans="3:4" x14ac:dyDescent="0.3">
      <c r="C5433" s="62"/>
      <c r="D5433" s="62"/>
    </row>
    <row r="5434" spans="3:4" x14ac:dyDescent="0.3">
      <c r="C5434" s="62"/>
      <c r="D5434" s="62"/>
    </row>
    <row r="5435" spans="3:4" x14ac:dyDescent="0.3">
      <c r="C5435" s="62"/>
      <c r="D5435" s="62"/>
    </row>
    <row r="5436" spans="3:4" x14ac:dyDescent="0.3">
      <c r="C5436" s="62"/>
      <c r="D5436" s="62"/>
    </row>
    <row r="5437" spans="3:4" x14ac:dyDescent="0.3">
      <c r="C5437" s="62"/>
      <c r="D5437" s="62"/>
    </row>
    <row r="5438" spans="3:4" x14ac:dyDescent="0.3">
      <c r="C5438" s="62"/>
      <c r="D5438" s="62"/>
    </row>
    <row r="5439" spans="3:4" x14ac:dyDescent="0.3">
      <c r="C5439" s="62"/>
      <c r="D5439" s="62"/>
    </row>
    <row r="5440" spans="3:4" x14ac:dyDescent="0.3">
      <c r="C5440" s="62"/>
      <c r="D5440" s="62"/>
    </row>
    <row r="5441" spans="3:4" x14ac:dyDescent="0.3">
      <c r="C5441" s="62"/>
      <c r="D5441" s="62"/>
    </row>
    <row r="5442" spans="3:4" x14ac:dyDescent="0.3">
      <c r="C5442" s="62"/>
      <c r="D5442" s="62"/>
    </row>
    <row r="5443" spans="3:4" x14ac:dyDescent="0.3">
      <c r="C5443" s="62"/>
      <c r="D5443" s="62"/>
    </row>
    <row r="5444" spans="3:4" x14ac:dyDescent="0.3">
      <c r="C5444" s="62"/>
      <c r="D5444" s="62"/>
    </row>
    <row r="5445" spans="3:4" x14ac:dyDescent="0.3">
      <c r="C5445" s="62"/>
      <c r="D5445" s="62"/>
    </row>
    <row r="5446" spans="3:4" x14ac:dyDescent="0.3">
      <c r="C5446" s="62"/>
      <c r="D5446" s="62"/>
    </row>
    <row r="5447" spans="3:4" x14ac:dyDescent="0.3">
      <c r="C5447" s="62"/>
      <c r="D5447" s="62"/>
    </row>
    <row r="5448" spans="3:4" x14ac:dyDescent="0.3">
      <c r="C5448" s="62"/>
      <c r="D5448" s="62"/>
    </row>
    <row r="5449" spans="3:4" x14ac:dyDescent="0.3">
      <c r="C5449" s="62"/>
      <c r="D5449" s="62"/>
    </row>
    <row r="5450" spans="3:4" x14ac:dyDescent="0.3">
      <c r="C5450" s="62"/>
      <c r="D5450" s="62"/>
    </row>
    <row r="5451" spans="3:4" x14ac:dyDescent="0.3">
      <c r="C5451" s="62"/>
      <c r="D5451" s="62"/>
    </row>
    <row r="5452" spans="3:4" x14ac:dyDescent="0.3">
      <c r="C5452" s="62"/>
      <c r="D5452" s="62"/>
    </row>
    <row r="5453" spans="3:4" x14ac:dyDescent="0.3">
      <c r="C5453" s="62"/>
      <c r="D5453" s="62"/>
    </row>
    <row r="5454" spans="3:4" x14ac:dyDescent="0.3">
      <c r="C5454" s="62"/>
      <c r="D5454" s="62"/>
    </row>
    <row r="5455" spans="3:4" x14ac:dyDescent="0.3">
      <c r="C5455" s="62"/>
      <c r="D5455" s="62"/>
    </row>
    <row r="5456" spans="3:4" x14ac:dyDescent="0.3">
      <c r="C5456" s="62"/>
      <c r="D5456" s="62"/>
    </row>
    <row r="5457" spans="3:4" x14ac:dyDescent="0.3">
      <c r="C5457" s="62"/>
      <c r="D5457" s="62"/>
    </row>
    <row r="5458" spans="3:4" x14ac:dyDescent="0.3">
      <c r="C5458" s="62"/>
      <c r="D5458" s="62"/>
    </row>
    <row r="5459" spans="3:4" x14ac:dyDescent="0.3">
      <c r="C5459" s="62"/>
      <c r="D5459" s="62"/>
    </row>
    <row r="5460" spans="3:4" x14ac:dyDescent="0.3">
      <c r="C5460" s="62"/>
      <c r="D5460" s="62"/>
    </row>
    <row r="5461" spans="3:4" x14ac:dyDescent="0.3">
      <c r="C5461" s="62"/>
      <c r="D5461" s="62"/>
    </row>
    <row r="5462" spans="3:4" x14ac:dyDescent="0.3">
      <c r="C5462" s="62"/>
      <c r="D5462" s="62"/>
    </row>
    <row r="5463" spans="3:4" x14ac:dyDescent="0.3">
      <c r="C5463" s="62"/>
      <c r="D5463" s="62"/>
    </row>
    <row r="5464" spans="3:4" x14ac:dyDescent="0.3">
      <c r="C5464" s="62"/>
      <c r="D5464" s="62"/>
    </row>
    <row r="5465" spans="3:4" x14ac:dyDescent="0.3">
      <c r="C5465" s="62"/>
      <c r="D5465" s="62"/>
    </row>
    <row r="5466" spans="3:4" x14ac:dyDescent="0.3">
      <c r="C5466" s="62"/>
      <c r="D5466" s="62"/>
    </row>
    <row r="5467" spans="3:4" x14ac:dyDescent="0.3">
      <c r="C5467" s="62"/>
      <c r="D5467" s="62"/>
    </row>
    <row r="5468" spans="3:4" x14ac:dyDescent="0.3">
      <c r="C5468" s="62"/>
      <c r="D5468" s="62"/>
    </row>
    <row r="5469" spans="3:4" x14ac:dyDescent="0.3">
      <c r="C5469" s="62"/>
      <c r="D5469" s="62"/>
    </row>
    <row r="5470" spans="3:4" x14ac:dyDescent="0.3">
      <c r="C5470" s="62"/>
      <c r="D5470" s="62"/>
    </row>
    <row r="5471" spans="3:4" x14ac:dyDescent="0.3">
      <c r="C5471" s="62"/>
      <c r="D5471" s="62"/>
    </row>
    <row r="5472" spans="3:4" x14ac:dyDescent="0.3">
      <c r="C5472" s="62"/>
      <c r="D5472" s="62"/>
    </row>
    <row r="5473" spans="3:4" x14ac:dyDescent="0.3">
      <c r="C5473" s="62"/>
      <c r="D5473" s="62"/>
    </row>
    <row r="5474" spans="3:4" x14ac:dyDescent="0.3">
      <c r="C5474" s="62"/>
      <c r="D5474" s="62"/>
    </row>
    <row r="5475" spans="3:4" x14ac:dyDescent="0.3">
      <c r="C5475" s="62"/>
      <c r="D5475" s="62"/>
    </row>
    <row r="5476" spans="3:4" x14ac:dyDescent="0.3">
      <c r="C5476" s="62"/>
      <c r="D5476" s="62"/>
    </row>
    <row r="5477" spans="3:4" x14ac:dyDescent="0.3">
      <c r="C5477" s="62"/>
      <c r="D5477" s="62"/>
    </row>
    <row r="5478" spans="3:4" x14ac:dyDescent="0.3">
      <c r="C5478" s="62"/>
      <c r="D5478" s="62"/>
    </row>
    <row r="5479" spans="3:4" x14ac:dyDescent="0.3">
      <c r="C5479" s="62"/>
      <c r="D5479" s="62"/>
    </row>
    <row r="5480" spans="3:4" x14ac:dyDescent="0.3">
      <c r="C5480" s="62"/>
      <c r="D5480" s="62"/>
    </row>
    <row r="5481" spans="3:4" x14ac:dyDescent="0.3">
      <c r="C5481" s="62"/>
      <c r="D5481" s="62"/>
    </row>
    <row r="5482" spans="3:4" x14ac:dyDescent="0.3">
      <c r="C5482" s="62"/>
      <c r="D5482" s="62"/>
    </row>
    <row r="5483" spans="3:4" x14ac:dyDescent="0.3">
      <c r="C5483" s="62"/>
      <c r="D5483" s="62"/>
    </row>
    <row r="5484" spans="3:4" x14ac:dyDescent="0.3">
      <c r="C5484" s="62"/>
      <c r="D5484" s="62"/>
    </row>
    <row r="5485" spans="3:4" x14ac:dyDescent="0.3">
      <c r="C5485" s="62"/>
      <c r="D5485" s="62"/>
    </row>
    <row r="5486" spans="3:4" x14ac:dyDescent="0.3">
      <c r="C5486" s="62"/>
      <c r="D5486" s="62"/>
    </row>
    <row r="5487" spans="3:4" x14ac:dyDescent="0.3">
      <c r="C5487" s="62"/>
      <c r="D5487" s="62"/>
    </row>
    <row r="5488" spans="3:4" x14ac:dyDescent="0.3">
      <c r="C5488" s="62"/>
      <c r="D5488" s="62"/>
    </row>
    <row r="5489" spans="3:4" x14ac:dyDescent="0.3">
      <c r="C5489" s="62"/>
      <c r="D5489" s="62"/>
    </row>
    <row r="5490" spans="3:4" x14ac:dyDescent="0.3">
      <c r="C5490" s="62"/>
      <c r="D5490" s="62"/>
    </row>
    <row r="5491" spans="3:4" x14ac:dyDescent="0.3">
      <c r="C5491" s="62"/>
      <c r="D5491" s="62"/>
    </row>
    <row r="5492" spans="3:4" x14ac:dyDescent="0.3">
      <c r="C5492" s="62"/>
      <c r="D5492" s="62"/>
    </row>
    <row r="5493" spans="3:4" x14ac:dyDescent="0.3">
      <c r="C5493" s="62"/>
      <c r="D5493" s="62"/>
    </row>
    <row r="5494" spans="3:4" x14ac:dyDescent="0.3">
      <c r="C5494" s="62"/>
      <c r="D5494" s="62"/>
    </row>
    <row r="5495" spans="3:4" x14ac:dyDescent="0.3">
      <c r="C5495" s="62"/>
      <c r="D5495" s="62"/>
    </row>
    <row r="5496" spans="3:4" x14ac:dyDescent="0.3">
      <c r="C5496" s="62"/>
      <c r="D5496" s="62"/>
    </row>
    <row r="5497" spans="3:4" x14ac:dyDescent="0.3">
      <c r="C5497" s="62"/>
      <c r="D5497" s="62"/>
    </row>
    <row r="5498" spans="3:4" x14ac:dyDescent="0.3">
      <c r="C5498" s="62"/>
      <c r="D5498" s="62"/>
    </row>
    <row r="5499" spans="3:4" x14ac:dyDescent="0.3">
      <c r="C5499" s="62"/>
      <c r="D5499" s="62"/>
    </row>
    <row r="5500" spans="3:4" x14ac:dyDescent="0.3">
      <c r="C5500" s="62"/>
      <c r="D5500" s="62"/>
    </row>
    <row r="5501" spans="3:4" x14ac:dyDescent="0.3">
      <c r="C5501" s="62"/>
      <c r="D5501" s="62"/>
    </row>
    <row r="5502" spans="3:4" x14ac:dyDescent="0.3">
      <c r="C5502" s="62"/>
      <c r="D5502" s="62"/>
    </row>
    <row r="5503" spans="3:4" x14ac:dyDescent="0.3">
      <c r="C5503" s="62"/>
      <c r="D5503" s="62"/>
    </row>
    <row r="5504" spans="3:4" x14ac:dyDescent="0.3">
      <c r="C5504" s="62"/>
      <c r="D5504" s="62"/>
    </row>
    <row r="5505" spans="3:4" x14ac:dyDescent="0.3">
      <c r="C5505" s="62"/>
      <c r="D5505" s="62"/>
    </row>
    <row r="5506" spans="3:4" x14ac:dyDescent="0.3">
      <c r="C5506" s="62"/>
      <c r="D5506" s="62"/>
    </row>
    <row r="5507" spans="3:4" x14ac:dyDescent="0.3">
      <c r="C5507" s="62"/>
      <c r="D5507" s="62"/>
    </row>
    <row r="5508" spans="3:4" x14ac:dyDescent="0.3">
      <c r="C5508" s="62"/>
      <c r="D5508" s="62"/>
    </row>
    <row r="5509" spans="3:4" x14ac:dyDescent="0.3">
      <c r="C5509" s="62"/>
      <c r="D5509" s="62"/>
    </row>
    <row r="5510" spans="3:4" x14ac:dyDescent="0.3">
      <c r="C5510" s="62"/>
      <c r="D5510" s="62"/>
    </row>
    <row r="5511" spans="3:4" x14ac:dyDescent="0.3">
      <c r="C5511" s="62"/>
      <c r="D5511" s="62"/>
    </row>
    <row r="5512" spans="3:4" x14ac:dyDescent="0.3">
      <c r="C5512" s="62"/>
      <c r="D5512" s="62"/>
    </row>
    <row r="5513" spans="3:4" x14ac:dyDescent="0.3">
      <c r="C5513" s="62"/>
      <c r="D5513" s="62"/>
    </row>
    <row r="5514" spans="3:4" x14ac:dyDescent="0.3">
      <c r="C5514" s="62"/>
      <c r="D5514" s="62"/>
    </row>
    <row r="5515" spans="3:4" x14ac:dyDescent="0.3">
      <c r="C5515" s="62"/>
      <c r="D5515" s="62"/>
    </row>
    <row r="5516" spans="3:4" x14ac:dyDescent="0.3">
      <c r="C5516" s="62"/>
      <c r="D5516" s="62"/>
    </row>
    <row r="5517" spans="3:4" x14ac:dyDescent="0.3">
      <c r="C5517" s="62"/>
      <c r="D5517" s="62"/>
    </row>
    <row r="5518" spans="3:4" x14ac:dyDescent="0.3">
      <c r="C5518" s="62"/>
      <c r="D5518" s="62"/>
    </row>
    <row r="5519" spans="3:4" x14ac:dyDescent="0.3">
      <c r="C5519" s="62"/>
      <c r="D5519" s="62"/>
    </row>
    <row r="5520" spans="3:4" x14ac:dyDescent="0.3">
      <c r="C5520" s="62"/>
      <c r="D5520" s="62"/>
    </row>
    <row r="5521" spans="3:4" x14ac:dyDescent="0.3">
      <c r="C5521" s="62"/>
      <c r="D5521" s="62"/>
    </row>
    <row r="5522" spans="3:4" x14ac:dyDescent="0.3">
      <c r="C5522" s="62"/>
      <c r="D5522" s="62"/>
    </row>
    <row r="5523" spans="3:4" x14ac:dyDescent="0.3">
      <c r="C5523" s="62"/>
      <c r="D5523" s="62"/>
    </row>
    <row r="5524" spans="3:4" x14ac:dyDescent="0.3">
      <c r="C5524" s="62"/>
      <c r="D5524" s="62"/>
    </row>
    <row r="5525" spans="3:4" x14ac:dyDescent="0.3">
      <c r="C5525" s="62"/>
      <c r="D5525" s="62"/>
    </row>
    <row r="5526" spans="3:4" x14ac:dyDescent="0.3">
      <c r="C5526" s="62"/>
      <c r="D5526" s="62"/>
    </row>
    <row r="5527" spans="3:4" x14ac:dyDescent="0.3">
      <c r="C5527" s="62"/>
      <c r="D5527" s="62"/>
    </row>
    <row r="5528" spans="3:4" x14ac:dyDescent="0.3">
      <c r="C5528" s="62"/>
      <c r="D5528" s="62"/>
    </row>
    <row r="5529" spans="3:4" x14ac:dyDescent="0.3">
      <c r="C5529" s="62"/>
      <c r="D5529" s="62"/>
    </row>
    <row r="5530" spans="3:4" x14ac:dyDescent="0.3">
      <c r="C5530" s="62"/>
      <c r="D5530" s="62"/>
    </row>
    <row r="5531" spans="3:4" x14ac:dyDescent="0.3">
      <c r="C5531" s="62"/>
      <c r="D5531" s="62"/>
    </row>
    <row r="5532" spans="3:4" x14ac:dyDescent="0.3">
      <c r="C5532" s="62"/>
      <c r="D5532" s="62"/>
    </row>
    <row r="5533" spans="3:4" x14ac:dyDescent="0.3">
      <c r="C5533" s="62"/>
      <c r="D5533" s="62"/>
    </row>
    <row r="5534" spans="3:4" x14ac:dyDescent="0.3">
      <c r="C5534" s="62"/>
      <c r="D5534" s="62"/>
    </row>
    <row r="5535" spans="3:4" x14ac:dyDescent="0.3">
      <c r="C5535" s="62"/>
      <c r="D5535" s="62"/>
    </row>
    <row r="5536" spans="3:4" x14ac:dyDescent="0.3">
      <c r="C5536" s="62"/>
      <c r="D5536" s="62"/>
    </row>
    <row r="5537" spans="3:4" x14ac:dyDescent="0.3">
      <c r="C5537" s="62"/>
      <c r="D5537" s="62"/>
    </row>
    <row r="5538" spans="3:4" x14ac:dyDescent="0.3">
      <c r="C5538" s="62"/>
      <c r="D5538" s="62"/>
    </row>
    <row r="5539" spans="3:4" x14ac:dyDescent="0.3">
      <c r="C5539" s="62"/>
      <c r="D5539" s="62"/>
    </row>
    <row r="5540" spans="3:4" x14ac:dyDescent="0.3">
      <c r="C5540" s="62"/>
      <c r="D5540" s="62"/>
    </row>
    <row r="5541" spans="3:4" x14ac:dyDescent="0.3">
      <c r="C5541" s="62"/>
      <c r="D5541" s="62"/>
    </row>
    <row r="5542" spans="3:4" x14ac:dyDescent="0.3">
      <c r="C5542" s="62"/>
      <c r="D5542" s="62"/>
    </row>
    <row r="5543" spans="3:4" x14ac:dyDescent="0.3">
      <c r="C5543" s="62"/>
      <c r="D5543" s="62"/>
    </row>
    <row r="5544" spans="3:4" x14ac:dyDescent="0.3">
      <c r="C5544" s="62"/>
      <c r="D5544" s="62"/>
    </row>
    <row r="5545" spans="3:4" x14ac:dyDescent="0.3">
      <c r="C5545" s="62"/>
      <c r="D5545" s="62"/>
    </row>
    <row r="5546" spans="3:4" x14ac:dyDescent="0.3">
      <c r="C5546" s="62"/>
      <c r="D5546" s="62"/>
    </row>
    <row r="5547" spans="3:4" x14ac:dyDescent="0.3">
      <c r="C5547" s="62"/>
      <c r="D5547" s="62"/>
    </row>
    <row r="5548" spans="3:4" x14ac:dyDescent="0.3">
      <c r="C5548" s="62"/>
      <c r="D5548" s="62"/>
    </row>
    <row r="5549" spans="3:4" x14ac:dyDescent="0.3">
      <c r="C5549" s="62"/>
      <c r="D5549" s="62"/>
    </row>
    <row r="5550" spans="3:4" x14ac:dyDescent="0.3">
      <c r="C5550" s="62"/>
      <c r="D5550" s="62"/>
    </row>
    <row r="5551" spans="3:4" x14ac:dyDescent="0.3">
      <c r="C5551" s="62"/>
      <c r="D5551" s="62"/>
    </row>
    <row r="5552" spans="3:4" x14ac:dyDescent="0.3">
      <c r="C5552" s="62"/>
      <c r="D5552" s="62"/>
    </row>
    <row r="5553" spans="3:4" x14ac:dyDescent="0.3">
      <c r="C5553" s="62"/>
      <c r="D5553" s="62"/>
    </row>
    <row r="5554" spans="3:4" x14ac:dyDescent="0.3">
      <c r="C5554" s="62"/>
      <c r="D5554" s="62"/>
    </row>
    <row r="5555" spans="3:4" x14ac:dyDescent="0.3">
      <c r="C5555" s="62"/>
      <c r="D5555" s="62"/>
    </row>
    <row r="5556" spans="3:4" x14ac:dyDescent="0.3">
      <c r="C5556" s="62"/>
      <c r="D5556" s="62"/>
    </row>
    <row r="5557" spans="3:4" x14ac:dyDescent="0.3">
      <c r="C5557" s="62"/>
      <c r="D5557" s="62"/>
    </row>
    <row r="5558" spans="3:4" x14ac:dyDescent="0.3">
      <c r="C5558" s="62"/>
      <c r="D5558" s="62"/>
    </row>
    <row r="5559" spans="3:4" x14ac:dyDescent="0.3">
      <c r="C5559" s="62"/>
      <c r="D5559" s="62"/>
    </row>
    <row r="5560" spans="3:4" x14ac:dyDescent="0.3">
      <c r="C5560" s="62"/>
      <c r="D5560" s="62"/>
    </row>
    <row r="5561" spans="3:4" x14ac:dyDescent="0.3">
      <c r="C5561" s="62"/>
      <c r="D5561" s="62"/>
    </row>
    <row r="5562" spans="3:4" x14ac:dyDescent="0.3">
      <c r="C5562" s="62"/>
      <c r="D5562" s="62"/>
    </row>
    <row r="5563" spans="3:4" x14ac:dyDescent="0.3">
      <c r="C5563" s="62"/>
      <c r="D5563" s="62"/>
    </row>
    <row r="5564" spans="3:4" x14ac:dyDescent="0.3">
      <c r="C5564" s="62"/>
      <c r="D5564" s="62"/>
    </row>
    <row r="5565" spans="3:4" x14ac:dyDescent="0.3">
      <c r="C5565" s="62"/>
      <c r="D5565" s="62"/>
    </row>
    <row r="5566" spans="3:4" x14ac:dyDescent="0.3">
      <c r="C5566" s="62"/>
      <c r="D5566" s="62"/>
    </row>
    <row r="5567" spans="3:4" x14ac:dyDescent="0.3">
      <c r="C5567" s="62"/>
      <c r="D5567" s="62"/>
    </row>
    <row r="5568" spans="3:4" x14ac:dyDescent="0.3">
      <c r="C5568" s="62"/>
      <c r="D5568" s="62"/>
    </row>
    <row r="5569" spans="3:4" x14ac:dyDescent="0.3">
      <c r="C5569" s="62"/>
      <c r="D5569" s="62"/>
    </row>
    <row r="5570" spans="3:4" x14ac:dyDescent="0.3">
      <c r="C5570" s="62"/>
      <c r="D5570" s="62"/>
    </row>
    <row r="5571" spans="3:4" x14ac:dyDescent="0.3">
      <c r="C5571" s="62"/>
      <c r="D5571" s="62"/>
    </row>
    <row r="5572" spans="3:4" x14ac:dyDescent="0.3">
      <c r="C5572" s="62"/>
      <c r="D5572" s="62"/>
    </row>
    <row r="5573" spans="3:4" x14ac:dyDescent="0.3">
      <c r="C5573" s="62"/>
      <c r="D5573" s="62"/>
    </row>
    <row r="5574" spans="3:4" x14ac:dyDescent="0.3">
      <c r="C5574" s="62"/>
      <c r="D5574" s="62"/>
    </row>
    <row r="5575" spans="3:4" x14ac:dyDescent="0.3">
      <c r="C5575" s="62"/>
      <c r="D5575" s="62"/>
    </row>
    <row r="5576" spans="3:4" x14ac:dyDescent="0.3">
      <c r="C5576" s="62"/>
      <c r="D5576" s="62"/>
    </row>
    <row r="5577" spans="3:4" x14ac:dyDescent="0.3">
      <c r="C5577" s="62"/>
      <c r="D5577" s="62"/>
    </row>
    <row r="5578" spans="3:4" x14ac:dyDescent="0.3">
      <c r="C5578" s="62"/>
      <c r="D5578" s="62"/>
    </row>
    <row r="5579" spans="3:4" x14ac:dyDescent="0.3">
      <c r="C5579" s="62"/>
      <c r="D5579" s="62"/>
    </row>
    <row r="5580" spans="3:4" x14ac:dyDescent="0.3">
      <c r="C5580" s="62"/>
      <c r="D5580" s="62"/>
    </row>
    <row r="5581" spans="3:4" x14ac:dyDescent="0.3">
      <c r="C5581" s="62"/>
      <c r="D5581" s="62"/>
    </row>
    <row r="5582" spans="3:4" x14ac:dyDescent="0.3">
      <c r="C5582" s="62"/>
      <c r="D5582" s="62"/>
    </row>
    <row r="5583" spans="3:4" x14ac:dyDescent="0.3">
      <c r="C5583" s="62"/>
      <c r="D5583" s="62"/>
    </row>
    <row r="5584" spans="3:4" x14ac:dyDescent="0.3">
      <c r="C5584" s="62"/>
      <c r="D5584" s="62"/>
    </row>
    <row r="5585" spans="3:4" x14ac:dyDescent="0.3">
      <c r="C5585" s="62"/>
      <c r="D5585" s="62"/>
    </row>
    <row r="5586" spans="3:4" x14ac:dyDescent="0.3">
      <c r="C5586" s="62"/>
      <c r="D5586" s="62"/>
    </row>
    <row r="5587" spans="3:4" x14ac:dyDescent="0.3">
      <c r="C5587" s="62"/>
      <c r="D5587" s="62"/>
    </row>
    <row r="5588" spans="3:4" x14ac:dyDescent="0.3">
      <c r="C5588" s="62"/>
      <c r="D5588" s="62"/>
    </row>
    <row r="5589" spans="3:4" x14ac:dyDescent="0.3">
      <c r="C5589" s="62"/>
      <c r="D5589" s="62"/>
    </row>
    <row r="5590" spans="3:4" x14ac:dyDescent="0.3">
      <c r="C5590" s="62"/>
      <c r="D5590" s="62"/>
    </row>
    <row r="5591" spans="3:4" x14ac:dyDescent="0.3">
      <c r="C5591" s="62"/>
      <c r="D5591" s="62"/>
    </row>
    <row r="5592" spans="3:4" x14ac:dyDescent="0.3">
      <c r="C5592" s="62"/>
      <c r="D5592" s="62"/>
    </row>
    <row r="5593" spans="3:4" x14ac:dyDescent="0.3">
      <c r="C5593" s="62"/>
      <c r="D5593" s="62"/>
    </row>
    <row r="5594" spans="3:4" x14ac:dyDescent="0.3">
      <c r="C5594" s="62"/>
      <c r="D5594" s="62"/>
    </row>
    <row r="5595" spans="3:4" x14ac:dyDescent="0.3">
      <c r="C5595" s="62"/>
      <c r="D5595" s="62"/>
    </row>
    <row r="5596" spans="3:4" x14ac:dyDescent="0.3">
      <c r="C5596" s="62"/>
      <c r="D5596" s="62"/>
    </row>
    <row r="5597" spans="3:4" x14ac:dyDescent="0.3">
      <c r="C5597" s="62"/>
      <c r="D5597" s="62"/>
    </row>
    <row r="5598" spans="3:4" x14ac:dyDescent="0.3">
      <c r="C5598" s="62"/>
      <c r="D5598" s="62"/>
    </row>
    <row r="5599" spans="3:4" x14ac:dyDescent="0.3">
      <c r="C5599" s="62"/>
      <c r="D5599" s="62"/>
    </row>
    <row r="5600" spans="3:4" x14ac:dyDescent="0.3">
      <c r="C5600" s="62"/>
      <c r="D5600" s="62"/>
    </row>
    <row r="5601" spans="3:4" x14ac:dyDescent="0.3">
      <c r="C5601" s="62"/>
      <c r="D5601" s="62"/>
    </row>
    <row r="5602" spans="3:4" x14ac:dyDescent="0.3">
      <c r="C5602" s="62"/>
      <c r="D5602" s="62"/>
    </row>
    <row r="5603" spans="3:4" x14ac:dyDescent="0.3">
      <c r="C5603" s="62"/>
      <c r="D5603" s="62"/>
    </row>
    <row r="5604" spans="3:4" x14ac:dyDescent="0.3">
      <c r="C5604" s="62"/>
      <c r="D5604" s="62"/>
    </row>
    <row r="5605" spans="3:4" x14ac:dyDescent="0.3">
      <c r="C5605" s="62"/>
      <c r="D5605" s="62"/>
    </row>
    <row r="5606" spans="3:4" x14ac:dyDescent="0.3">
      <c r="C5606" s="62"/>
      <c r="D5606" s="62"/>
    </row>
    <row r="5607" spans="3:4" x14ac:dyDescent="0.3">
      <c r="C5607" s="62"/>
      <c r="D5607" s="62"/>
    </row>
    <row r="5608" spans="3:4" x14ac:dyDescent="0.3">
      <c r="C5608" s="62"/>
      <c r="D5608" s="62"/>
    </row>
    <row r="5609" spans="3:4" x14ac:dyDescent="0.3">
      <c r="C5609" s="62"/>
      <c r="D5609" s="62"/>
    </row>
    <row r="5610" spans="3:4" x14ac:dyDescent="0.3">
      <c r="C5610" s="62"/>
      <c r="D5610" s="62"/>
    </row>
    <row r="5611" spans="3:4" x14ac:dyDescent="0.3">
      <c r="C5611" s="62"/>
      <c r="D5611" s="62"/>
    </row>
    <row r="5612" spans="3:4" x14ac:dyDescent="0.3">
      <c r="C5612" s="62"/>
      <c r="D5612" s="62"/>
    </row>
    <row r="5613" spans="3:4" x14ac:dyDescent="0.3">
      <c r="C5613" s="62"/>
      <c r="D5613" s="62"/>
    </row>
    <row r="5614" spans="3:4" x14ac:dyDescent="0.3">
      <c r="C5614" s="62"/>
      <c r="D5614" s="62"/>
    </row>
    <row r="5615" spans="3:4" x14ac:dyDescent="0.3">
      <c r="C5615" s="62"/>
      <c r="D5615" s="62"/>
    </row>
    <row r="5616" spans="3:4" x14ac:dyDescent="0.3">
      <c r="C5616" s="62"/>
      <c r="D5616" s="62"/>
    </row>
    <row r="5617" spans="3:4" x14ac:dyDescent="0.3">
      <c r="C5617" s="62"/>
      <c r="D5617" s="62"/>
    </row>
    <row r="5618" spans="3:4" x14ac:dyDescent="0.3">
      <c r="C5618" s="62"/>
      <c r="D5618" s="62"/>
    </row>
    <row r="5619" spans="3:4" x14ac:dyDescent="0.3">
      <c r="C5619" s="62"/>
      <c r="D5619" s="62"/>
    </row>
    <row r="5620" spans="3:4" x14ac:dyDescent="0.3">
      <c r="C5620" s="62"/>
      <c r="D5620" s="62"/>
    </row>
    <row r="5621" spans="3:4" x14ac:dyDescent="0.3">
      <c r="C5621" s="62"/>
      <c r="D5621" s="62"/>
    </row>
    <row r="5622" spans="3:4" x14ac:dyDescent="0.3">
      <c r="C5622" s="62"/>
      <c r="D5622" s="62"/>
    </row>
    <row r="5623" spans="3:4" x14ac:dyDescent="0.3">
      <c r="C5623" s="62"/>
      <c r="D5623" s="62"/>
    </row>
    <row r="5624" spans="3:4" x14ac:dyDescent="0.3">
      <c r="C5624" s="62"/>
      <c r="D5624" s="62"/>
    </row>
    <row r="5625" spans="3:4" x14ac:dyDescent="0.3">
      <c r="C5625" s="62"/>
      <c r="D5625" s="62"/>
    </row>
    <row r="5626" spans="3:4" x14ac:dyDescent="0.3">
      <c r="C5626" s="62"/>
      <c r="D5626" s="62"/>
    </row>
    <row r="5627" spans="3:4" x14ac:dyDescent="0.3">
      <c r="C5627" s="62"/>
      <c r="D5627" s="62"/>
    </row>
    <row r="5628" spans="3:4" x14ac:dyDescent="0.3">
      <c r="C5628" s="62"/>
      <c r="D5628" s="62"/>
    </row>
    <row r="5629" spans="3:4" x14ac:dyDescent="0.3">
      <c r="C5629" s="62"/>
      <c r="D5629" s="62"/>
    </row>
    <row r="5630" spans="3:4" x14ac:dyDescent="0.3">
      <c r="C5630" s="62"/>
      <c r="D5630" s="62"/>
    </row>
    <row r="5631" spans="3:4" x14ac:dyDescent="0.3">
      <c r="C5631" s="62"/>
      <c r="D5631" s="62"/>
    </row>
    <row r="5632" spans="3:4" x14ac:dyDescent="0.3">
      <c r="C5632" s="62"/>
      <c r="D5632" s="62"/>
    </row>
    <row r="5633" spans="3:4" x14ac:dyDescent="0.3">
      <c r="C5633" s="62"/>
      <c r="D5633" s="62"/>
    </row>
    <row r="5634" spans="3:4" x14ac:dyDescent="0.3">
      <c r="C5634" s="62"/>
      <c r="D5634" s="62"/>
    </row>
    <row r="5635" spans="3:4" x14ac:dyDescent="0.3">
      <c r="C5635" s="62"/>
      <c r="D5635" s="62"/>
    </row>
    <row r="5636" spans="3:4" x14ac:dyDescent="0.3">
      <c r="C5636" s="62"/>
      <c r="D5636" s="62"/>
    </row>
    <row r="5637" spans="3:4" x14ac:dyDescent="0.3">
      <c r="C5637" s="62"/>
      <c r="D5637" s="62"/>
    </row>
    <row r="5638" spans="3:4" x14ac:dyDescent="0.3">
      <c r="C5638" s="62"/>
      <c r="D5638" s="62"/>
    </row>
    <row r="5639" spans="3:4" x14ac:dyDescent="0.3">
      <c r="C5639" s="62"/>
      <c r="D5639" s="62"/>
    </row>
    <row r="5640" spans="3:4" x14ac:dyDescent="0.3">
      <c r="C5640" s="62"/>
      <c r="D5640" s="62"/>
    </row>
    <row r="5641" spans="3:4" x14ac:dyDescent="0.3">
      <c r="C5641" s="62"/>
      <c r="D5641" s="62"/>
    </row>
    <row r="5642" spans="3:4" x14ac:dyDescent="0.3">
      <c r="C5642" s="62"/>
      <c r="D5642" s="62"/>
    </row>
    <row r="5643" spans="3:4" x14ac:dyDescent="0.3">
      <c r="C5643" s="62"/>
      <c r="D5643" s="62"/>
    </row>
    <row r="5644" spans="3:4" x14ac:dyDescent="0.3">
      <c r="C5644" s="62"/>
      <c r="D5644" s="62"/>
    </row>
    <row r="5645" spans="3:4" x14ac:dyDescent="0.3">
      <c r="C5645" s="62"/>
      <c r="D5645" s="62"/>
    </row>
    <row r="5646" spans="3:4" x14ac:dyDescent="0.3">
      <c r="C5646" s="62"/>
      <c r="D5646" s="62"/>
    </row>
    <row r="5647" spans="3:4" x14ac:dyDescent="0.3">
      <c r="C5647" s="62"/>
      <c r="D5647" s="62"/>
    </row>
    <row r="5648" spans="3:4" x14ac:dyDescent="0.3">
      <c r="C5648" s="62"/>
      <c r="D5648" s="62"/>
    </row>
    <row r="5649" spans="3:4" x14ac:dyDescent="0.3">
      <c r="C5649" s="62"/>
      <c r="D5649" s="62"/>
    </row>
    <row r="5650" spans="3:4" x14ac:dyDescent="0.3">
      <c r="C5650" s="62"/>
      <c r="D5650" s="62"/>
    </row>
    <row r="5651" spans="3:4" x14ac:dyDescent="0.3">
      <c r="C5651" s="62"/>
      <c r="D5651" s="62"/>
    </row>
    <row r="5652" spans="3:4" x14ac:dyDescent="0.3">
      <c r="C5652" s="62"/>
      <c r="D5652" s="62"/>
    </row>
    <row r="5653" spans="3:4" x14ac:dyDescent="0.3">
      <c r="C5653" s="62"/>
      <c r="D5653" s="62"/>
    </row>
    <row r="5654" spans="3:4" x14ac:dyDescent="0.3">
      <c r="C5654" s="62"/>
      <c r="D5654" s="62"/>
    </row>
    <row r="5655" spans="3:4" x14ac:dyDescent="0.3">
      <c r="C5655" s="62"/>
      <c r="D5655" s="62"/>
    </row>
    <row r="5656" spans="3:4" x14ac:dyDescent="0.3">
      <c r="C5656" s="62"/>
      <c r="D5656" s="62"/>
    </row>
    <row r="5657" spans="3:4" x14ac:dyDescent="0.3">
      <c r="C5657" s="62"/>
      <c r="D5657" s="62"/>
    </row>
    <row r="5658" spans="3:4" x14ac:dyDescent="0.3">
      <c r="C5658" s="62"/>
      <c r="D5658" s="62"/>
    </row>
    <row r="5659" spans="3:4" x14ac:dyDescent="0.3">
      <c r="C5659" s="62"/>
      <c r="D5659" s="62"/>
    </row>
    <row r="5660" spans="3:4" x14ac:dyDescent="0.3">
      <c r="C5660" s="62"/>
      <c r="D5660" s="62"/>
    </row>
    <row r="5661" spans="3:4" x14ac:dyDescent="0.3">
      <c r="C5661" s="62"/>
      <c r="D5661" s="62"/>
    </row>
    <row r="5662" spans="3:4" x14ac:dyDescent="0.3">
      <c r="C5662" s="62"/>
      <c r="D5662" s="62"/>
    </row>
    <row r="5663" spans="3:4" x14ac:dyDescent="0.3">
      <c r="C5663" s="62"/>
      <c r="D5663" s="62"/>
    </row>
    <row r="5664" spans="3:4" x14ac:dyDescent="0.3">
      <c r="C5664" s="62"/>
      <c r="D5664" s="62"/>
    </row>
    <row r="5665" spans="3:4" x14ac:dyDescent="0.3">
      <c r="C5665" s="62"/>
      <c r="D5665" s="62"/>
    </row>
    <row r="5666" spans="3:4" x14ac:dyDescent="0.3">
      <c r="C5666" s="62"/>
      <c r="D5666" s="62"/>
    </row>
    <row r="5667" spans="3:4" x14ac:dyDescent="0.3">
      <c r="C5667" s="62"/>
      <c r="D5667" s="62"/>
    </row>
    <row r="5668" spans="3:4" x14ac:dyDescent="0.3">
      <c r="C5668" s="62"/>
      <c r="D5668" s="62"/>
    </row>
    <row r="5669" spans="3:4" x14ac:dyDescent="0.3">
      <c r="C5669" s="62"/>
      <c r="D5669" s="62"/>
    </row>
    <row r="5670" spans="3:4" x14ac:dyDescent="0.3">
      <c r="C5670" s="62"/>
      <c r="D5670" s="62"/>
    </row>
    <row r="5671" spans="3:4" x14ac:dyDescent="0.3">
      <c r="C5671" s="62"/>
      <c r="D5671" s="62"/>
    </row>
    <row r="5672" spans="3:4" x14ac:dyDescent="0.3">
      <c r="C5672" s="62"/>
      <c r="D5672" s="62"/>
    </row>
    <row r="5673" spans="3:4" x14ac:dyDescent="0.3">
      <c r="C5673" s="62"/>
      <c r="D5673" s="62"/>
    </row>
    <row r="5674" spans="3:4" x14ac:dyDescent="0.3">
      <c r="C5674" s="62"/>
      <c r="D5674" s="62"/>
    </row>
    <row r="5675" spans="3:4" x14ac:dyDescent="0.3">
      <c r="C5675" s="62"/>
      <c r="D5675" s="62"/>
    </row>
    <row r="5676" spans="3:4" x14ac:dyDescent="0.3">
      <c r="C5676" s="62"/>
      <c r="D5676" s="62"/>
    </row>
    <row r="5677" spans="3:4" x14ac:dyDescent="0.3">
      <c r="C5677" s="62"/>
      <c r="D5677" s="62"/>
    </row>
    <row r="5678" spans="3:4" x14ac:dyDescent="0.3">
      <c r="C5678" s="62"/>
      <c r="D5678" s="62"/>
    </row>
    <row r="5679" spans="3:4" x14ac:dyDescent="0.3">
      <c r="C5679" s="62"/>
      <c r="D5679" s="62"/>
    </row>
    <row r="5680" spans="3:4" x14ac:dyDescent="0.3">
      <c r="C5680" s="62"/>
      <c r="D5680" s="62"/>
    </row>
    <row r="5681" spans="3:4" x14ac:dyDescent="0.3">
      <c r="C5681" s="62"/>
      <c r="D5681" s="62"/>
    </row>
    <row r="5682" spans="3:4" x14ac:dyDescent="0.3">
      <c r="C5682" s="62"/>
      <c r="D5682" s="62"/>
    </row>
    <row r="5683" spans="3:4" x14ac:dyDescent="0.3">
      <c r="C5683" s="62"/>
      <c r="D5683" s="62"/>
    </row>
    <row r="5684" spans="3:4" x14ac:dyDescent="0.3">
      <c r="C5684" s="62"/>
      <c r="D5684" s="62"/>
    </row>
    <row r="5685" spans="3:4" x14ac:dyDescent="0.3">
      <c r="C5685" s="62"/>
      <c r="D5685" s="62"/>
    </row>
    <row r="5686" spans="3:4" x14ac:dyDescent="0.3">
      <c r="C5686" s="62"/>
      <c r="D5686" s="62"/>
    </row>
    <row r="5687" spans="3:4" x14ac:dyDescent="0.3">
      <c r="C5687" s="62"/>
      <c r="D5687" s="62"/>
    </row>
    <row r="5688" spans="3:4" x14ac:dyDescent="0.3">
      <c r="C5688" s="62"/>
      <c r="D5688" s="62"/>
    </row>
    <row r="5689" spans="3:4" x14ac:dyDescent="0.3">
      <c r="C5689" s="62"/>
      <c r="D5689" s="62"/>
    </row>
    <row r="5690" spans="3:4" x14ac:dyDescent="0.3">
      <c r="C5690" s="62"/>
      <c r="D5690" s="62"/>
    </row>
    <row r="5691" spans="3:4" x14ac:dyDescent="0.3">
      <c r="C5691" s="62"/>
      <c r="D5691" s="62"/>
    </row>
    <row r="5692" spans="3:4" x14ac:dyDescent="0.3">
      <c r="C5692" s="62"/>
      <c r="D5692" s="62"/>
    </row>
    <row r="5693" spans="3:4" x14ac:dyDescent="0.3">
      <c r="C5693" s="62"/>
      <c r="D5693" s="62"/>
    </row>
    <row r="5694" spans="3:4" x14ac:dyDescent="0.3">
      <c r="C5694" s="62"/>
      <c r="D5694" s="62"/>
    </row>
    <row r="5695" spans="3:4" x14ac:dyDescent="0.3">
      <c r="C5695" s="62"/>
      <c r="D5695" s="62"/>
    </row>
    <row r="5696" spans="3:4" x14ac:dyDescent="0.3">
      <c r="C5696" s="62"/>
      <c r="D5696" s="62"/>
    </row>
    <row r="5697" spans="3:4" x14ac:dyDescent="0.3">
      <c r="C5697" s="62"/>
      <c r="D5697" s="62"/>
    </row>
    <row r="5698" spans="3:4" x14ac:dyDescent="0.3">
      <c r="C5698" s="62"/>
      <c r="D5698" s="62"/>
    </row>
    <row r="5699" spans="3:4" x14ac:dyDescent="0.3">
      <c r="C5699" s="62"/>
      <c r="D5699" s="62"/>
    </row>
    <row r="5700" spans="3:4" x14ac:dyDescent="0.3">
      <c r="C5700" s="62"/>
      <c r="D5700" s="62"/>
    </row>
    <row r="5701" spans="3:4" x14ac:dyDescent="0.3">
      <c r="C5701" s="62"/>
      <c r="D5701" s="62"/>
    </row>
    <row r="5702" spans="3:4" x14ac:dyDescent="0.3">
      <c r="C5702" s="62"/>
      <c r="D5702" s="62"/>
    </row>
    <row r="5703" spans="3:4" x14ac:dyDescent="0.3">
      <c r="C5703" s="62"/>
      <c r="D5703" s="62"/>
    </row>
    <row r="5704" spans="3:4" x14ac:dyDescent="0.3">
      <c r="C5704" s="62"/>
      <c r="D5704" s="62"/>
    </row>
    <row r="5705" spans="3:4" x14ac:dyDescent="0.3">
      <c r="C5705" s="62"/>
      <c r="D5705" s="62"/>
    </row>
    <row r="5706" spans="3:4" x14ac:dyDescent="0.3">
      <c r="C5706" s="62"/>
      <c r="D5706" s="62"/>
    </row>
    <row r="5707" spans="3:4" x14ac:dyDescent="0.3">
      <c r="C5707" s="62"/>
      <c r="D5707" s="62"/>
    </row>
    <row r="5708" spans="3:4" x14ac:dyDescent="0.3">
      <c r="C5708" s="62"/>
      <c r="D5708" s="62"/>
    </row>
    <row r="5709" spans="3:4" x14ac:dyDescent="0.3">
      <c r="C5709" s="62"/>
      <c r="D5709" s="62"/>
    </row>
    <row r="5710" spans="3:4" x14ac:dyDescent="0.3">
      <c r="C5710" s="62"/>
      <c r="D5710" s="62"/>
    </row>
    <row r="5711" spans="3:4" x14ac:dyDescent="0.3">
      <c r="C5711" s="62"/>
      <c r="D5711" s="62"/>
    </row>
    <row r="5712" spans="3:4" x14ac:dyDescent="0.3">
      <c r="C5712" s="62"/>
      <c r="D5712" s="62"/>
    </row>
    <row r="5713" spans="3:4" x14ac:dyDescent="0.3">
      <c r="C5713" s="62"/>
      <c r="D5713" s="62"/>
    </row>
    <row r="5714" spans="3:4" x14ac:dyDescent="0.3">
      <c r="C5714" s="62"/>
      <c r="D5714" s="62"/>
    </row>
    <row r="5715" spans="3:4" x14ac:dyDescent="0.3">
      <c r="C5715" s="62"/>
      <c r="D5715" s="62"/>
    </row>
    <row r="5716" spans="3:4" x14ac:dyDescent="0.3">
      <c r="C5716" s="62"/>
      <c r="D5716" s="62"/>
    </row>
    <row r="5717" spans="3:4" x14ac:dyDescent="0.3">
      <c r="C5717" s="62"/>
      <c r="D5717" s="62"/>
    </row>
    <row r="5718" spans="3:4" x14ac:dyDescent="0.3">
      <c r="C5718" s="62"/>
      <c r="D5718" s="62"/>
    </row>
    <row r="5719" spans="3:4" x14ac:dyDescent="0.3">
      <c r="C5719" s="62"/>
      <c r="D5719" s="62"/>
    </row>
    <row r="5720" spans="3:4" x14ac:dyDescent="0.3">
      <c r="C5720" s="62"/>
      <c r="D5720" s="62"/>
    </row>
    <row r="5721" spans="3:4" x14ac:dyDescent="0.3">
      <c r="C5721" s="62"/>
      <c r="D5721" s="62"/>
    </row>
    <row r="5722" spans="3:4" x14ac:dyDescent="0.3">
      <c r="C5722" s="62"/>
      <c r="D5722" s="62"/>
    </row>
    <row r="5723" spans="3:4" x14ac:dyDescent="0.3">
      <c r="C5723" s="62"/>
      <c r="D5723" s="62"/>
    </row>
    <row r="5724" spans="3:4" x14ac:dyDescent="0.3">
      <c r="C5724" s="62"/>
      <c r="D5724" s="62"/>
    </row>
    <row r="5725" spans="3:4" x14ac:dyDescent="0.3">
      <c r="C5725" s="62"/>
      <c r="D5725" s="62"/>
    </row>
    <row r="5726" spans="3:4" x14ac:dyDescent="0.3">
      <c r="C5726" s="62"/>
      <c r="D5726" s="62"/>
    </row>
    <row r="5727" spans="3:4" x14ac:dyDescent="0.3">
      <c r="C5727" s="62"/>
      <c r="D5727" s="62"/>
    </row>
    <row r="5728" spans="3:4" x14ac:dyDescent="0.3">
      <c r="C5728" s="62"/>
      <c r="D5728" s="62"/>
    </row>
    <row r="5729" spans="3:4" x14ac:dyDescent="0.3">
      <c r="C5729" s="62"/>
      <c r="D5729" s="62"/>
    </row>
    <row r="5730" spans="3:4" x14ac:dyDescent="0.3">
      <c r="C5730" s="62"/>
      <c r="D5730" s="62"/>
    </row>
    <row r="5731" spans="3:4" x14ac:dyDescent="0.3">
      <c r="C5731" s="62"/>
      <c r="D5731" s="62"/>
    </row>
    <row r="5732" spans="3:4" x14ac:dyDescent="0.3">
      <c r="C5732" s="62"/>
      <c r="D5732" s="62"/>
    </row>
    <row r="5733" spans="3:4" x14ac:dyDescent="0.3">
      <c r="C5733" s="62"/>
      <c r="D5733" s="62"/>
    </row>
    <row r="5734" spans="3:4" x14ac:dyDescent="0.3">
      <c r="C5734" s="62"/>
      <c r="D5734" s="62"/>
    </row>
    <row r="5735" spans="3:4" x14ac:dyDescent="0.3">
      <c r="C5735" s="62"/>
      <c r="D5735" s="62"/>
    </row>
    <row r="5736" spans="3:4" x14ac:dyDescent="0.3">
      <c r="C5736" s="62"/>
      <c r="D5736" s="62"/>
    </row>
    <row r="5737" spans="3:4" x14ac:dyDescent="0.3">
      <c r="C5737" s="62"/>
      <c r="D5737" s="62"/>
    </row>
    <row r="5738" spans="3:4" x14ac:dyDescent="0.3">
      <c r="C5738" s="62"/>
      <c r="D5738" s="62"/>
    </row>
    <row r="5739" spans="3:4" x14ac:dyDescent="0.3">
      <c r="C5739" s="62"/>
      <c r="D5739" s="62"/>
    </row>
    <row r="5740" spans="3:4" x14ac:dyDescent="0.3">
      <c r="C5740" s="62"/>
      <c r="D5740" s="62"/>
    </row>
    <row r="5741" spans="3:4" x14ac:dyDescent="0.3">
      <c r="C5741" s="62"/>
      <c r="D5741" s="62"/>
    </row>
    <row r="5742" spans="3:4" x14ac:dyDescent="0.3">
      <c r="C5742" s="62"/>
      <c r="D5742" s="62"/>
    </row>
    <row r="5743" spans="3:4" x14ac:dyDescent="0.3">
      <c r="C5743" s="62"/>
      <c r="D5743" s="62"/>
    </row>
    <row r="5744" spans="3:4" x14ac:dyDescent="0.3">
      <c r="C5744" s="62"/>
      <c r="D5744" s="62"/>
    </row>
    <row r="5745" spans="3:4" x14ac:dyDescent="0.3">
      <c r="C5745" s="62"/>
      <c r="D5745" s="62"/>
    </row>
    <row r="5746" spans="3:4" x14ac:dyDescent="0.3">
      <c r="C5746" s="62"/>
      <c r="D5746" s="62"/>
    </row>
    <row r="5747" spans="3:4" x14ac:dyDescent="0.3">
      <c r="C5747" s="62"/>
      <c r="D5747" s="62"/>
    </row>
    <row r="5748" spans="3:4" x14ac:dyDescent="0.3">
      <c r="C5748" s="62"/>
      <c r="D5748" s="62"/>
    </row>
    <row r="5749" spans="3:4" x14ac:dyDescent="0.3">
      <c r="C5749" s="62"/>
      <c r="D5749" s="62"/>
    </row>
    <row r="5750" spans="3:4" x14ac:dyDescent="0.3">
      <c r="C5750" s="62"/>
      <c r="D5750" s="62"/>
    </row>
    <row r="5751" spans="3:4" x14ac:dyDescent="0.3">
      <c r="C5751" s="62"/>
      <c r="D5751" s="62"/>
    </row>
    <row r="5752" spans="3:4" x14ac:dyDescent="0.3">
      <c r="C5752" s="62"/>
      <c r="D5752" s="62"/>
    </row>
    <row r="5753" spans="3:4" x14ac:dyDescent="0.3">
      <c r="C5753" s="62"/>
      <c r="D5753" s="62"/>
    </row>
    <row r="5754" spans="3:4" x14ac:dyDescent="0.3">
      <c r="C5754" s="62"/>
      <c r="D5754" s="62"/>
    </row>
    <row r="5755" spans="3:4" x14ac:dyDescent="0.3">
      <c r="C5755" s="62"/>
      <c r="D5755" s="62"/>
    </row>
    <row r="5756" spans="3:4" x14ac:dyDescent="0.3">
      <c r="C5756" s="62"/>
      <c r="D5756" s="62"/>
    </row>
    <row r="5757" spans="3:4" x14ac:dyDescent="0.3">
      <c r="C5757" s="62"/>
      <c r="D5757" s="62"/>
    </row>
    <row r="5758" spans="3:4" x14ac:dyDescent="0.3">
      <c r="C5758" s="62"/>
      <c r="D5758" s="62"/>
    </row>
    <row r="5759" spans="3:4" x14ac:dyDescent="0.3">
      <c r="C5759" s="62"/>
      <c r="D5759" s="62"/>
    </row>
    <row r="5760" spans="3:4" x14ac:dyDescent="0.3">
      <c r="C5760" s="62"/>
      <c r="D5760" s="62"/>
    </row>
    <row r="5761" spans="3:4" x14ac:dyDescent="0.3">
      <c r="C5761" s="62"/>
      <c r="D5761" s="62"/>
    </row>
    <row r="5762" spans="3:4" x14ac:dyDescent="0.3">
      <c r="C5762" s="62"/>
      <c r="D5762" s="62"/>
    </row>
    <row r="5763" spans="3:4" x14ac:dyDescent="0.3">
      <c r="C5763" s="62"/>
      <c r="D5763" s="62"/>
    </row>
    <row r="5764" spans="3:4" x14ac:dyDescent="0.3">
      <c r="C5764" s="62"/>
      <c r="D5764" s="62"/>
    </row>
    <row r="5765" spans="3:4" x14ac:dyDescent="0.3">
      <c r="C5765" s="62"/>
      <c r="D5765" s="62"/>
    </row>
    <row r="5766" spans="3:4" x14ac:dyDescent="0.3">
      <c r="C5766" s="62"/>
      <c r="D5766" s="62"/>
    </row>
    <row r="5767" spans="3:4" x14ac:dyDescent="0.3">
      <c r="C5767" s="62"/>
      <c r="D5767" s="62"/>
    </row>
    <row r="5768" spans="3:4" x14ac:dyDescent="0.3">
      <c r="C5768" s="62"/>
      <c r="D5768" s="62"/>
    </row>
    <row r="5769" spans="3:4" x14ac:dyDescent="0.3">
      <c r="C5769" s="62"/>
      <c r="D5769" s="62"/>
    </row>
    <row r="5770" spans="3:4" x14ac:dyDescent="0.3">
      <c r="C5770" s="62"/>
      <c r="D5770" s="62"/>
    </row>
    <row r="5771" spans="3:4" x14ac:dyDescent="0.3">
      <c r="C5771" s="62"/>
      <c r="D5771" s="62"/>
    </row>
    <row r="5772" spans="3:4" x14ac:dyDescent="0.3">
      <c r="C5772" s="62"/>
      <c r="D5772" s="62"/>
    </row>
    <row r="5773" spans="3:4" x14ac:dyDescent="0.3">
      <c r="C5773" s="62"/>
      <c r="D5773" s="62"/>
    </row>
    <row r="5774" spans="3:4" x14ac:dyDescent="0.3">
      <c r="C5774" s="62"/>
      <c r="D5774" s="62"/>
    </row>
    <row r="5775" spans="3:4" x14ac:dyDescent="0.3">
      <c r="C5775" s="62"/>
      <c r="D5775" s="62"/>
    </row>
    <row r="5776" spans="3:4" x14ac:dyDescent="0.3">
      <c r="C5776" s="62"/>
      <c r="D5776" s="62"/>
    </row>
    <row r="5777" spans="3:4" x14ac:dyDescent="0.3">
      <c r="C5777" s="62"/>
      <c r="D5777" s="62"/>
    </row>
    <row r="5778" spans="3:4" x14ac:dyDescent="0.3">
      <c r="C5778" s="62"/>
      <c r="D5778" s="62"/>
    </row>
    <row r="5779" spans="3:4" x14ac:dyDescent="0.3">
      <c r="C5779" s="62"/>
      <c r="D5779" s="62"/>
    </row>
    <row r="5780" spans="3:4" x14ac:dyDescent="0.3">
      <c r="C5780" s="62"/>
      <c r="D5780" s="62"/>
    </row>
    <row r="5781" spans="3:4" x14ac:dyDescent="0.3">
      <c r="C5781" s="62"/>
      <c r="D5781" s="62"/>
    </row>
    <row r="5782" spans="3:4" x14ac:dyDescent="0.3">
      <c r="C5782" s="62"/>
      <c r="D5782" s="62"/>
    </row>
    <row r="5783" spans="3:4" x14ac:dyDescent="0.3">
      <c r="C5783" s="62"/>
      <c r="D5783" s="62"/>
    </row>
    <row r="5784" spans="3:4" x14ac:dyDescent="0.3">
      <c r="C5784" s="62"/>
      <c r="D5784" s="62"/>
    </row>
    <row r="5785" spans="3:4" x14ac:dyDescent="0.3">
      <c r="C5785" s="62"/>
      <c r="D5785" s="62"/>
    </row>
    <row r="5786" spans="3:4" x14ac:dyDescent="0.3">
      <c r="C5786" s="62"/>
      <c r="D5786" s="62"/>
    </row>
    <row r="5787" spans="3:4" x14ac:dyDescent="0.3">
      <c r="C5787" s="62"/>
      <c r="D5787" s="62"/>
    </row>
    <row r="5788" spans="3:4" x14ac:dyDescent="0.3">
      <c r="C5788" s="62"/>
      <c r="D5788" s="62"/>
    </row>
    <row r="5789" spans="3:4" x14ac:dyDescent="0.3">
      <c r="C5789" s="62"/>
      <c r="D5789" s="62"/>
    </row>
    <row r="5790" spans="3:4" x14ac:dyDescent="0.3">
      <c r="C5790" s="62"/>
      <c r="D5790" s="62"/>
    </row>
    <row r="5791" spans="3:4" x14ac:dyDescent="0.3">
      <c r="C5791" s="62"/>
      <c r="D5791" s="62"/>
    </row>
    <row r="5792" spans="3:4" x14ac:dyDescent="0.3">
      <c r="C5792" s="62"/>
      <c r="D5792" s="62"/>
    </row>
    <row r="5793" spans="3:4" x14ac:dyDescent="0.3">
      <c r="C5793" s="62"/>
      <c r="D5793" s="62"/>
    </row>
    <row r="5794" spans="3:4" x14ac:dyDescent="0.3">
      <c r="C5794" s="62"/>
      <c r="D5794" s="62"/>
    </row>
    <row r="5795" spans="3:4" x14ac:dyDescent="0.3">
      <c r="C5795" s="62"/>
      <c r="D5795" s="62"/>
    </row>
    <row r="5796" spans="3:4" x14ac:dyDescent="0.3">
      <c r="C5796" s="62"/>
      <c r="D5796" s="62"/>
    </row>
    <row r="5797" spans="3:4" x14ac:dyDescent="0.3">
      <c r="C5797" s="62"/>
      <c r="D5797" s="62"/>
    </row>
    <row r="5798" spans="3:4" x14ac:dyDescent="0.3">
      <c r="C5798" s="62"/>
      <c r="D5798" s="62"/>
    </row>
    <row r="5799" spans="3:4" x14ac:dyDescent="0.3">
      <c r="C5799" s="62"/>
      <c r="D5799" s="62"/>
    </row>
    <row r="5800" spans="3:4" x14ac:dyDescent="0.3">
      <c r="C5800" s="62"/>
      <c r="D5800" s="62"/>
    </row>
    <row r="5801" spans="3:4" x14ac:dyDescent="0.3">
      <c r="C5801" s="62"/>
      <c r="D5801" s="62"/>
    </row>
    <row r="5802" spans="3:4" x14ac:dyDescent="0.3">
      <c r="C5802" s="62"/>
      <c r="D5802" s="62"/>
    </row>
    <row r="5803" spans="3:4" x14ac:dyDescent="0.3">
      <c r="C5803" s="62"/>
      <c r="D5803" s="62"/>
    </row>
    <row r="5804" spans="3:4" x14ac:dyDescent="0.3">
      <c r="C5804" s="62"/>
      <c r="D5804" s="62"/>
    </row>
    <row r="5805" spans="3:4" x14ac:dyDescent="0.3">
      <c r="C5805" s="62"/>
      <c r="D5805" s="62"/>
    </row>
    <row r="5806" spans="3:4" x14ac:dyDescent="0.3">
      <c r="C5806" s="62"/>
      <c r="D5806" s="62"/>
    </row>
    <row r="5807" spans="3:4" x14ac:dyDescent="0.3">
      <c r="C5807" s="62"/>
      <c r="D5807" s="62"/>
    </row>
    <row r="5808" spans="3:4" x14ac:dyDescent="0.3">
      <c r="C5808" s="62"/>
      <c r="D5808" s="62"/>
    </row>
    <row r="5809" spans="3:4" x14ac:dyDescent="0.3">
      <c r="C5809" s="62"/>
      <c r="D5809" s="62"/>
    </row>
    <row r="5810" spans="3:4" x14ac:dyDescent="0.3">
      <c r="C5810" s="62"/>
      <c r="D5810" s="62"/>
    </row>
    <row r="5811" spans="3:4" x14ac:dyDescent="0.3">
      <c r="C5811" s="62"/>
      <c r="D5811" s="62"/>
    </row>
    <row r="5812" spans="3:4" x14ac:dyDescent="0.3">
      <c r="C5812" s="62"/>
      <c r="D5812" s="62"/>
    </row>
    <row r="5813" spans="3:4" x14ac:dyDescent="0.3">
      <c r="C5813" s="62"/>
      <c r="D5813" s="62"/>
    </row>
    <row r="5814" spans="3:4" x14ac:dyDescent="0.3">
      <c r="C5814" s="62"/>
      <c r="D5814" s="62"/>
    </row>
    <row r="5815" spans="3:4" x14ac:dyDescent="0.3">
      <c r="C5815" s="62"/>
      <c r="D5815" s="62"/>
    </row>
    <row r="5816" spans="3:4" x14ac:dyDescent="0.3">
      <c r="C5816" s="62"/>
      <c r="D5816" s="62"/>
    </row>
    <row r="5817" spans="3:4" x14ac:dyDescent="0.3">
      <c r="C5817" s="62"/>
      <c r="D5817" s="62"/>
    </row>
    <row r="5818" spans="3:4" x14ac:dyDescent="0.3">
      <c r="C5818" s="62"/>
      <c r="D5818" s="62"/>
    </row>
    <row r="5819" spans="3:4" x14ac:dyDescent="0.3">
      <c r="C5819" s="62"/>
      <c r="D5819" s="62"/>
    </row>
    <row r="5820" spans="3:4" x14ac:dyDescent="0.3">
      <c r="C5820" s="62"/>
      <c r="D5820" s="62"/>
    </row>
    <row r="5821" spans="3:4" x14ac:dyDescent="0.3">
      <c r="C5821" s="62"/>
      <c r="D5821" s="62"/>
    </row>
    <row r="5822" spans="3:4" x14ac:dyDescent="0.3">
      <c r="C5822" s="62"/>
      <c r="D5822" s="62"/>
    </row>
    <row r="5823" spans="3:4" x14ac:dyDescent="0.3">
      <c r="C5823" s="62"/>
      <c r="D5823" s="62"/>
    </row>
    <row r="5824" spans="3:4" x14ac:dyDescent="0.3">
      <c r="C5824" s="62"/>
      <c r="D5824" s="62"/>
    </row>
    <row r="5825" spans="3:4" x14ac:dyDescent="0.3">
      <c r="C5825" s="62"/>
      <c r="D5825" s="62"/>
    </row>
    <row r="5826" spans="3:4" x14ac:dyDescent="0.3">
      <c r="C5826" s="62"/>
      <c r="D5826" s="62"/>
    </row>
    <row r="5827" spans="3:4" x14ac:dyDescent="0.3">
      <c r="C5827" s="62"/>
      <c r="D5827" s="62"/>
    </row>
    <row r="5828" spans="3:4" x14ac:dyDescent="0.3">
      <c r="C5828" s="62"/>
      <c r="D5828" s="62"/>
    </row>
    <row r="5829" spans="3:4" x14ac:dyDescent="0.3">
      <c r="C5829" s="62"/>
      <c r="D5829" s="62"/>
    </row>
    <row r="5830" spans="3:4" x14ac:dyDescent="0.3">
      <c r="C5830" s="62"/>
      <c r="D5830" s="62"/>
    </row>
    <row r="5831" spans="3:4" x14ac:dyDescent="0.3">
      <c r="C5831" s="62"/>
      <c r="D5831" s="62"/>
    </row>
    <row r="5832" spans="3:4" x14ac:dyDescent="0.3">
      <c r="C5832" s="62"/>
      <c r="D5832" s="62"/>
    </row>
    <row r="5833" spans="3:4" x14ac:dyDescent="0.3">
      <c r="C5833" s="62"/>
      <c r="D5833" s="62"/>
    </row>
    <row r="5834" spans="3:4" x14ac:dyDescent="0.3">
      <c r="C5834" s="62"/>
      <c r="D5834" s="62"/>
    </row>
    <row r="5835" spans="3:4" x14ac:dyDescent="0.3">
      <c r="C5835" s="62"/>
      <c r="D5835" s="62"/>
    </row>
    <row r="5836" spans="3:4" x14ac:dyDescent="0.3">
      <c r="C5836" s="62"/>
      <c r="D5836" s="62"/>
    </row>
    <row r="5837" spans="3:4" x14ac:dyDescent="0.3">
      <c r="C5837" s="62"/>
      <c r="D5837" s="62"/>
    </row>
    <row r="5838" spans="3:4" x14ac:dyDescent="0.3">
      <c r="C5838" s="62"/>
      <c r="D5838" s="62"/>
    </row>
    <row r="5839" spans="3:4" x14ac:dyDescent="0.3">
      <c r="C5839" s="62"/>
      <c r="D5839" s="62"/>
    </row>
    <row r="5840" spans="3:4" x14ac:dyDescent="0.3">
      <c r="C5840" s="62"/>
      <c r="D5840" s="62"/>
    </row>
    <row r="5841" spans="3:4" x14ac:dyDescent="0.3">
      <c r="C5841" s="62"/>
      <c r="D5841" s="62"/>
    </row>
    <row r="5842" spans="3:4" x14ac:dyDescent="0.3">
      <c r="C5842" s="62"/>
      <c r="D5842" s="62"/>
    </row>
    <row r="5843" spans="3:4" x14ac:dyDescent="0.3">
      <c r="C5843" s="62"/>
      <c r="D5843" s="62"/>
    </row>
    <row r="5844" spans="3:4" x14ac:dyDescent="0.3">
      <c r="C5844" s="62"/>
      <c r="D5844" s="62"/>
    </row>
    <row r="5845" spans="3:4" x14ac:dyDescent="0.3">
      <c r="C5845" s="62"/>
      <c r="D5845" s="62"/>
    </row>
    <row r="5846" spans="3:4" x14ac:dyDescent="0.3">
      <c r="C5846" s="62"/>
      <c r="D5846" s="62"/>
    </row>
    <row r="5847" spans="3:4" x14ac:dyDescent="0.3">
      <c r="C5847" s="62"/>
      <c r="D5847" s="62"/>
    </row>
    <row r="5848" spans="3:4" x14ac:dyDescent="0.3">
      <c r="C5848" s="62"/>
      <c r="D5848" s="62"/>
    </row>
    <row r="5849" spans="3:4" x14ac:dyDescent="0.3">
      <c r="C5849" s="62"/>
      <c r="D5849" s="62"/>
    </row>
    <row r="5850" spans="3:4" x14ac:dyDescent="0.3">
      <c r="C5850" s="62"/>
      <c r="D5850" s="62"/>
    </row>
    <row r="5851" spans="3:4" x14ac:dyDescent="0.3">
      <c r="C5851" s="62"/>
      <c r="D5851" s="62"/>
    </row>
    <row r="5852" spans="3:4" x14ac:dyDescent="0.3">
      <c r="C5852" s="62"/>
      <c r="D5852" s="62"/>
    </row>
    <row r="5853" spans="3:4" x14ac:dyDescent="0.3">
      <c r="C5853" s="62"/>
      <c r="D5853" s="62"/>
    </row>
    <row r="5854" spans="3:4" x14ac:dyDescent="0.3">
      <c r="C5854" s="62"/>
      <c r="D5854" s="62"/>
    </row>
    <row r="5855" spans="3:4" x14ac:dyDescent="0.3">
      <c r="C5855" s="62"/>
      <c r="D5855" s="62"/>
    </row>
    <row r="5856" spans="3:4" x14ac:dyDescent="0.3">
      <c r="C5856" s="62"/>
      <c r="D5856" s="62"/>
    </row>
    <row r="5857" spans="3:4" x14ac:dyDescent="0.3">
      <c r="C5857" s="62"/>
      <c r="D5857" s="62"/>
    </row>
    <row r="5858" spans="3:4" x14ac:dyDescent="0.3">
      <c r="C5858" s="62"/>
      <c r="D5858" s="62"/>
    </row>
    <row r="5859" spans="3:4" x14ac:dyDescent="0.3">
      <c r="C5859" s="62"/>
      <c r="D5859" s="62"/>
    </row>
    <row r="5860" spans="3:4" x14ac:dyDescent="0.3">
      <c r="C5860" s="62"/>
      <c r="D5860" s="62"/>
    </row>
    <row r="5861" spans="3:4" x14ac:dyDescent="0.3">
      <c r="C5861" s="62"/>
      <c r="D5861" s="62"/>
    </row>
    <row r="5862" spans="3:4" x14ac:dyDescent="0.3">
      <c r="C5862" s="62"/>
      <c r="D5862" s="62"/>
    </row>
    <row r="5863" spans="3:4" x14ac:dyDescent="0.3">
      <c r="C5863" s="62"/>
      <c r="D5863" s="62"/>
    </row>
    <row r="5864" spans="3:4" x14ac:dyDescent="0.3">
      <c r="C5864" s="62"/>
      <c r="D5864" s="62"/>
    </row>
    <row r="5865" spans="3:4" x14ac:dyDescent="0.3">
      <c r="C5865" s="62"/>
      <c r="D5865" s="62"/>
    </row>
    <row r="5866" spans="3:4" x14ac:dyDescent="0.3">
      <c r="C5866" s="62"/>
      <c r="D5866" s="62"/>
    </row>
    <row r="5867" spans="3:4" x14ac:dyDescent="0.3">
      <c r="C5867" s="62"/>
      <c r="D5867" s="62"/>
    </row>
    <row r="5868" spans="3:4" x14ac:dyDescent="0.3">
      <c r="C5868" s="62"/>
      <c r="D5868" s="62"/>
    </row>
    <row r="5869" spans="3:4" x14ac:dyDescent="0.3">
      <c r="C5869" s="62"/>
      <c r="D5869" s="62"/>
    </row>
    <row r="5870" spans="3:4" x14ac:dyDescent="0.3">
      <c r="C5870" s="62"/>
      <c r="D5870" s="62"/>
    </row>
    <row r="5871" spans="3:4" x14ac:dyDescent="0.3">
      <c r="C5871" s="62"/>
      <c r="D5871" s="62"/>
    </row>
    <row r="5872" spans="3:4" x14ac:dyDescent="0.3">
      <c r="C5872" s="62"/>
      <c r="D5872" s="62"/>
    </row>
    <row r="5873" spans="3:4" x14ac:dyDescent="0.3">
      <c r="C5873" s="62"/>
      <c r="D5873" s="62"/>
    </row>
    <row r="5874" spans="3:4" x14ac:dyDescent="0.3">
      <c r="C5874" s="62"/>
      <c r="D5874" s="62"/>
    </row>
    <row r="5875" spans="3:4" x14ac:dyDescent="0.3">
      <c r="C5875" s="62"/>
      <c r="D5875" s="62"/>
    </row>
    <row r="5876" spans="3:4" x14ac:dyDescent="0.3">
      <c r="C5876" s="62"/>
      <c r="D5876" s="62"/>
    </row>
    <row r="5877" spans="3:4" x14ac:dyDescent="0.3">
      <c r="C5877" s="62"/>
      <c r="D5877" s="62"/>
    </row>
    <row r="5878" spans="3:4" x14ac:dyDescent="0.3">
      <c r="C5878" s="62"/>
      <c r="D5878" s="62"/>
    </row>
    <row r="5879" spans="3:4" x14ac:dyDescent="0.3">
      <c r="C5879" s="62"/>
      <c r="D5879" s="62"/>
    </row>
    <row r="5880" spans="3:4" x14ac:dyDescent="0.3">
      <c r="C5880" s="62"/>
      <c r="D5880" s="62"/>
    </row>
    <row r="5881" spans="3:4" x14ac:dyDescent="0.3">
      <c r="C5881" s="62"/>
      <c r="D5881" s="62"/>
    </row>
    <row r="5882" spans="3:4" x14ac:dyDescent="0.3">
      <c r="C5882" s="62"/>
      <c r="D5882" s="62"/>
    </row>
    <row r="5883" spans="3:4" x14ac:dyDescent="0.3">
      <c r="C5883" s="62"/>
      <c r="D5883" s="62"/>
    </row>
    <row r="5884" spans="3:4" x14ac:dyDescent="0.3">
      <c r="C5884" s="62"/>
      <c r="D5884" s="62"/>
    </row>
    <row r="5885" spans="3:4" x14ac:dyDescent="0.3">
      <c r="C5885" s="62"/>
      <c r="D5885" s="62"/>
    </row>
    <row r="5886" spans="3:4" x14ac:dyDescent="0.3">
      <c r="C5886" s="62"/>
      <c r="D5886" s="62"/>
    </row>
    <row r="5887" spans="3:4" x14ac:dyDescent="0.3">
      <c r="C5887" s="62"/>
      <c r="D5887" s="62"/>
    </row>
    <row r="5888" spans="3:4" x14ac:dyDescent="0.3">
      <c r="C5888" s="62"/>
      <c r="D5888" s="62"/>
    </row>
    <row r="5889" spans="3:4" x14ac:dyDescent="0.3">
      <c r="C5889" s="62"/>
      <c r="D5889" s="62"/>
    </row>
    <row r="5890" spans="3:4" x14ac:dyDescent="0.3">
      <c r="C5890" s="62"/>
      <c r="D5890" s="62"/>
    </row>
    <row r="5891" spans="3:4" x14ac:dyDescent="0.3">
      <c r="C5891" s="62"/>
      <c r="D5891" s="62"/>
    </row>
    <row r="5892" spans="3:4" x14ac:dyDescent="0.3">
      <c r="C5892" s="62"/>
      <c r="D5892" s="62"/>
    </row>
    <row r="5893" spans="3:4" x14ac:dyDescent="0.3">
      <c r="C5893" s="62"/>
      <c r="D5893" s="62"/>
    </row>
    <row r="5894" spans="3:4" x14ac:dyDescent="0.3">
      <c r="C5894" s="62"/>
      <c r="D5894" s="62"/>
    </row>
    <row r="5895" spans="3:4" x14ac:dyDescent="0.3">
      <c r="C5895" s="62"/>
      <c r="D5895" s="62"/>
    </row>
    <row r="5896" spans="3:4" x14ac:dyDescent="0.3">
      <c r="C5896" s="62"/>
      <c r="D5896" s="62"/>
    </row>
    <row r="5897" spans="3:4" x14ac:dyDescent="0.3">
      <c r="C5897" s="62"/>
      <c r="D5897" s="62"/>
    </row>
    <row r="5898" spans="3:4" x14ac:dyDescent="0.3">
      <c r="C5898" s="62"/>
      <c r="D5898" s="62"/>
    </row>
    <row r="5899" spans="3:4" x14ac:dyDescent="0.3">
      <c r="C5899" s="62"/>
      <c r="D5899" s="62"/>
    </row>
    <row r="5900" spans="3:4" x14ac:dyDescent="0.3">
      <c r="C5900" s="62"/>
      <c r="D5900" s="62"/>
    </row>
    <row r="5901" spans="3:4" x14ac:dyDescent="0.3">
      <c r="C5901" s="62"/>
      <c r="D5901" s="62"/>
    </row>
    <row r="5902" spans="3:4" x14ac:dyDescent="0.3">
      <c r="C5902" s="62"/>
      <c r="D5902" s="62"/>
    </row>
    <row r="5903" spans="3:4" x14ac:dyDescent="0.3">
      <c r="C5903" s="62"/>
      <c r="D5903" s="62"/>
    </row>
    <row r="5904" spans="3:4" x14ac:dyDescent="0.3">
      <c r="C5904" s="62"/>
      <c r="D5904" s="62"/>
    </row>
    <row r="5905" spans="3:4" x14ac:dyDescent="0.3">
      <c r="C5905" s="62"/>
      <c r="D5905" s="62"/>
    </row>
    <row r="5906" spans="3:4" x14ac:dyDescent="0.3">
      <c r="C5906" s="62"/>
      <c r="D5906" s="62"/>
    </row>
    <row r="5907" spans="3:4" x14ac:dyDescent="0.3">
      <c r="C5907" s="62"/>
      <c r="D5907" s="62"/>
    </row>
    <row r="5908" spans="3:4" x14ac:dyDescent="0.3">
      <c r="C5908" s="62"/>
      <c r="D5908" s="62"/>
    </row>
    <row r="5909" spans="3:4" x14ac:dyDescent="0.3">
      <c r="C5909" s="62"/>
      <c r="D5909" s="62"/>
    </row>
    <row r="5910" spans="3:4" x14ac:dyDescent="0.3">
      <c r="C5910" s="62"/>
      <c r="D5910" s="62"/>
    </row>
    <row r="5911" spans="3:4" x14ac:dyDescent="0.3">
      <c r="C5911" s="62"/>
      <c r="D5911" s="62"/>
    </row>
    <row r="5912" spans="3:4" x14ac:dyDescent="0.3">
      <c r="C5912" s="62"/>
      <c r="D5912" s="62"/>
    </row>
    <row r="5913" spans="3:4" x14ac:dyDescent="0.3">
      <c r="C5913" s="62"/>
      <c r="D5913" s="62"/>
    </row>
    <row r="5914" spans="3:4" x14ac:dyDescent="0.3">
      <c r="C5914" s="62"/>
      <c r="D5914" s="62"/>
    </row>
    <row r="5915" spans="3:4" x14ac:dyDescent="0.3">
      <c r="C5915" s="62"/>
      <c r="D5915" s="62"/>
    </row>
    <row r="5916" spans="3:4" x14ac:dyDescent="0.3">
      <c r="C5916" s="62"/>
      <c r="D5916" s="62"/>
    </row>
    <row r="5917" spans="3:4" x14ac:dyDescent="0.3">
      <c r="C5917" s="62"/>
      <c r="D5917" s="62"/>
    </row>
    <row r="5918" spans="3:4" x14ac:dyDescent="0.3">
      <c r="C5918" s="62"/>
      <c r="D5918" s="62"/>
    </row>
    <row r="5919" spans="3:4" x14ac:dyDescent="0.3">
      <c r="C5919" s="62"/>
      <c r="D5919" s="62"/>
    </row>
    <row r="5920" spans="3:4" x14ac:dyDescent="0.3">
      <c r="C5920" s="62"/>
      <c r="D5920" s="62"/>
    </row>
    <row r="5921" spans="3:4" x14ac:dyDescent="0.3">
      <c r="C5921" s="62"/>
      <c r="D5921" s="62"/>
    </row>
    <row r="5922" spans="3:4" x14ac:dyDescent="0.3">
      <c r="C5922" s="62"/>
      <c r="D5922" s="62"/>
    </row>
    <row r="5923" spans="3:4" x14ac:dyDescent="0.3">
      <c r="C5923" s="62"/>
      <c r="D5923" s="62"/>
    </row>
    <row r="5924" spans="3:4" x14ac:dyDescent="0.3">
      <c r="C5924" s="62"/>
      <c r="D5924" s="62"/>
    </row>
    <row r="5925" spans="3:4" x14ac:dyDescent="0.3">
      <c r="C5925" s="62"/>
      <c r="D5925" s="62"/>
    </row>
    <row r="5926" spans="3:4" x14ac:dyDescent="0.3">
      <c r="C5926" s="62"/>
      <c r="D5926" s="62"/>
    </row>
    <row r="5927" spans="3:4" x14ac:dyDescent="0.3">
      <c r="C5927" s="62"/>
      <c r="D5927" s="62"/>
    </row>
    <row r="5928" spans="3:4" x14ac:dyDescent="0.3">
      <c r="C5928" s="62"/>
      <c r="D5928" s="62"/>
    </row>
    <row r="5929" spans="3:4" x14ac:dyDescent="0.3">
      <c r="C5929" s="62"/>
      <c r="D5929" s="62"/>
    </row>
    <row r="5930" spans="3:4" x14ac:dyDescent="0.3">
      <c r="C5930" s="62"/>
      <c r="D5930" s="62"/>
    </row>
    <row r="5931" spans="3:4" x14ac:dyDescent="0.3">
      <c r="C5931" s="62"/>
      <c r="D5931" s="62"/>
    </row>
    <row r="5932" spans="3:4" x14ac:dyDescent="0.3">
      <c r="C5932" s="62"/>
      <c r="D5932" s="62"/>
    </row>
    <row r="5933" spans="3:4" x14ac:dyDescent="0.3">
      <c r="C5933" s="62"/>
      <c r="D5933" s="62"/>
    </row>
    <row r="5934" spans="3:4" x14ac:dyDescent="0.3">
      <c r="C5934" s="62"/>
      <c r="D5934" s="62"/>
    </row>
    <row r="5935" spans="3:4" x14ac:dyDescent="0.3">
      <c r="C5935" s="62"/>
      <c r="D5935" s="62"/>
    </row>
    <row r="5936" spans="3:4" x14ac:dyDescent="0.3">
      <c r="C5936" s="62"/>
      <c r="D5936" s="62"/>
    </row>
    <row r="5937" spans="3:4" x14ac:dyDescent="0.3">
      <c r="C5937" s="62"/>
      <c r="D5937" s="62"/>
    </row>
    <row r="5938" spans="3:4" x14ac:dyDescent="0.3">
      <c r="C5938" s="62"/>
      <c r="D5938" s="62"/>
    </row>
    <row r="5939" spans="3:4" x14ac:dyDescent="0.3">
      <c r="C5939" s="62"/>
      <c r="D5939" s="62"/>
    </row>
    <row r="5940" spans="3:4" x14ac:dyDescent="0.3">
      <c r="C5940" s="62"/>
      <c r="D5940" s="62"/>
    </row>
    <row r="5941" spans="3:4" x14ac:dyDescent="0.3">
      <c r="C5941" s="62"/>
      <c r="D5941" s="62"/>
    </row>
    <row r="5942" spans="3:4" x14ac:dyDescent="0.3">
      <c r="C5942" s="62"/>
      <c r="D5942" s="62"/>
    </row>
    <row r="5943" spans="3:4" x14ac:dyDescent="0.3">
      <c r="C5943" s="62"/>
      <c r="D5943" s="62"/>
    </row>
    <row r="5944" spans="3:4" x14ac:dyDescent="0.3">
      <c r="C5944" s="62"/>
      <c r="D5944" s="62"/>
    </row>
    <row r="5945" spans="3:4" x14ac:dyDescent="0.3">
      <c r="C5945" s="62"/>
      <c r="D5945" s="62"/>
    </row>
    <row r="5946" spans="3:4" x14ac:dyDescent="0.3">
      <c r="C5946" s="62"/>
      <c r="D5946" s="62"/>
    </row>
    <row r="5947" spans="3:4" x14ac:dyDescent="0.3">
      <c r="C5947" s="62"/>
      <c r="D5947" s="62"/>
    </row>
    <row r="5948" spans="3:4" x14ac:dyDescent="0.3">
      <c r="C5948" s="62"/>
      <c r="D5948" s="62"/>
    </row>
    <row r="5949" spans="3:4" x14ac:dyDescent="0.3">
      <c r="C5949" s="62"/>
      <c r="D5949" s="62"/>
    </row>
    <row r="5950" spans="3:4" x14ac:dyDescent="0.3">
      <c r="C5950" s="62"/>
      <c r="D5950" s="62"/>
    </row>
    <row r="5951" spans="3:4" x14ac:dyDescent="0.3">
      <c r="C5951" s="62"/>
      <c r="D5951" s="62"/>
    </row>
    <row r="5952" spans="3:4" x14ac:dyDescent="0.3">
      <c r="C5952" s="62"/>
      <c r="D5952" s="62"/>
    </row>
    <row r="5953" spans="3:4" x14ac:dyDescent="0.3">
      <c r="C5953" s="62"/>
      <c r="D5953" s="62"/>
    </row>
    <row r="5954" spans="3:4" x14ac:dyDescent="0.3">
      <c r="C5954" s="62"/>
      <c r="D5954" s="62"/>
    </row>
    <row r="5955" spans="3:4" x14ac:dyDescent="0.3">
      <c r="C5955" s="62"/>
      <c r="D5955" s="62"/>
    </row>
    <row r="5956" spans="3:4" x14ac:dyDescent="0.3">
      <c r="C5956" s="62"/>
      <c r="D5956" s="62"/>
    </row>
    <row r="5957" spans="3:4" x14ac:dyDescent="0.3">
      <c r="C5957" s="62"/>
      <c r="D5957" s="62"/>
    </row>
    <row r="5958" spans="3:4" x14ac:dyDescent="0.3">
      <c r="C5958" s="62"/>
      <c r="D5958" s="62"/>
    </row>
    <row r="5959" spans="3:4" x14ac:dyDescent="0.3">
      <c r="C5959" s="62"/>
      <c r="D5959" s="62"/>
    </row>
    <row r="5960" spans="3:4" x14ac:dyDescent="0.3">
      <c r="C5960" s="62"/>
      <c r="D5960" s="62"/>
    </row>
    <row r="5961" spans="3:4" x14ac:dyDescent="0.3">
      <c r="C5961" s="62"/>
      <c r="D5961" s="62"/>
    </row>
    <row r="5962" spans="3:4" x14ac:dyDescent="0.3">
      <c r="C5962" s="62"/>
      <c r="D5962" s="62"/>
    </row>
    <row r="5963" spans="3:4" x14ac:dyDescent="0.3">
      <c r="C5963" s="62"/>
      <c r="D5963" s="62"/>
    </row>
    <row r="5964" spans="3:4" x14ac:dyDescent="0.3">
      <c r="C5964" s="62"/>
      <c r="D5964" s="62"/>
    </row>
    <row r="5965" spans="3:4" x14ac:dyDescent="0.3">
      <c r="C5965" s="62"/>
      <c r="D5965" s="62"/>
    </row>
    <row r="5966" spans="3:4" x14ac:dyDescent="0.3">
      <c r="C5966" s="62"/>
      <c r="D5966" s="62"/>
    </row>
    <row r="5967" spans="3:4" x14ac:dyDescent="0.3">
      <c r="C5967" s="62"/>
      <c r="D5967" s="62"/>
    </row>
    <row r="5968" spans="3:4" x14ac:dyDescent="0.3">
      <c r="C5968" s="62"/>
      <c r="D5968" s="62"/>
    </row>
    <row r="5969" spans="3:4" x14ac:dyDescent="0.3">
      <c r="C5969" s="62"/>
      <c r="D5969" s="62"/>
    </row>
    <row r="5970" spans="3:4" x14ac:dyDescent="0.3">
      <c r="C5970" s="62"/>
      <c r="D5970" s="62"/>
    </row>
    <row r="5971" spans="3:4" x14ac:dyDescent="0.3">
      <c r="C5971" s="62"/>
      <c r="D5971" s="62"/>
    </row>
    <row r="5972" spans="3:4" x14ac:dyDescent="0.3">
      <c r="C5972" s="62"/>
      <c r="D5972" s="62"/>
    </row>
    <row r="5973" spans="3:4" x14ac:dyDescent="0.3">
      <c r="C5973" s="62"/>
      <c r="D5973" s="62"/>
    </row>
    <row r="5974" spans="3:4" x14ac:dyDescent="0.3">
      <c r="C5974" s="62"/>
      <c r="D5974" s="62"/>
    </row>
    <row r="5975" spans="3:4" x14ac:dyDescent="0.3">
      <c r="C5975" s="62"/>
      <c r="D5975" s="62"/>
    </row>
    <row r="5976" spans="3:4" x14ac:dyDescent="0.3">
      <c r="C5976" s="62"/>
      <c r="D5976" s="62"/>
    </row>
    <row r="5977" spans="3:4" x14ac:dyDescent="0.3">
      <c r="C5977" s="62"/>
      <c r="D5977" s="62"/>
    </row>
    <row r="5978" spans="3:4" x14ac:dyDescent="0.3">
      <c r="C5978" s="62"/>
      <c r="D5978" s="62"/>
    </row>
    <row r="5979" spans="3:4" x14ac:dyDescent="0.3">
      <c r="C5979" s="62"/>
      <c r="D5979" s="62"/>
    </row>
    <row r="5980" spans="3:4" x14ac:dyDescent="0.3">
      <c r="C5980" s="62"/>
      <c r="D5980" s="62"/>
    </row>
    <row r="5981" spans="3:4" x14ac:dyDescent="0.3">
      <c r="C5981" s="62"/>
      <c r="D5981" s="62"/>
    </row>
    <row r="5982" spans="3:4" x14ac:dyDescent="0.3">
      <c r="C5982" s="62"/>
      <c r="D5982" s="62"/>
    </row>
    <row r="5983" spans="3:4" x14ac:dyDescent="0.3">
      <c r="C5983" s="62"/>
      <c r="D5983" s="62"/>
    </row>
    <row r="5984" spans="3:4" x14ac:dyDescent="0.3">
      <c r="C5984" s="62"/>
      <c r="D5984" s="62"/>
    </row>
    <row r="5985" spans="3:4" x14ac:dyDescent="0.3">
      <c r="C5985" s="62"/>
      <c r="D5985" s="62"/>
    </row>
    <row r="5986" spans="3:4" x14ac:dyDescent="0.3">
      <c r="C5986" s="62"/>
      <c r="D5986" s="62"/>
    </row>
    <row r="5987" spans="3:4" x14ac:dyDescent="0.3">
      <c r="C5987" s="62"/>
      <c r="D5987" s="62"/>
    </row>
    <row r="5988" spans="3:4" x14ac:dyDescent="0.3">
      <c r="C5988" s="62"/>
      <c r="D5988" s="62"/>
    </row>
    <row r="5989" spans="3:4" x14ac:dyDescent="0.3">
      <c r="C5989" s="62"/>
      <c r="D5989" s="62"/>
    </row>
    <row r="5990" spans="3:4" x14ac:dyDescent="0.3">
      <c r="C5990" s="62"/>
      <c r="D5990" s="62"/>
    </row>
    <row r="5991" spans="3:4" x14ac:dyDescent="0.3">
      <c r="C5991" s="62"/>
      <c r="D5991" s="62"/>
    </row>
    <row r="5992" spans="3:4" x14ac:dyDescent="0.3">
      <c r="C5992" s="62"/>
      <c r="D5992" s="62"/>
    </row>
    <row r="5993" spans="3:4" x14ac:dyDescent="0.3">
      <c r="C5993" s="62"/>
      <c r="D5993" s="62"/>
    </row>
    <row r="5994" spans="3:4" x14ac:dyDescent="0.3">
      <c r="C5994" s="62"/>
      <c r="D5994" s="62"/>
    </row>
    <row r="5995" spans="3:4" x14ac:dyDescent="0.3">
      <c r="C5995" s="62"/>
      <c r="D5995" s="62"/>
    </row>
    <row r="5996" spans="3:4" x14ac:dyDescent="0.3">
      <c r="C5996" s="62"/>
      <c r="D5996" s="62"/>
    </row>
    <row r="5997" spans="3:4" x14ac:dyDescent="0.3">
      <c r="C5997" s="62"/>
      <c r="D5997" s="62"/>
    </row>
    <row r="5998" spans="3:4" x14ac:dyDescent="0.3">
      <c r="C5998" s="62"/>
      <c r="D5998" s="62"/>
    </row>
    <row r="5999" spans="3:4" x14ac:dyDescent="0.3">
      <c r="C5999" s="62"/>
      <c r="D5999" s="62"/>
    </row>
    <row r="6000" spans="3:4" x14ac:dyDescent="0.3">
      <c r="C6000" s="62"/>
      <c r="D6000" s="62"/>
    </row>
    <row r="6001" spans="3:4" x14ac:dyDescent="0.3">
      <c r="C6001" s="62"/>
      <c r="D6001" s="62"/>
    </row>
    <row r="6002" spans="3:4" x14ac:dyDescent="0.3">
      <c r="C6002" s="62"/>
      <c r="D6002" s="62"/>
    </row>
    <row r="6003" spans="3:4" x14ac:dyDescent="0.3">
      <c r="C6003" s="62"/>
      <c r="D6003" s="62"/>
    </row>
    <row r="6004" spans="3:4" x14ac:dyDescent="0.3">
      <c r="C6004" s="62"/>
      <c r="D6004" s="62"/>
    </row>
    <row r="6005" spans="3:4" x14ac:dyDescent="0.3">
      <c r="C6005" s="62"/>
      <c r="D6005" s="62"/>
    </row>
    <row r="6006" spans="3:4" x14ac:dyDescent="0.3">
      <c r="C6006" s="62"/>
      <c r="D6006" s="62"/>
    </row>
    <row r="6007" spans="3:4" x14ac:dyDescent="0.3">
      <c r="C6007" s="62"/>
      <c r="D6007" s="62"/>
    </row>
    <row r="6008" spans="3:4" x14ac:dyDescent="0.3">
      <c r="C6008" s="62"/>
      <c r="D6008" s="62"/>
    </row>
    <row r="6009" spans="3:4" x14ac:dyDescent="0.3">
      <c r="C6009" s="62"/>
      <c r="D6009" s="62"/>
    </row>
    <row r="6010" spans="3:4" x14ac:dyDescent="0.3">
      <c r="C6010" s="62"/>
      <c r="D6010" s="62"/>
    </row>
    <row r="6011" spans="3:4" x14ac:dyDescent="0.3">
      <c r="C6011" s="62"/>
      <c r="D6011" s="62"/>
    </row>
    <row r="6012" spans="3:4" x14ac:dyDescent="0.3">
      <c r="C6012" s="62"/>
      <c r="D6012" s="62"/>
    </row>
    <row r="6013" spans="3:4" x14ac:dyDescent="0.3">
      <c r="C6013" s="62"/>
      <c r="D6013" s="62"/>
    </row>
    <row r="6014" spans="3:4" x14ac:dyDescent="0.3">
      <c r="C6014" s="62"/>
      <c r="D6014" s="62"/>
    </row>
    <row r="6015" spans="3:4" x14ac:dyDescent="0.3">
      <c r="C6015" s="62"/>
      <c r="D6015" s="62"/>
    </row>
    <row r="6016" spans="3:4" x14ac:dyDescent="0.3">
      <c r="C6016" s="62"/>
      <c r="D6016" s="62"/>
    </row>
    <row r="6017" spans="3:4" x14ac:dyDescent="0.3">
      <c r="C6017" s="62"/>
      <c r="D6017" s="62"/>
    </row>
    <row r="6018" spans="3:4" x14ac:dyDescent="0.3">
      <c r="C6018" s="62"/>
      <c r="D6018" s="62"/>
    </row>
    <row r="6019" spans="3:4" x14ac:dyDescent="0.3">
      <c r="C6019" s="62"/>
      <c r="D6019" s="62"/>
    </row>
    <row r="6020" spans="3:4" x14ac:dyDescent="0.3">
      <c r="C6020" s="62"/>
      <c r="D6020" s="62"/>
    </row>
    <row r="6021" spans="3:4" x14ac:dyDescent="0.3">
      <c r="C6021" s="62"/>
      <c r="D6021" s="62"/>
    </row>
    <row r="6022" spans="3:4" x14ac:dyDescent="0.3">
      <c r="C6022" s="62"/>
      <c r="D6022" s="62"/>
    </row>
    <row r="6023" spans="3:4" x14ac:dyDescent="0.3">
      <c r="C6023" s="62"/>
      <c r="D6023" s="62"/>
    </row>
    <row r="6024" spans="3:4" x14ac:dyDescent="0.3">
      <c r="C6024" s="62"/>
      <c r="D6024" s="62"/>
    </row>
    <row r="6025" spans="3:4" x14ac:dyDescent="0.3">
      <c r="C6025" s="62"/>
      <c r="D6025" s="62"/>
    </row>
    <row r="6026" spans="3:4" x14ac:dyDescent="0.3">
      <c r="C6026" s="62"/>
      <c r="D6026" s="62"/>
    </row>
    <row r="6027" spans="3:4" x14ac:dyDescent="0.3">
      <c r="C6027" s="62"/>
      <c r="D6027" s="62"/>
    </row>
    <row r="6028" spans="3:4" x14ac:dyDescent="0.3">
      <c r="C6028" s="62"/>
      <c r="D6028" s="62"/>
    </row>
    <row r="6029" spans="3:4" x14ac:dyDescent="0.3">
      <c r="C6029" s="62"/>
      <c r="D6029" s="62"/>
    </row>
    <row r="6030" spans="3:4" x14ac:dyDescent="0.3">
      <c r="C6030" s="62"/>
      <c r="D6030" s="62"/>
    </row>
    <row r="6031" spans="3:4" x14ac:dyDescent="0.3">
      <c r="C6031" s="62"/>
      <c r="D6031" s="62"/>
    </row>
    <row r="6032" spans="3:4" x14ac:dyDescent="0.3">
      <c r="C6032" s="62"/>
      <c r="D6032" s="62"/>
    </row>
    <row r="6033" spans="3:4" x14ac:dyDescent="0.3">
      <c r="C6033" s="62"/>
      <c r="D6033" s="62"/>
    </row>
    <row r="6034" spans="3:4" x14ac:dyDescent="0.3">
      <c r="C6034" s="62"/>
      <c r="D6034" s="62"/>
    </row>
    <row r="6035" spans="3:4" x14ac:dyDescent="0.3">
      <c r="C6035" s="62"/>
      <c r="D6035" s="62"/>
    </row>
    <row r="6036" spans="3:4" x14ac:dyDescent="0.3">
      <c r="C6036" s="62"/>
      <c r="D6036" s="62"/>
    </row>
    <row r="6037" spans="3:4" x14ac:dyDescent="0.3">
      <c r="C6037" s="62"/>
      <c r="D6037" s="62"/>
    </row>
    <row r="6038" spans="3:4" x14ac:dyDescent="0.3">
      <c r="C6038" s="62"/>
      <c r="D6038" s="62"/>
    </row>
    <row r="6039" spans="3:4" x14ac:dyDescent="0.3">
      <c r="C6039" s="62"/>
      <c r="D6039" s="62"/>
    </row>
    <row r="6040" spans="3:4" x14ac:dyDescent="0.3">
      <c r="C6040" s="62"/>
      <c r="D6040" s="62"/>
    </row>
    <row r="6041" spans="3:4" x14ac:dyDescent="0.3">
      <c r="C6041" s="62"/>
      <c r="D6041" s="62"/>
    </row>
    <row r="6042" spans="3:4" x14ac:dyDescent="0.3">
      <c r="C6042" s="62"/>
      <c r="D6042" s="62"/>
    </row>
    <row r="6043" spans="3:4" x14ac:dyDescent="0.3">
      <c r="C6043" s="62"/>
      <c r="D6043" s="62"/>
    </row>
    <row r="6044" spans="3:4" x14ac:dyDescent="0.3">
      <c r="C6044" s="62"/>
      <c r="D6044" s="62"/>
    </row>
    <row r="6045" spans="3:4" x14ac:dyDescent="0.3">
      <c r="C6045" s="62"/>
      <c r="D6045" s="62"/>
    </row>
    <row r="6046" spans="3:4" x14ac:dyDescent="0.3">
      <c r="C6046" s="62"/>
      <c r="D6046" s="62"/>
    </row>
    <row r="6047" spans="3:4" x14ac:dyDescent="0.3">
      <c r="C6047" s="62"/>
      <c r="D6047" s="62"/>
    </row>
    <row r="6048" spans="3:4" x14ac:dyDescent="0.3">
      <c r="C6048" s="62"/>
      <c r="D6048" s="62"/>
    </row>
    <row r="6049" spans="3:4" x14ac:dyDescent="0.3">
      <c r="C6049" s="62"/>
      <c r="D6049" s="62"/>
    </row>
    <row r="6050" spans="3:4" x14ac:dyDescent="0.3">
      <c r="C6050" s="62"/>
      <c r="D6050" s="62"/>
    </row>
    <row r="6051" spans="3:4" x14ac:dyDescent="0.3">
      <c r="C6051" s="62"/>
      <c r="D6051" s="62"/>
    </row>
    <row r="6052" spans="3:4" x14ac:dyDescent="0.3">
      <c r="C6052" s="62"/>
      <c r="D6052" s="62"/>
    </row>
    <row r="6053" spans="3:4" x14ac:dyDescent="0.3">
      <c r="C6053" s="62"/>
      <c r="D6053" s="62"/>
    </row>
    <row r="6054" spans="3:4" x14ac:dyDescent="0.3">
      <c r="C6054" s="62"/>
      <c r="D6054" s="62"/>
    </row>
    <row r="6055" spans="3:4" x14ac:dyDescent="0.3">
      <c r="C6055" s="62"/>
      <c r="D6055" s="62"/>
    </row>
    <row r="6056" spans="3:4" x14ac:dyDescent="0.3">
      <c r="C6056" s="62"/>
      <c r="D6056" s="62"/>
    </row>
    <row r="6057" spans="3:4" x14ac:dyDescent="0.3">
      <c r="C6057" s="62"/>
      <c r="D6057" s="62"/>
    </row>
    <row r="6058" spans="3:4" x14ac:dyDescent="0.3">
      <c r="C6058" s="62"/>
      <c r="D6058" s="62"/>
    </row>
    <row r="6059" spans="3:4" x14ac:dyDescent="0.3">
      <c r="C6059" s="62"/>
      <c r="D6059" s="62"/>
    </row>
    <row r="6060" spans="3:4" x14ac:dyDescent="0.3">
      <c r="C6060" s="62"/>
      <c r="D6060" s="62"/>
    </row>
    <row r="6061" spans="3:4" x14ac:dyDescent="0.3">
      <c r="C6061" s="62"/>
      <c r="D6061" s="62"/>
    </row>
    <row r="6062" spans="3:4" x14ac:dyDescent="0.3">
      <c r="C6062" s="62"/>
      <c r="D6062" s="62"/>
    </row>
    <row r="6063" spans="3:4" x14ac:dyDescent="0.3">
      <c r="C6063" s="62"/>
      <c r="D6063" s="62"/>
    </row>
    <row r="6064" spans="3:4" x14ac:dyDescent="0.3">
      <c r="C6064" s="62"/>
      <c r="D6064" s="62"/>
    </row>
    <row r="6065" spans="3:4" x14ac:dyDescent="0.3">
      <c r="C6065" s="62"/>
      <c r="D6065" s="62"/>
    </row>
    <row r="6066" spans="3:4" x14ac:dyDescent="0.3">
      <c r="C6066" s="62"/>
      <c r="D6066" s="62"/>
    </row>
    <row r="6067" spans="3:4" x14ac:dyDescent="0.3">
      <c r="C6067" s="62"/>
      <c r="D6067" s="62"/>
    </row>
    <row r="6068" spans="3:4" x14ac:dyDescent="0.3">
      <c r="C6068" s="62"/>
      <c r="D6068" s="62"/>
    </row>
    <row r="6069" spans="3:4" x14ac:dyDescent="0.3">
      <c r="C6069" s="62"/>
      <c r="D6069" s="62"/>
    </row>
    <row r="6070" spans="3:4" x14ac:dyDescent="0.3">
      <c r="C6070" s="62"/>
      <c r="D6070" s="62"/>
    </row>
    <row r="6071" spans="3:4" x14ac:dyDescent="0.3">
      <c r="C6071" s="62"/>
      <c r="D6071" s="62"/>
    </row>
    <row r="6072" spans="3:4" x14ac:dyDescent="0.3">
      <c r="C6072" s="62"/>
      <c r="D6072" s="62"/>
    </row>
    <row r="6073" spans="3:4" x14ac:dyDescent="0.3">
      <c r="C6073" s="62"/>
      <c r="D6073" s="62"/>
    </row>
    <row r="6074" spans="3:4" x14ac:dyDescent="0.3">
      <c r="C6074" s="62"/>
      <c r="D6074" s="62"/>
    </row>
    <row r="6075" spans="3:4" x14ac:dyDescent="0.3">
      <c r="C6075" s="62"/>
      <c r="D6075" s="62"/>
    </row>
    <row r="6076" spans="3:4" x14ac:dyDescent="0.3">
      <c r="C6076" s="62"/>
      <c r="D6076" s="62"/>
    </row>
    <row r="6077" spans="3:4" x14ac:dyDescent="0.3">
      <c r="C6077" s="62"/>
      <c r="D6077" s="62"/>
    </row>
    <row r="6078" spans="3:4" x14ac:dyDescent="0.3">
      <c r="C6078" s="62"/>
      <c r="D6078" s="62"/>
    </row>
    <row r="6079" spans="3:4" x14ac:dyDescent="0.3">
      <c r="C6079" s="62"/>
      <c r="D6079" s="62"/>
    </row>
    <row r="6080" spans="3:4" x14ac:dyDescent="0.3">
      <c r="C6080" s="62"/>
      <c r="D6080" s="62"/>
    </row>
    <row r="6081" spans="3:4" x14ac:dyDescent="0.3">
      <c r="C6081" s="62"/>
      <c r="D6081" s="62"/>
    </row>
    <row r="6082" spans="3:4" x14ac:dyDescent="0.3">
      <c r="C6082" s="62"/>
      <c r="D6082" s="62"/>
    </row>
    <row r="6083" spans="3:4" x14ac:dyDescent="0.3">
      <c r="C6083" s="62"/>
      <c r="D6083" s="62"/>
    </row>
    <row r="6084" spans="3:4" x14ac:dyDescent="0.3">
      <c r="C6084" s="62"/>
      <c r="D6084" s="62"/>
    </row>
    <row r="6085" spans="3:4" x14ac:dyDescent="0.3">
      <c r="C6085" s="62"/>
      <c r="D6085" s="62"/>
    </row>
    <row r="6086" spans="3:4" x14ac:dyDescent="0.3">
      <c r="C6086" s="62"/>
      <c r="D6086" s="62"/>
    </row>
    <row r="6087" spans="3:4" x14ac:dyDescent="0.3">
      <c r="C6087" s="62"/>
      <c r="D6087" s="62"/>
    </row>
    <row r="6088" spans="3:4" x14ac:dyDescent="0.3">
      <c r="C6088" s="62"/>
      <c r="D6088" s="62"/>
    </row>
    <row r="6089" spans="3:4" x14ac:dyDescent="0.3">
      <c r="C6089" s="62"/>
      <c r="D6089" s="62"/>
    </row>
    <row r="6090" spans="3:4" x14ac:dyDescent="0.3">
      <c r="C6090" s="62"/>
      <c r="D6090" s="62"/>
    </row>
    <row r="6091" spans="3:4" x14ac:dyDescent="0.3">
      <c r="C6091" s="62"/>
      <c r="D6091" s="62"/>
    </row>
    <row r="6092" spans="3:4" x14ac:dyDescent="0.3">
      <c r="C6092" s="62"/>
      <c r="D6092" s="62"/>
    </row>
    <row r="6093" spans="3:4" x14ac:dyDescent="0.3">
      <c r="C6093" s="62"/>
      <c r="D6093" s="62"/>
    </row>
    <row r="6094" spans="3:4" x14ac:dyDescent="0.3">
      <c r="C6094" s="62"/>
      <c r="D6094" s="62"/>
    </row>
    <row r="6095" spans="3:4" x14ac:dyDescent="0.3">
      <c r="C6095" s="62"/>
      <c r="D6095" s="62"/>
    </row>
    <row r="6096" spans="3:4" x14ac:dyDescent="0.3">
      <c r="C6096" s="62"/>
      <c r="D6096" s="62"/>
    </row>
    <row r="6097" spans="3:4" x14ac:dyDescent="0.3">
      <c r="C6097" s="62"/>
      <c r="D6097" s="62"/>
    </row>
    <row r="6098" spans="3:4" x14ac:dyDescent="0.3">
      <c r="C6098" s="62"/>
      <c r="D6098" s="62"/>
    </row>
    <row r="6099" spans="3:4" x14ac:dyDescent="0.3">
      <c r="C6099" s="62"/>
      <c r="D6099" s="62"/>
    </row>
    <row r="6100" spans="3:4" x14ac:dyDescent="0.3">
      <c r="C6100" s="62"/>
      <c r="D6100" s="62"/>
    </row>
    <row r="6101" spans="3:4" x14ac:dyDescent="0.3">
      <c r="C6101" s="62"/>
      <c r="D6101" s="62"/>
    </row>
    <row r="6102" spans="3:4" x14ac:dyDescent="0.3">
      <c r="C6102" s="62"/>
      <c r="D6102" s="62"/>
    </row>
    <row r="6103" spans="3:4" x14ac:dyDescent="0.3">
      <c r="C6103" s="62"/>
      <c r="D6103" s="62"/>
    </row>
    <row r="6104" spans="3:4" x14ac:dyDescent="0.3">
      <c r="C6104" s="62"/>
      <c r="D6104" s="62"/>
    </row>
    <row r="6105" spans="3:4" x14ac:dyDescent="0.3">
      <c r="C6105" s="62"/>
      <c r="D6105" s="62"/>
    </row>
    <row r="6106" spans="3:4" x14ac:dyDescent="0.3">
      <c r="C6106" s="62"/>
      <c r="D6106" s="62"/>
    </row>
    <row r="6107" spans="3:4" x14ac:dyDescent="0.3">
      <c r="C6107" s="62"/>
      <c r="D6107" s="62"/>
    </row>
    <row r="6108" spans="3:4" x14ac:dyDescent="0.3">
      <c r="C6108" s="62"/>
      <c r="D6108" s="62"/>
    </row>
    <row r="6109" spans="3:4" x14ac:dyDescent="0.3">
      <c r="C6109" s="62"/>
      <c r="D6109" s="62"/>
    </row>
    <row r="6110" spans="3:4" x14ac:dyDescent="0.3">
      <c r="C6110" s="62"/>
      <c r="D6110" s="62"/>
    </row>
    <row r="6111" spans="3:4" x14ac:dyDescent="0.3">
      <c r="C6111" s="62"/>
      <c r="D6111" s="62"/>
    </row>
    <row r="6112" spans="3:4" x14ac:dyDescent="0.3">
      <c r="C6112" s="62"/>
      <c r="D6112" s="62"/>
    </row>
    <row r="6113" spans="3:4" x14ac:dyDescent="0.3">
      <c r="C6113" s="62"/>
      <c r="D6113" s="62"/>
    </row>
    <row r="6114" spans="3:4" x14ac:dyDescent="0.3">
      <c r="C6114" s="62"/>
      <c r="D6114" s="62"/>
    </row>
    <row r="6115" spans="3:4" x14ac:dyDescent="0.3">
      <c r="C6115" s="62"/>
      <c r="D6115" s="62"/>
    </row>
    <row r="6116" spans="3:4" x14ac:dyDescent="0.3">
      <c r="C6116" s="62"/>
      <c r="D6116" s="62"/>
    </row>
    <row r="6117" spans="3:4" x14ac:dyDescent="0.3">
      <c r="C6117" s="62"/>
      <c r="D6117" s="62"/>
    </row>
    <row r="6118" spans="3:4" x14ac:dyDescent="0.3">
      <c r="C6118" s="62"/>
      <c r="D6118" s="62"/>
    </row>
    <row r="6119" spans="3:4" x14ac:dyDescent="0.3">
      <c r="C6119" s="62"/>
      <c r="D6119" s="62"/>
    </row>
    <row r="6120" spans="3:4" x14ac:dyDescent="0.3">
      <c r="C6120" s="62"/>
      <c r="D6120" s="62"/>
    </row>
    <row r="6121" spans="3:4" x14ac:dyDescent="0.3">
      <c r="C6121" s="62"/>
      <c r="D6121" s="62"/>
    </row>
    <row r="6122" spans="3:4" x14ac:dyDescent="0.3">
      <c r="C6122" s="62"/>
      <c r="D6122" s="62"/>
    </row>
    <row r="6123" spans="3:4" x14ac:dyDescent="0.3">
      <c r="C6123" s="62"/>
      <c r="D6123" s="62"/>
    </row>
    <row r="6124" spans="3:4" x14ac:dyDescent="0.3">
      <c r="C6124" s="62"/>
      <c r="D6124" s="62"/>
    </row>
    <row r="6125" spans="3:4" x14ac:dyDescent="0.3">
      <c r="C6125" s="62"/>
      <c r="D6125" s="62"/>
    </row>
    <row r="6126" spans="3:4" x14ac:dyDescent="0.3">
      <c r="C6126" s="62"/>
      <c r="D6126" s="62"/>
    </row>
    <row r="6127" spans="3:4" x14ac:dyDescent="0.3">
      <c r="C6127" s="62"/>
      <c r="D6127" s="62"/>
    </row>
    <row r="6128" spans="3:4" x14ac:dyDescent="0.3">
      <c r="C6128" s="62"/>
      <c r="D6128" s="62"/>
    </row>
    <row r="6129" spans="3:4" x14ac:dyDescent="0.3">
      <c r="C6129" s="62"/>
      <c r="D6129" s="62"/>
    </row>
    <row r="6130" spans="3:4" x14ac:dyDescent="0.3">
      <c r="C6130" s="62"/>
      <c r="D6130" s="62"/>
    </row>
    <row r="6131" spans="3:4" x14ac:dyDescent="0.3">
      <c r="C6131" s="62"/>
      <c r="D6131" s="62"/>
    </row>
    <row r="6132" spans="3:4" x14ac:dyDescent="0.3">
      <c r="C6132" s="62"/>
      <c r="D6132" s="62"/>
    </row>
    <row r="6133" spans="3:4" x14ac:dyDescent="0.3">
      <c r="C6133" s="62"/>
      <c r="D6133" s="62"/>
    </row>
    <row r="6134" spans="3:4" x14ac:dyDescent="0.3">
      <c r="C6134" s="62"/>
      <c r="D6134" s="62"/>
    </row>
    <row r="6135" spans="3:4" x14ac:dyDescent="0.3">
      <c r="C6135" s="62"/>
      <c r="D6135" s="62"/>
    </row>
    <row r="6136" spans="3:4" x14ac:dyDescent="0.3">
      <c r="C6136" s="62"/>
      <c r="D6136" s="62"/>
    </row>
    <row r="6137" spans="3:4" x14ac:dyDescent="0.3">
      <c r="C6137" s="62"/>
      <c r="D6137" s="62"/>
    </row>
    <row r="6138" spans="3:4" x14ac:dyDescent="0.3">
      <c r="C6138" s="62"/>
      <c r="D6138" s="62"/>
    </row>
    <row r="6139" spans="3:4" x14ac:dyDescent="0.3">
      <c r="C6139" s="62"/>
      <c r="D6139" s="62"/>
    </row>
    <row r="6140" spans="3:4" x14ac:dyDescent="0.3">
      <c r="C6140" s="62"/>
      <c r="D6140" s="62"/>
    </row>
    <row r="6141" spans="3:4" x14ac:dyDescent="0.3">
      <c r="C6141" s="62"/>
      <c r="D6141" s="62"/>
    </row>
    <row r="6142" spans="3:4" x14ac:dyDescent="0.3">
      <c r="C6142" s="62"/>
      <c r="D6142" s="62"/>
    </row>
    <row r="6143" spans="3:4" x14ac:dyDescent="0.3">
      <c r="C6143" s="62"/>
      <c r="D6143" s="62"/>
    </row>
    <row r="6144" spans="3:4" x14ac:dyDescent="0.3">
      <c r="C6144" s="62"/>
      <c r="D6144" s="62"/>
    </row>
    <row r="6145" spans="3:4" x14ac:dyDescent="0.3">
      <c r="C6145" s="62"/>
      <c r="D6145" s="62"/>
    </row>
    <row r="6146" spans="3:4" x14ac:dyDescent="0.3">
      <c r="C6146" s="62"/>
      <c r="D6146" s="62"/>
    </row>
    <row r="6147" spans="3:4" x14ac:dyDescent="0.3">
      <c r="C6147" s="62"/>
      <c r="D6147" s="62"/>
    </row>
    <row r="6148" spans="3:4" x14ac:dyDescent="0.3">
      <c r="C6148" s="62"/>
      <c r="D6148" s="62"/>
    </row>
    <row r="6149" spans="3:4" x14ac:dyDescent="0.3">
      <c r="C6149" s="62"/>
      <c r="D6149" s="62"/>
    </row>
    <row r="6150" spans="3:4" x14ac:dyDescent="0.3">
      <c r="C6150" s="62"/>
      <c r="D6150" s="62"/>
    </row>
    <row r="6151" spans="3:4" x14ac:dyDescent="0.3">
      <c r="C6151" s="62"/>
      <c r="D6151" s="62"/>
    </row>
    <row r="6152" spans="3:4" x14ac:dyDescent="0.3">
      <c r="C6152" s="62"/>
      <c r="D6152" s="62"/>
    </row>
    <row r="6153" spans="3:4" x14ac:dyDescent="0.3">
      <c r="C6153" s="62"/>
      <c r="D6153" s="62"/>
    </row>
    <row r="6154" spans="3:4" x14ac:dyDescent="0.3">
      <c r="C6154" s="62"/>
      <c r="D6154" s="62"/>
    </row>
    <row r="6155" spans="3:4" x14ac:dyDescent="0.3">
      <c r="C6155" s="62"/>
      <c r="D6155" s="62"/>
    </row>
    <row r="6156" spans="3:4" x14ac:dyDescent="0.3">
      <c r="C6156" s="62"/>
      <c r="D6156" s="62"/>
    </row>
    <row r="6157" spans="3:4" x14ac:dyDescent="0.3">
      <c r="C6157" s="62"/>
      <c r="D6157" s="62"/>
    </row>
    <row r="6158" spans="3:4" x14ac:dyDescent="0.3">
      <c r="C6158" s="62"/>
      <c r="D6158" s="62"/>
    </row>
    <row r="6159" spans="3:4" x14ac:dyDescent="0.3">
      <c r="C6159" s="62"/>
      <c r="D6159" s="62"/>
    </row>
    <row r="6160" spans="3:4" x14ac:dyDescent="0.3">
      <c r="C6160" s="62"/>
      <c r="D6160" s="62"/>
    </row>
    <row r="6161" spans="3:4" x14ac:dyDescent="0.3">
      <c r="C6161" s="62"/>
      <c r="D6161" s="62"/>
    </row>
    <row r="6162" spans="3:4" x14ac:dyDescent="0.3">
      <c r="C6162" s="62"/>
      <c r="D6162" s="62"/>
    </row>
    <row r="6163" spans="3:4" x14ac:dyDescent="0.3">
      <c r="C6163" s="62"/>
      <c r="D6163" s="62"/>
    </row>
    <row r="6164" spans="3:4" x14ac:dyDescent="0.3">
      <c r="C6164" s="62"/>
      <c r="D6164" s="62"/>
    </row>
    <row r="6165" spans="3:4" x14ac:dyDescent="0.3">
      <c r="C6165" s="62"/>
      <c r="D6165" s="62"/>
    </row>
    <row r="6166" spans="3:4" x14ac:dyDescent="0.3">
      <c r="C6166" s="62"/>
      <c r="D6166" s="62"/>
    </row>
    <row r="6167" spans="3:4" x14ac:dyDescent="0.3">
      <c r="C6167" s="62"/>
      <c r="D6167" s="62"/>
    </row>
    <row r="6168" spans="3:4" x14ac:dyDescent="0.3">
      <c r="C6168" s="62"/>
      <c r="D6168" s="62"/>
    </row>
    <row r="6169" spans="3:4" x14ac:dyDescent="0.3">
      <c r="C6169" s="62"/>
      <c r="D6169" s="62"/>
    </row>
    <row r="6170" spans="3:4" x14ac:dyDescent="0.3">
      <c r="C6170" s="62"/>
      <c r="D6170" s="62"/>
    </row>
    <row r="6171" spans="3:4" x14ac:dyDescent="0.3">
      <c r="C6171" s="62"/>
      <c r="D6171" s="62"/>
    </row>
    <row r="6172" spans="3:4" x14ac:dyDescent="0.3">
      <c r="C6172" s="62"/>
      <c r="D6172" s="62"/>
    </row>
    <row r="6173" spans="3:4" x14ac:dyDescent="0.3">
      <c r="C6173" s="62"/>
      <c r="D6173" s="62"/>
    </row>
    <row r="6174" spans="3:4" x14ac:dyDescent="0.3">
      <c r="C6174" s="62"/>
      <c r="D6174" s="62"/>
    </row>
    <row r="6175" spans="3:4" x14ac:dyDescent="0.3">
      <c r="C6175" s="62"/>
      <c r="D6175" s="62"/>
    </row>
    <row r="6176" spans="3:4" x14ac:dyDescent="0.3">
      <c r="C6176" s="62"/>
      <c r="D6176" s="62"/>
    </row>
    <row r="6177" spans="3:4" x14ac:dyDescent="0.3">
      <c r="C6177" s="62"/>
      <c r="D6177" s="62"/>
    </row>
    <row r="6178" spans="3:4" x14ac:dyDescent="0.3">
      <c r="C6178" s="62"/>
      <c r="D6178" s="62"/>
    </row>
    <row r="6179" spans="3:4" x14ac:dyDescent="0.3">
      <c r="C6179" s="62"/>
      <c r="D6179" s="62"/>
    </row>
    <row r="6180" spans="3:4" x14ac:dyDescent="0.3">
      <c r="C6180" s="62"/>
      <c r="D6180" s="62"/>
    </row>
    <row r="6181" spans="3:4" x14ac:dyDescent="0.3">
      <c r="C6181" s="62"/>
      <c r="D6181" s="62"/>
    </row>
    <row r="6182" spans="3:4" x14ac:dyDescent="0.3">
      <c r="C6182" s="62"/>
      <c r="D6182" s="62"/>
    </row>
    <row r="6183" spans="3:4" x14ac:dyDescent="0.3">
      <c r="C6183" s="62"/>
      <c r="D6183" s="62"/>
    </row>
    <row r="6184" spans="3:4" x14ac:dyDescent="0.3">
      <c r="C6184" s="62"/>
      <c r="D6184" s="62"/>
    </row>
    <row r="6185" spans="3:4" x14ac:dyDescent="0.3">
      <c r="C6185" s="62"/>
      <c r="D6185" s="62"/>
    </row>
    <row r="6186" spans="3:4" x14ac:dyDescent="0.3">
      <c r="C6186" s="62"/>
      <c r="D6186" s="62"/>
    </row>
    <row r="6187" spans="3:4" x14ac:dyDescent="0.3">
      <c r="C6187" s="62"/>
      <c r="D6187" s="62"/>
    </row>
    <row r="6188" spans="3:4" x14ac:dyDescent="0.3">
      <c r="C6188" s="62"/>
      <c r="D6188" s="62"/>
    </row>
    <row r="6189" spans="3:4" x14ac:dyDescent="0.3">
      <c r="C6189" s="62"/>
      <c r="D6189" s="62"/>
    </row>
    <row r="6190" spans="3:4" x14ac:dyDescent="0.3">
      <c r="C6190" s="62"/>
      <c r="D6190" s="62"/>
    </row>
    <row r="6191" spans="3:4" x14ac:dyDescent="0.3">
      <c r="C6191" s="62"/>
      <c r="D6191" s="62"/>
    </row>
    <row r="6192" spans="3:4" x14ac:dyDescent="0.3">
      <c r="C6192" s="62"/>
      <c r="D6192" s="62"/>
    </row>
    <row r="6193" spans="3:4" x14ac:dyDescent="0.3">
      <c r="C6193" s="62"/>
      <c r="D6193" s="62"/>
    </row>
    <row r="6194" spans="3:4" x14ac:dyDescent="0.3">
      <c r="C6194" s="62"/>
      <c r="D6194" s="62"/>
    </row>
    <row r="6195" spans="3:4" x14ac:dyDescent="0.3">
      <c r="C6195" s="62"/>
      <c r="D6195" s="62"/>
    </row>
    <row r="6196" spans="3:4" x14ac:dyDescent="0.3">
      <c r="C6196" s="62"/>
      <c r="D6196" s="62"/>
    </row>
    <row r="6197" spans="3:4" x14ac:dyDescent="0.3">
      <c r="C6197" s="62"/>
      <c r="D6197" s="62"/>
    </row>
    <row r="6198" spans="3:4" x14ac:dyDescent="0.3">
      <c r="C6198" s="62"/>
      <c r="D6198" s="62"/>
    </row>
    <row r="6199" spans="3:4" x14ac:dyDescent="0.3">
      <c r="C6199" s="62"/>
      <c r="D6199" s="62"/>
    </row>
    <row r="6200" spans="3:4" x14ac:dyDescent="0.3">
      <c r="C6200" s="62"/>
      <c r="D6200" s="62"/>
    </row>
    <row r="6201" spans="3:4" x14ac:dyDescent="0.3">
      <c r="C6201" s="62"/>
      <c r="D6201" s="62"/>
    </row>
    <row r="6202" spans="3:4" x14ac:dyDescent="0.3">
      <c r="C6202" s="62"/>
      <c r="D6202" s="62"/>
    </row>
    <row r="6203" spans="3:4" x14ac:dyDescent="0.3">
      <c r="C6203" s="62"/>
      <c r="D6203" s="62"/>
    </row>
    <row r="6204" spans="3:4" x14ac:dyDescent="0.3">
      <c r="C6204" s="62"/>
      <c r="D6204" s="62"/>
    </row>
    <row r="6205" spans="3:4" x14ac:dyDescent="0.3">
      <c r="C6205" s="62"/>
      <c r="D6205" s="62"/>
    </row>
    <row r="6206" spans="3:4" x14ac:dyDescent="0.3">
      <c r="C6206" s="62"/>
      <c r="D6206" s="62"/>
    </row>
    <row r="6207" spans="3:4" x14ac:dyDescent="0.3">
      <c r="C6207" s="62"/>
      <c r="D6207" s="62"/>
    </row>
    <row r="6208" spans="3:4" x14ac:dyDescent="0.3">
      <c r="C6208" s="62"/>
      <c r="D6208" s="62"/>
    </row>
    <row r="6209" spans="3:4" x14ac:dyDescent="0.3">
      <c r="C6209" s="62"/>
      <c r="D6209" s="62"/>
    </row>
    <row r="6210" spans="3:4" x14ac:dyDescent="0.3">
      <c r="C6210" s="62"/>
      <c r="D6210" s="62"/>
    </row>
    <row r="6211" spans="3:4" x14ac:dyDescent="0.3">
      <c r="C6211" s="62"/>
      <c r="D6211" s="62"/>
    </row>
    <row r="6212" spans="3:4" x14ac:dyDescent="0.3">
      <c r="C6212" s="62"/>
      <c r="D6212" s="62"/>
    </row>
    <row r="6213" spans="3:4" x14ac:dyDescent="0.3">
      <c r="C6213" s="62"/>
      <c r="D6213" s="62"/>
    </row>
    <row r="6214" spans="3:4" x14ac:dyDescent="0.3">
      <c r="C6214" s="62"/>
      <c r="D6214" s="62"/>
    </row>
    <row r="6215" spans="3:4" x14ac:dyDescent="0.3">
      <c r="C6215" s="62"/>
      <c r="D6215" s="62"/>
    </row>
    <row r="6216" spans="3:4" x14ac:dyDescent="0.3">
      <c r="C6216" s="62"/>
      <c r="D6216" s="62"/>
    </row>
    <row r="6217" spans="3:4" x14ac:dyDescent="0.3">
      <c r="C6217" s="62"/>
      <c r="D6217" s="62"/>
    </row>
    <row r="6218" spans="3:4" x14ac:dyDescent="0.3">
      <c r="C6218" s="62"/>
      <c r="D6218" s="62"/>
    </row>
    <row r="6219" spans="3:4" x14ac:dyDescent="0.3">
      <c r="C6219" s="62"/>
      <c r="D6219" s="62"/>
    </row>
    <row r="6220" spans="3:4" x14ac:dyDescent="0.3">
      <c r="C6220" s="62"/>
      <c r="D6220" s="62"/>
    </row>
    <row r="6221" spans="3:4" x14ac:dyDescent="0.3">
      <c r="C6221" s="62"/>
      <c r="D6221" s="62"/>
    </row>
    <row r="6222" spans="3:4" x14ac:dyDescent="0.3">
      <c r="C6222" s="62"/>
      <c r="D6222" s="62"/>
    </row>
    <row r="6223" spans="3:4" x14ac:dyDescent="0.3">
      <c r="C6223" s="62"/>
      <c r="D6223" s="62"/>
    </row>
    <row r="6224" spans="3:4" x14ac:dyDescent="0.3">
      <c r="C6224" s="62"/>
      <c r="D6224" s="62"/>
    </row>
    <row r="6225" spans="3:4" x14ac:dyDescent="0.3">
      <c r="C6225" s="62"/>
      <c r="D6225" s="62"/>
    </row>
    <row r="6226" spans="3:4" x14ac:dyDescent="0.3">
      <c r="C6226" s="62"/>
      <c r="D6226" s="62"/>
    </row>
    <row r="6227" spans="3:4" x14ac:dyDescent="0.3">
      <c r="C6227" s="62"/>
      <c r="D6227" s="62"/>
    </row>
    <row r="6228" spans="3:4" x14ac:dyDescent="0.3">
      <c r="C6228" s="62"/>
      <c r="D6228" s="62"/>
    </row>
    <row r="6229" spans="3:4" x14ac:dyDescent="0.3">
      <c r="C6229" s="62"/>
      <c r="D6229" s="62"/>
    </row>
    <row r="6230" spans="3:4" x14ac:dyDescent="0.3">
      <c r="C6230" s="62"/>
      <c r="D6230" s="62"/>
    </row>
    <row r="6231" spans="3:4" x14ac:dyDescent="0.3">
      <c r="C6231" s="62"/>
      <c r="D6231" s="62"/>
    </row>
    <row r="6232" spans="3:4" x14ac:dyDescent="0.3">
      <c r="C6232" s="62"/>
      <c r="D6232" s="62"/>
    </row>
    <row r="6233" spans="3:4" x14ac:dyDescent="0.3">
      <c r="C6233" s="62"/>
      <c r="D6233" s="62"/>
    </row>
    <row r="6234" spans="3:4" x14ac:dyDescent="0.3">
      <c r="C6234" s="62"/>
      <c r="D6234" s="62"/>
    </row>
    <row r="6235" spans="3:4" x14ac:dyDescent="0.3">
      <c r="C6235" s="62"/>
      <c r="D6235" s="62"/>
    </row>
    <row r="6236" spans="3:4" x14ac:dyDescent="0.3">
      <c r="C6236" s="62"/>
      <c r="D6236" s="62"/>
    </row>
    <row r="6237" spans="3:4" x14ac:dyDescent="0.3">
      <c r="C6237" s="62"/>
      <c r="D6237" s="62"/>
    </row>
    <row r="6238" spans="3:4" x14ac:dyDescent="0.3">
      <c r="C6238" s="62"/>
      <c r="D6238" s="62"/>
    </row>
    <row r="6239" spans="3:4" x14ac:dyDescent="0.3">
      <c r="C6239" s="62"/>
      <c r="D6239" s="62"/>
    </row>
    <row r="6240" spans="3:4" x14ac:dyDescent="0.3">
      <c r="C6240" s="62"/>
      <c r="D6240" s="62"/>
    </row>
    <row r="6241" spans="3:4" x14ac:dyDescent="0.3">
      <c r="C6241" s="62"/>
      <c r="D6241" s="62"/>
    </row>
    <row r="6242" spans="3:4" x14ac:dyDescent="0.3">
      <c r="C6242" s="62"/>
      <c r="D6242" s="62"/>
    </row>
    <row r="6243" spans="3:4" x14ac:dyDescent="0.3">
      <c r="C6243" s="62"/>
      <c r="D6243" s="62"/>
    </row>
    <row r="6244" spans="3:4" x14ac:dyDescent="0.3">
      <c r="C6244" s="62"/>
      <c r="D6244" s="62"/>
    </row>
    <row r="6245" spans="3:4" x14ac:dyDescent="0.3">
      <c r="C6245" s="62"/>
      <c r="D6245" s="62"/>
    </row>
    <row r="6246" spans="3:4" x14ac:dyDescent="0.3">
      <c r="C6246" s="62"/>
      <c r="D6246" s="62"/>
    </row>
    <row r="6247" spans="3:4" x14ac:dyDescent="0.3">
      <c r="C6247" s="62"/>
      <c r="D6247" s="62"/>
    </row>
    <row r="6248" spans="3:4" x14ac:dyDescent="0.3">
      <c r="C6248" s="62"/>
      <c r="D6248" s="62"/>
    </row>
    <row r="6249" spans="3:4" x14ac:dyDescent="0.3">
      <c r="C6249" s="62"/>
      <c r="D6249" s="62"/>
    </row>
    <row r="6250" spans="3:4" x14ac:dyDescent="0.3">
      <c r="C6250" s="62"/>
      <c r="D6250" s="62"/>
    </row>
    <row r="6251" spans="3:4" x14ac:dyDescent="0.3">
      <c r="C6251" s="62"/>
      <c r="D6251" s="62"/>
    </row>
    <row r="6252" spans="3:4" x14ac:dyDescent="0.3">
      <c r="C6252" s="62"/>
      <c r="D6252" s="62"/>
    </row>
    <row r="6253" spans="3:4" x14ac:dyDescent="0.3">
      <c r="C6253" s="62"/>
      <c r="D6253" s="62"/>
    </row>
    <row r="6254" spans="3:4" x14ac:dyDescent="0.3">
      <c r="C6254" s="62"/>
      <c r="D6254" s="62"/>
    </row>
    <row r="6255" spans="3:4" x14ac:dyDescent="0.3">
      <c r="C6255" s="62"/>
      <c r="D6255" s="62"/>
    </row>
    <row r="6256" spans="3:4" x14ac:dyDescent="0.3">
      <c r="C6256" s="62"/>
      <c r="D6256" s="62"/>
    </row>
    <row r="6257" spans="3:4" x14ac:dyDescent="0.3">
      <c r="C6257" s="62"/>
      <c r="D6257" s="62"/>
    </row>
    <row r="6258" spans="3:4" x14ac:dyDescent="0.3">
      <c r="C6258" s="62"/>
      <c r="D6258" s="62"/>
    </row>
    <row r="6259" spans="3:4" x14ac:dyDescent="0.3">
      <c r="C6259" s="62"/>
      <c r="D6259" s="62"/>
    </row>
    <row r="6260" spans="3:4" x14ac:dyDescent="0.3">
      <c r="C6260" s="62"/>
      <c r="D6260" s="62"/>
    </row>
    <row r="6261" spans="3:4" x14ac:dyDescent="0.3">
      <c r="C6261" s="62"/>
      <c r="D6261" s="62"/>
    </row>
    <row r="6262" spans="3:4" x14ac:dyDescent="0.3">
      <c r="C6262" s="62"/>
      <c r="D6262" s="62"/>
    </row>
    <row r="6263" spans="3:4" x14ac:dyDescent="0.3">
      <c r="C6263" s="62"/>
      <c r="D6263" s="62"/>
    </row>
    <row r="6264" spans="3:4" x14ac:dyDescent="0.3">
      <c r="C6264" s="62"/>
      <c r="D6264" s="62"/>
    </row>
    <row r="6265" spans="3:4" x14ac:dyDescent="0.3">
      <c r="C6265" s="62"/>
      <c r="D6265" s="62"/>
    </row>
    <row r="6266" spans="3:4" x14ac:dyDescent="0.3">
      <c r="C6266" s="62"/>
      <c r="D6266" s="62"/>
    </row>
    <row r="6267" spans="3:4" x14ac:dyDescent="0.3">
      <c r="C6267" s="62"/>
      <c r="D6267" s="62"/>
    </row>
    <row r="6268" spans="3:4" x14ac:dyDescent="0.3">
      <c r="C6268" s="62"/>
      <c r="D6268" s="62"/>
    </row>
    <row r="6269" spans="3:4" x14ac:dyDescent="0.3">
      <c r="C6269" s="62"/>
      <c r="D6269" s="62"/>
    </row>
    <row r="6270" spans="3:4" x14ac:dyDescent="0.3">
      <c r="C6270" s="62"/>
      <c r="D6270" s="62"/>
    </row>
    <row r="6271" spans="3:4" x14ac:dyDescent="0.3">
      <c r="C6271" s="62"/>
      <c r="D6271" s="62"/>
    </row>
    <row r="6272" spans="3:4" x14ac:dyDescent="0.3">
      <c r="C6272" s="62"/>
      <c r="D6272" s="62"/>
    </row>
    <row r="6273" spans="3:4" x14ac:dyDescent="0.3">
      <c r="C6273" s="62"/>
      <c r="D6273" s="62"/>
    </row>
    <row r="6274" spans="3:4" x14ac:dyDescent="0.3">
      <c r="C6274" s="62"/>
      <c r="D6274" s="62"/>
    </row>
    <row r="6275" spans="3:4" x14ac:dyDescent="0.3">
      <c r="C6275" s="62"/>
      <c r="D6275" s="62"/>
    </row>
    <row r="6276" spans="3:4" x14ac:dyDescent="0.3">
      <c r="C6276" s="62"/>
      <c r="D6276" s="62"/>
    </row>
    <row r="6277" spans="3:4" x14ac:dyDescent="0.3">
      <c r="C6277" s="62"/>
      <c r="D6277" s="62"/>
    </row>
    <row r="6278" spans="3:4" x14ac:dyDescent="0.3">
      <c r="C6278" s="62"/>
      <c r="D6278" s="62"/>
    </row>
    <row r="6279" spans="3:4" x14ac:dyDescent="0.3">
      <c r="C6279" s="62"/>
      <c r="D6279" s="62"/>
    </row>
    <row r="6280" spans="3:4" x14ac:dyDescent="0.3">
      <c r="C6280" s="62"/>
      <c r="D6280" s="62"/>
    </row>
    <row r="6281" spans="3:4" x14ac:dyDescent="0.3">
      <c r="C6281" s="62"/>
      <c r="D6281" s="62"/>
    </row>
    <row r="6282" spans="3:4" x14ac:dyDescent="0.3">
      <c r="C6282" s="62"/>
      <c r="D6282" s="62"/>
    </row>
    <row r="6283" spans="3:4" x14ac:dyDescent="0.3">
      <c r="C6283" s="62"/>
      <c r="D6283" s="62"/>
    </row>
    <row r="6284" spans="3:4" x14ac:dyDescent="0.3">
      <c r="C6284" s="62"/>
      <c r="D6284" s="62"/>
    </row>
    <row r="6285" spans="3:4" x14ac:dyDescent="0.3">
      <c r="C6285" s="62"/>
      <c r="D6285" s="62"/>
    </row>
    <row r="6286" spans="3:4" x14ac:dyDescent="0.3">
      <c r="C6286" s="62"/>
      <c r="D6286" s="62"/>
    </row>
    <row r="6287" spans="3:4" x14ac:dyDescent="0.3">
      <c r="C6287" s="62"/>
      <c r="D6287" s="62"/>
    </row>
    <row r="6288" spans="3:4" x14ac:dyDescent="0.3">
      <c r="C6288" s="62"/>
      <c r="D6288" s="62"/>
    </row>
    <row r="6289" spans="3:4" x14ac:dyDescent="0.3">
      <c r="C6289" s="62"/>
      <c r="D6289" s="62"/>
    </row>
    <row r="6290" spans="3:4" x14ac:dyDescent="0.3">
      <c r="C6290" s="62"/>
      <c r="D6290" s="62"/>
    </row>
    <row r="6291" spans="3:4" x14ac:dyDescent="0.3">
      <c r="C6291" s="62"/>
      <c r="D6291" s="62"/>
    </row>
    <row r="6292" spans="3:4" x14ac:dyDescent="0.3">
      <c r="C6292" s="62"/>
      <c r="D6292" s="62"/>
    </row>
    <row r="6293" spans="3:4" x14ac:dyDescent="0.3">
      <c r="C6293" s="62"/>
      <c r="D6293" s="62"/>
    </row>
    <row r="6294" spans="3:4" x14ac:dyDescent="0.3">
      <c r="C6294" s="62"/>
      <c r="D6294" s="62"/>
    </row>
    <row r="6295" spans="3:4" x14ac:dyDescent="0.3">
      <c r="C6295" s="62"/>
      <c r="D6295" s="62"/>
    </row>
    <row r="6296" spans="3:4" x14ac:dyDescent="0.3">
      <c r="C6296" s="62"/>
      <c r="D6296" s="62"/>
    </row>
    <row r="6297" spans="3:4" x14ac:dyDescent="0.3">
      <c r="C6297" s="62"/>
      <c r="D6297" s="62"/>
    </row>
    <row r="6298" spans="3:4" x14ac:dyDescent="0.3">
      <c r="C6298" s="62"/>
      <c r="D6298" s="62"/>
    </row>
    <row r="6299" spans="3:4" x14ac:dyDescent="0.3">
      <c r="C6299" s="62"/>
      <c r="D6299" s="62"/>
    </row>
    <row r="6300" spans="3:4" x14ac:dyDescent="0.3">
      <c r="C6300" s="62"/>
      <c r="D6300" s="62"/>
    </row>
    <row r="6301" spans="3:4" x14ac:dyDescent="0.3">
      <c r="C6301" s="62"/>
      <c r="D6301" s="62"/>
    </row>
    <row r="6302" spans="3:4" x14ac:dyDescent="0.3">
      <c r="C6302" s="62"/>
      <c r="D6302" s="62"/>
    </row>
    <row r="6303" spans="3:4" x14ac:dyDescent="0.3">
      <c r="C6303" s="62"/>
      <c r="D6303" s="62"/>
    </row>
    <row r="6304" spans="3:4" x14ac:dyDescent="0.3">
      <c r="C6304" s="62"/>
      <c r="D6304" s="62"/>
    </row>
    <row r="6305" spans="3:4" x14ac:dyDescent="0.3">
      <c r="C6305" s="62"/>
      <c r="D6305" s="62"/>
    </row>
    <row r="6306" spans="3:4" x14ac:dyDescent="0.3">
      <c r="C6306" s="62"/>
      <c r="D6306" s="62"/>
    </row>
    <row r="6307" spans="3:4" x14ac:dyDescent="0.3">
      <c r="C6307" s="62"/>
      <c r="D6307" s="62"/>
    </row>
    <row r="6308" spans="3:4" x14ac:dyDescent="0.3">
      <c r="C6308" s="62"/>
      <c r="D6308" s="62"/>
    </row>
    <row r="6309" spans="3:4" x14ac:dyDescent="0.3">
      <c r="C6309" s="62"/>
      <c r="D6309" s="62"/>
    </row>
    <row r="6310" spans="3:4" x14ac:dyDescent="0.3">
      <c r="C6310" s="62"/>
      <c r="D6310" s="62"/>
    </row>
    <row r="6311" spans="3:4" x14ac:dyDescent="0.3">
      <c r="C6311" s="62"/>
      <c r="D6311" s="62"/>
    </row>
    <row r="6312" spans="3:4" x14ac:dyDescent="0.3">
      <c r="C6312" s="62"/>
      <c r="D6312" s="62"/>
    </row>
    <row r="6313" spans="3:4" x14ac:dyDescent="0.3">
      <c r="C6313" s="62"/>
      <c r="D6313" s="62"/>
    </row>
    <row r="6314" spans="3:4" x14ac:dyDescent="0.3">
      <c r="C6314" s="62"/>
      <c r="D6314" s="62"/>
    </row>
    <row r="6315" spans="3:4" x14ac:dyDescent="0.3">
      <c r="C6315" s="62"/>
      <c r="D6315" s="62"/>
    </row>
    <row r="6316" spans="3:4" x14ac:dyDescent="0.3">
      <c r="C6316" s="62"/>
      <c r="D6316" s="62"/>
    </row>
    <row r="6317" spans="3:4" x14ac:dyDescent="0.3">
      <c r="C6317" s="62"/>
      <c r="D6317" s="62"/>
    </row>
    <row r="6318" spans="3:4" x14ac:dyDescent="0.3">
      <c r="C6318" s="62"/>
      <c r="D6318" s="62"/>
    </row>
    <row r="6319" spans="3:4" x14ac:dyDescent="0.3">
      <c r="C6319" s="62"/>
      <c r="D6319" s="62"/>
    </row>
    <row r="6320" spans="3:4" x14ac:dyDescent="0.3">
      <c r="C6320" s="62"/>
      <c r="D6320" s="62"/>
    </row>
    <row r="6321" spans="3:4" x14ac:dyDescent="0.3">
      <c r="C6321" s="62"/>
      <c r="D6321" s="62"/>
    </row>
    <row r="6322" spans="3:4" x14ac:dyDescent="0.3">
      <c r="C6322" s="62"/>
      <c r="D6322" s="62"/>
    </row>
    <row r="6323" spans="3:4" x14ac:dyDescent="0.3">
      <c r="C6323" s="62"/>
      <c r="D6323" s="62"/>
    </row>
    <row r="6324" spans="3:4" x14ac:dyDescent="0.3">
      <c r="C6324" s="62"/>
      <c r="D6324" s="62"/>
    </row>
    <row r="6325" spans="3:4" x14ac:dyDescent="0.3">
      <c r="C6325" s="62"/>
      <c r="D6325" s="62"/>
    </row>
    <row r="6326" spans="3:4" x14ac:dyDescent="0.3">
      <c r="C6326" s="62"/>
      <c r="D6326" s="62"/>
    </row>
    <row r="6327" spans="3:4" x14ac:dyDescent="0.3">
      <c r="C6327" s="62"/>
      <c r="D6327" s="62"/>
    </row>
    <row r="6328" spans="3:4" x14ac:dyDescent="0.3">
      <c r="C6328" s="62"/>
      <c r="D6328" s="62"/>
    </row>
    <row r="6329" spans="3:4" x14ac:dyDescent="0.3">
      <c r="C6329" s="62"/>
      <c r="D6329" s="62"/>
    </row>
    <row r="6330" spans="3:4" x14ac:dyDescent="0.3">
      <c r="C6330" s="62"/>
      <c r="D6330" s="62"/>
    </row>
    <row r="6331" spans="3:4" x14ac:dyDescent="0.3">
      <c r="C6331" s="62"/>
      <c r="D6331" s="62"/>
    </row>
    <row r="6332" spans="3:4" x14ac:dyDescent="0.3">
      <c r="C6332" s="62"/>
      <c r="D6332" s="62"/>
    </row>
    <row r="6333" spans="3:4" x14ac:dyDescent="0.3">
      <c r="C6333" s="62"/>
      <c r="D6333" s="62"/>
    </row>
    <row r="6334" spans="3:4" x14ac:dyDescent="0.3">
      <c r="C6334" s="62"/>
      <c r="D6334" s="62"/>
    </row>
    <row r="6335" spans="3:4" x14ac:dyDescent="0.3">
      <c r="C6335" s="62"/>
      <c r="D6335" s="62"/>
    </row>
    <row r="6336" spans="3:4" x14ac:dyDescent="0.3">
      <c r="C6336" s="62"/>
      <c r="D6336" s="62"/>
    </row>
    <row r="6337" spans="3:4" x14ac:dyDescent="0.3">
      <c r="C6337" s="62"/>
      <c r="D6337" s="62"/>
    </row>
    <row r="6338" spans="3:4" x14ac:dyDescent="0.3">
      <c r="C6338" s="62"/>
      <c r="D6338" s="62"/>
    </row>
    <row r="6339" spans="3:4" x14ac:dyDescent="0.3">
      <c r="C6339" s="62"/>
      <c r="D6339" s="62"/>
    </row>
    <row r="6340" spans="3:4" x14ac:dyDescent="0.3">
      <c r="C6340" s="62"/>
      <c r="D6340" s="62"/>
    </row>
    <row r="6341" spans="3:4" x14ac:dyDescent="0.3">
      <c r="C6341" s="62"/>
      <c r="D6341" s="62"/>
    </row>
    <row r="6342" spans="3:4" x14ac:dyDescent="0.3">
      <c r="C6342" s="62"/>
      <c r="D6342" s="62"/>
    </row>
    <row r="6343" spans="3:4" x14ac:dyDescent="0.3">
      <c r="C6343" s="62"/>
      <c r="D6343" s="62"/>
    </row>
    <row r="6344" spans="3:4" x14ac:dyDescent="0.3">
      <c r="C6344" s="62"/>
      <c r="D6344" s="62"/>
    </row>
    <row r="6345" spans="3:4" x14ac:dyDescent="0.3">
      <c r="C6345" s="62"/>
      <c r="D6345" s="62"/>
    </row>
    <row r="6346" spans="3:4" x14ac:dyDescent="0.3">
      <c r="C6346" s="62"/>
      <c r="D6346" s="62"/>
    </row>
    <row r="6347" spans="3:4" x14ac:dyDescent="0.3">
      <c r="C6347" s="62"/>
      <c r="D6347" s="62"/>
    </row>
    <row r="6348" spans="3:4" x14ac:dyDescent="0.3">
      <c r="C6348" s="62"/>
      <c r="D6348" s="62"/>
    </row>
    <row r="6349" spans="3:4" x14ac:dyDescent="0.3">
      <c r="C6349" s="62"/>
      <c r="D6349" s="62"/>
    </row>
    <row r="6350" spans="3:4" x14ac:dyDescent="0.3">
      <c r="C6350" s="62"/>
      <c r="D6350" s="62"/>
    </row>
    <row r="6351" spans="3:4" x14ac:dyDescent="0.3">
      <c r="C6351" s="62"/>
      <c r="D6351" s="62"/>
    </row>
    <row r="6352" spans="3:4" x14ac:dyDescent="0.3">
      <c r="C6352" s="62"/>
      <c r="D6352" s="62"/>
    </row>
    <row r="6353" spans="3:4" x14ac:dyDescent="0.3">
      <c r="C6353" s="62"/>
      <c r="D6353" s="62"/>
    </row>
    <row r="6354" spans="3:4" x14ac:dyDescent="0.3">
      <c r="C6354" s="62"/>
      <c r="D6354" s="62"/>
    </row>
    <row r="6355" spans="3:4" x14ac:dyDescent="0.3">
      <c r="C6355" s="62"/>
      <c r="D6355" s="62"/>
    </row>
    <row r="6356" spans="3:4" x14ac:dyDescent="0.3">
      <c r="C6356" s="62"/>
      <c r="D6356" s="62"/>
    </row>
    <row r="6357" spans="3:4" x14ac:dyDescent="0.3">
      <c r="C6357" s="62"/>
      <c r="D6357" s="62"/>
    </row>
    <row r="6358" spans="3:4" x14ac:dyDescent="0.3">
      <c r="C6358" s="62"/>
      <c r="D6358" s="62"/>
    </row>
    <row r="6359" spans="3:4" x14ac:dyDescent="0.3">
      <c r="C6359" s="62"/>
      <c r="D6359" s="62"/>
    </row>
    <row r="6360" spans="3:4" x14ac:dyDescent="0.3">
      <c r="C6360" s="62"/>
      <c r="D6360" s="62"/>
    </row>
    <row r="6361" spans="3:4" x14ac:dyDescent="0.3">
      <c r="C6361" s="62"/>
      <c r="D6361" s="62"/>
    </row>
    <row r="6362" spans="3:4" x14ac:dyDescent="0.3">
      <c r="C6362" s="62"/>
      <c r="D6362" s="62"/>
    </row>
    <row r="6363" spans="3:4" x14ac:dyDescent="0.3">
      <c r="C6363" s="62"/>
      <c r="D6363" s="62"/>
    </row>
    <row r="6364" spans="3:4" x14ac:dyDescent="0.3">
      <c r="C6364" s="62"/>
      <c r="D6364" s="62"/>
    </row>
    <row r="6365" spans="3:4" x14ac:dyDescent="0.3">
      <c r="C6365" s="62"/>
      <c r="D6365" s="62"/>
    </row>
    <row r="6366" spans="3:4" x14ac:dyDescent="0.3">
      <c r="C6366" s="62"/>
      <c r="D6366" s="62"/>
    </row>
    <row r="6367" spans="3:4" x14ac:dyDescent="0.3">
      <c r="C6367" s="62"/>
      <c r="D6367" s="62"/>
    </row>
    <row r="6368" spans="3:4" x14ac:dyDescent="0.3">
      <c r="C6368" s="62"/>
      <c r="D6368" s="62"/>
    </row>
    <row r="6369" spans="3:4" x14ac:dyDescent="0.3">
      <c r="C6369" s="62"/>
      <c r="D6369" s="62"/>
    </row>
    <row r="6370" spans="3:4" x14ac:dyDescent="0.3">
      <c r="C6370" s="62"/>
      <c r="D6370" s="62"/>
    </row>
    <row r="6371" spans="3:4" x14ac:dyDescent="0.3">
      <c r="C6371" s="62"/>
      <c r="D6371" s="62"/>
    </row>
    <row r="6372" spans="3:4" x14ac:dyDescent="0.3">
      <c r="C6372" s="62"/>
      <c r="D6372" s="62"/>
    </row>
    <row r="6373" spans="3:4" x14ac:dyDescent="0.3">
      <c r="C6373" s="62"/>
      <c r="D6373" s="62"/>
    </row>
    <row r="6374" spans="3:4" x14ac:dyDescent="0.3">
      <c r="C6374" s="62"/>
      <c r="D6374" s="62"/>
    </row>
    <row r="6375" spans="3:4" x14ac:dyDescent="0.3">
      <c r="C6375" s="62"/>
      <c r="D6375" s="62"/>
    </row>
    <row r="6376" spans="3:4" x14ac:dyDescent="0.3">
      <c r="C6376" s="62"/>
      <c r="D6376" s="62"/>
    </row>
    <row r="6377" spans="3:4" x14ac:dyDescent="0.3">
      <c r="C6377" s="62"/>
      <c r="D6377" s="62"/>
    </row>
    <row r="6378" spans="3:4" x14ac:dyDescent="0.3">
      <c r="C6378" s="62"/>
      <c r="D6378" s="62"/>
    </row>
    <row r="6379" spans="3:4" x14ac:dyDescent="0.3">
      <c r="C6379" s="62"/>
      <c r="D6379" s="62"/>
    </row>
    <row r="6380" spans="3:4" x14ac:dyDescent="0.3">
      <c r="C6380" s="62"/>
      <c r="D6380" s="62"/>
    </row>
    <row r="6381" spans="3:4" x14ac:dyDescent="0.3">
      <c r="C6381" s="62"/>
      <c r="D6381" s="62"/>
    </row>
    <row r="6382" spans="3:4" x14ac:dyDescent="0.3">
      <c r="C6382" s="62"/>
      <c r="D6382" s="62"/>
    </row>
    <row r="6383" spans="3:4" x14ac:dyDescent="0.3">
      <c r="C6383" s="62"/>
      <c r="D6383" s="62"/>
    </row>
    <row r="6384" spans="3:4" x14ac:dyDescent="0.3">
      <c r="C6384" s="62"/>
      <c r="D6384" s="62"/>
    </row>
    <row r="6385" spans="3:4" x14ac:dyDescent="0.3">
      <c r="C6385" s="62"/>
      <c r="D6385" s="62"/>
    </row>
    <row r="6386" spans="3:4" x14ac:dyDescent="0.3">
      <c r="C6386" s="62"/>
      <c r="D6386" s="62"/>
    </row>
    <row r="6387" spans="3:4" x14ac:dyDescent="0.3">
      <c r="C6387" s="62"/>
      <c r="D6387" s="62"/>
    </row>
    <row r="6388" spans="3:4" x14ac:dyDescent="0.3">
      <c r="C6388" s="62"/>
      <c r="D6388" s="62"/>
    </row>
    <row r="6389" spans="3:4" x14ac:dyDescent="0.3">
      <c r="C6389" s="62"/>
      <c r="D6389" s="62"/>
    </row>
    <row r="6390" spans="3:4" x14ac:dyDescent="0.3">
      <c r="C6390" s="62"/>
      <c r="D6390" s="62"/>
    </row>
    <row r="6391" spans="3:4" x14ac:dyDescent="0.3">
      <c r="C6391" s="62"/>
      <c r="D6391" s="62"/>
    </row>
    <row r="6392" spans="3:4" x14ac:dyDescent="0.3">
      <c r="C6392" s="62"/>
      <c r="D6392" s="62"/>
    </row>
    <row r="6393" spans="3:4" x14ac:dyDescent="0.3">
      <c r="C6393" s="62"/>
      <c r="D6393" s="62"/>
    </row>
    <row r="6394" spans="3:4" x14ac:dyDescent="0.3">
      <c r="C6394" s="62"/>
      <c r="D6394" s="62"/>
    </row>
    <row r="6395" spans="3:4" x14ac:dyDescent="0.3">
      <c r="C6395" s="62"/>
      <c r="D6395" s="62"/>
    </row>
    <row r="6396" spans="3:4" x14ac:dyDescent="0.3">
      <c r="C6396" s="62"/>
      <c r="D6396" s="62"/>
    </row>
    <row r="6397" spans="3:4" x14ac:dyDescent="0.3">
      <c r="C6397" s="62"/>
      <c r="D6397" s="62"/>
    </row>
    <row r="6398" spans="3:4" x14ac:dyDescent="0.3">
      <c r="C6398" s="62"/>
      <c r="D6398" s="62"/>
    </row>
    <row r="6399" spans="3:4" x14ac:dyDescent="0.3">
      <c r="C6399" s="62"/>
      <c r="D6399" s="62"/>
    </row>
    <row r="6400" spans="3:4" x14ac:dyDescent="0.3">
      <c r="C6400" s="62"/>
      <c r="D6400" s="62"/>
    </row>
    <row r="6401" spans="3:4" x14ac:dyDescent="0.3">
      <c r="C6401" s="62"/>
      <c r="D6401" s="62"/>
    </row>
    <row r="6402" spans="3:4" x14ac:dyDescent="0.3">
      <c r="C6402" s="62"/>
      <c r="D6402" s="62"/>
    </row>
    <row r="6403" spans="3:4" x14ac:dyDescent="0.3">
      <c r="C6403" s="62"/>
      <c r="D6403" s="62"/>
    </row>
    <row r="6404" spans="3:4" x14ac:dyDescent="0.3">
      <c r="C6404" s="62"/>
      <c r="D6404" s="62"/>
    </row>
    <row r="6405" spans="3:4" x14ac:dyDescent="0.3">
      <c r="C6405" s="62"/>
      <c r="D6405" s="62"/>
    </row>
    <row r="6406" spans="3:4" x14ac:dyDescent="0.3">
      <c r="C6406" s="62"/>
      <c r="D6406" s="62"/>
    </row>
    <row r="6407" spans="3:4" x14ac:dyDescent="0.3">
      <c r="C6407" s="62"/>
      <c r="D6407" s="62"/>
    </row>
    <row r="6408" spans="3:4" x14ac:dyDescent="0.3">
      <c r="C6408" s="62"/>
      <c r="D6408" s="62"/>
    </row>
    <row r="6409" spans="3:4" x14ac:dyDescent="0.3">
      <c r="C6409" s="62"/>
      <c r="D6409" s="62"/>
    </row>
    <row r="6410" spans="3:4" x14ac:dyDescent="0.3">
      <c r="C6410" s="62"/>
      <c r="D6410" s="62"/>
    </row>
    <row r="6411" spans="3:4" x14ac:dyDescent="0.3">
      <c r="C6411" s="62"/>
      <c r="D6411" s="62"/>
    </row>
    <row r="6412" spans="3:4" x14ac:dyDescent="0.3">
      <c r="C6412" s="62"/>
      <c r="D6412" s="62"/>
    </row>
    <row r="6413" spans="3:4" x14ac:dyDescent="0.3">
      <c r="C6413" s="62"/>
      <c r="D6413" s="62"/>
    </row>
    <row r="6414" spans="3:4" x14ac:dyDescent="0.3">
      <c r="C6414" s="62"/>
      <c r="D6414" s="62"/>
    </row>
    <row r="6415" spans="3:4" x14ac:dyDescent="0.3">
      <c r="C6415" s="62"/>
      <c r="D6415" s="62"/>
    </row>
    <row r="6416" spans="3:4" x14ac:dyDescent="0.3">
      <c r="C6416" s="62"/>
      <c r="D6416" s="62"/>
    </row>
    <row r="6417" spans="3:4" x14ac:dyDescent="0.3">
      <c r="C6417" s="62"/>
      <c r="D6417" s="62"/>
    </row>
    <row r="6418" spans="3:4" x14ac:dyDescent="0.3">
      <c r="C6418" s="62"/>
      <c r="D6418" s="62"/>
    </row>
    <row r="6419" spans="3:4" x14ac:dyDescent="0.3">
      <c r="C6419" s="62"/>
      <c r="D6419" s="62"/>
    </row>
    <row r="6420" spans="3:4" x14ac:dyDescent="0.3">
      <c r="C6420" s="62"/>
      <c r="D6420" s="62"/>
    </row>
    <row r="6421" spans="3:4" x14ac:dyDescent="0.3">
      <c r="C6421" s="62"/>
      <c r="D6421" s="62"/>
    </row>
    <row r="6422" spans="3:4" x14ac:dyDescent="0.3">
      <c r="C6422" s="62"/>
      <c r="D6422" s="62"/>
    </row>
    <row r="6423" spans="3:4" x14ac:dyDescent="0.3">
      <c r="C6423" s="62"/>
      <c r="D6423" s="62"/>
    </row>
    <row r="6424" spans="3:4" x14ac:dyDescent="0.3">
      <c r="C6424" s="62"/>
      <c r="D6424" s="62"/>
    </row>
    <row r="6425" spans="3:4" x14ac:dyDescent="0.3">
      <c r="C6425" s="62"/>
      <c r="D6425" s="62"/>
    </row>
    <row r="6426" spans="3:4" x14ac:dyDescent="0.3">
      <c r="C6426" s="62"/>
      <c r="D6426" s="62"/>
    </row>
    <row r="6427" spans="3:4" x14ac:dyDescent="0.3">
      <c r="C6427" s="62"/>
      <c r="D6427" s="62"/>
    </row>
    <row r="6428" spans="3:4" x14ac:dyDescent="0.3">
      <c r="C6428" s="62"/>
      <c r="D6428" s="62"/>
    </row>
    <row r="6429" spans="3:4" x14ac:dyDescent="0.3">
      <c r="C6429" s="62"/>
      <c r="D6429" s="62"/>
    </row>
    <row r="6430" spans="3:4" x14ac:dyDescent="0.3">
      <c r="C6430" s="62"/>
      <c r="D6430" s="62"/>
    </row>
    <row r="6431" spans="3:4" x14ac:dyDescent="0.3">
      <c r="C6431" s="62"/>
      <c r="D6431" s="62"/>
    </row>
    <row r="6432" spans="3:4" x14ac:dyDescent="0.3">
      <c r="C6432" s="62"/>
      <c r="D6432" s="62"/>
    </row>
    <row r="6433" spans="3:4" x14ac:dyDescent="0.3">
      <c r="C6433" s="62"/>
      <c r="D6433" s="62"/>
    </row>
    <row r="6434" spans="3:4" x14ac:dyDescent="0.3">
      <c r="C6434" s="62"/>
      <c r="D6434" s="62"/>
    </row>
    <row r="6435" spans="3:4" x14ac:dyDescent="0.3">
      <c r="C6435" s="62"/>
      <c r="D6435" s="62"/>
    </row>
    <row r="6436" spans="3:4" x14ac:dyDescent="0.3">
      <c r="C6436" s="62"/>
      <c r="D6436" s="62"/>
    </row>
    <row r="6437" spans="3:4" x14ac:dyDescent="0.3">
      <c r="C6437" s="62"/>
      <c r="D6437" s="62"/>
    </row>
    <row r="6438" spans="3:4" x14ac:dyDescent="0.3">
      <c r="C6438" s="62"/>
      <c r="D6438" s="62"/>
    </row>
    <row r="6439" spans="3:4" x14ac:dyDescent="0.3">
      <c r="C6439" s="62"/>
      <c r="D6439" s="62"/>
    </row>
    <row r="6440" spans="3:4" x14ac:dyDescent="0.3">
      <c r="C6440" s="62"/>
      <c r="D6440" s="62"/>
    </row>
    <row r="6441" spans="3:4" x14ac:dyDescent="0.3">
      <c r="C6441" s="62"/>
      <c r="D6441" s="62"/>
    </row>
    <row r="6442" spans="3:4" x14ac:dyDescent="0.3">
      <c r="C6442" s="62"/>
      <c r="D6442" s="62"/>
    </row>
    <row r="6443" spans="3:4" x14ac:dyDescent="0.3">
      <c r="C6443" s="62"/>
      <c r="D6443" s="62"/>
    </row>
    <row r="6444" spans="3:4" x14ac:dyDescent="0.3">
      <c r="C6444" s="62"/>
      <c r="D6444" s="62"/>
    </row>
    <row r="6445" spans="3:4" x14ac:dyDescent="0.3">
      <c r="C6445" s="62"/>
      <c r="D6445" s="62"/>
    </row>
    <row r="6446" spans="3:4" x14ac:dyDescent="0.3">
      <c r="C6446" s="62"/>
      <c r="D6446" s="62"/>
    </row>
    <row r="6447" spans="3:4" x14ac:dyDescent="0.3">
      <c r="C6447" s="62"/>
      <c r="D6447" s="62"/>
    </row>
    <row r="6448" spans="3:4" x14ac:dyDescent="0.3">
      <c r="C6448" s="62"/>
      <c r="D6448" s="62"/>
    </row>
    <row r="6449" spans="3:4" x14ac:dyDescent="0.3">
      <c r="C6449" s="62"/>
      <c r="D6449" s="62"/>
    </row>
    <row r="6450" spans="3:4" x14ac:dyDescent="0.3">
      <c r="C6450" s="62"/>
      <c r="D6450" s="62"/>
    </row>
    <row r="6451" spans="3:4" x14ac:dyDescent="0.3">
      <c r="C6451" s="62"/>
      <c r="D6451" s="62"/>
    </row>
    <row r="6452" spans="3:4" x14ac:dyDescent="0.3">
      <c r="C6452" s="62"/>
      <c r="D6452" s="62"/>
    </row>
    <row r="6453" spans="3:4" x14ac:dyDescent="0.3">
      <c r="C6453" s="62"/>
      <c r="D6453" s="62"/>
    </row>
    <row r="6454" spans="3:4" x14ac:dyDescent="0.3">
      <c r="C6454" s="62"/>
      <c r="D6454" s="62"/>
    </row>
    <row r="6455" spans="3:4" x14ac:dyDescent="0.3">
      <c r="C6455" s="62"/>
      <c r="D6455" s="62"/>
    </row>
    <row r="6456" spans="3:4" x14ac:dyDescent="0.3">
      <c r="C6456" s="62"/>
      <c r="D6456" s="62"/>
    </row>
    <row r="6457" spans="3:4" x14ac:dyDescent="0.3">
      <c r="C6457" s="62"/>
      <c r="D6457" s="62"/>
    </row>
    <row r="6458" spans="3:4" x14ac:dyDescent="0.3">
      <c r="C6458" s="62"/>
      <c r="D6458" s="62"/>
    </row>
    <row r="6459" spans="3:4" x14ac:dyDescent="0.3">
      <c r="C6459" s="62"/>
      <c r="D6459" s="62"/>
    </row>
    <row r="6460" spans="3:4" x14ac:dyDescent="0.3">
      <c r="C6460" s="62"/>
      <c r="D6460" s="62"/>
    </row>
    <row r="6461" spans="3:4" x14ac:dyDescent="0.3">
      <c r="C6461" s="62"/>
      <c r="D6461" s="62"/>
    </row>
    <row r="6462" spans="3:4" x14ac:dyDescent="0.3">
      <c r="C6462" s="62"/>
      <c r="D6462" s="62"/>
    </row>
    <row r="6463" spans="3:4" x14ac:dyDescent="0.3">
      <c r="C6463" s="62"/>
      <c r="D6463" s="62"/>
    </row>
    <row r="6464" spans="3:4" x14ac:dyDescent="0.3">
      <c r="C6464" s="62"/>
      <c r="D6464" s="62"/>
    </row>
    <row r="6465" spans="3:4" x14ac:dyDescent="0.3">
      <c r="C6465" s="62"/>
      <c r="D6465" s="62"/>
    </row>
    <row r="6466" spans="3:4" x14ac:dyDescent="0.3">
      <c r="C6466" s="62"/>
      <c r="D6466" s="62"/>
    </row>
    <row r="6467" spans="3:4" x14ac:dyDescent="0.3">
      <c r="C6467" s="62"/>
      <c r="D6467" s="62"/>
    </row>
    <row r="6468" spans="3:4" x14ac:dyDescent="0.3">
      <c r="C6468" s="62"/>
      <c r="D6468" s="62"/>
    </row>
    <row r="6469" spans="3:4" x14ac:dyDescent="0.3">
      <c r="C6469" s="62"/>
      <c r="D6469" s="62"/>
    </row>
    <row r="6470" spans="3:4" x14ac:dyDescent="0.3">
      <c r="C6470" s="62"/>
      <c r="D6470" s="62"/>
    </row>
    <row r="6471" spans="3:4" x14ac:dyDescent="0.3">
      <c r="C6471" s="62"/>
      <c r="D6471" s="62"/>
    </row>
    <row r="6472" spans="3:4" x14ac:dyDescent="0.3">
      <c r="C6472" s="62"/>
      <c r="D6472" s="62"/>
    </row>
    <row r="6473" spans="3:4" x14ac:dyDescent="0.3">
      <c r="C6473" s="62"/>
      <c r="D6473" s="62"/>
    </row>
    <row r="6474" spans="3:4" x14ac:dyDescent="0.3">
      <c r="C6474" s="62"/>
      <c r="D6474" s="62"/>
    </row>
    <row r="6475" spans="3:4" x14ac:dyDescent="0.3">
      <c r="C6475" s="62"/>
      <c r="D6475" s="62"/>
    </row>
    <row r="6476" spans="3:4" x14ac:dyDescent="0.3">
      <c r="C6476" s="62"/>
      <c r="D6476" s="62"/>
    </row>
    <row r="6477" spans="3:4" x14ac:dyDescent="0.3">
      <c r="C6477" s="62"/>
      <c r="D6477" s="62"/>
    </row>
    <row r="6478" spans="3:4" x14ac:dyDescent="0.3">
      <c r="C6478" s="62"/>
      <c r="D6478" s="62"/>
    </row>
    <row r="6479" spans="3:4" x14ac:dyDescent="0.3">
      <c r="C6479" s="62"/>
      <c r="D6479" s="62"/>
    </row>
    <row r="6480" spans="3:4" x14ac:dyDescent="0.3">
      <c r="C6480" s="62"/>
      <c r="D6480" s="62"/>
    </row>
    <row r="6481" spans="3:4" x14ac:dyDescent="0.3">
      <c r="C6481" s="62"/>
      <c r="D6481" s="62"/>
    </row>
    <row r="6482" spans="3:4" x14ac:dyDescent="0.3">
      <c r="C6482" s="62"/>
      <c r="D6482" s="62"/>
    </row>
    <row r="6483" spans="3:4" x14ac:dyDescent="0.3">
      <c r="C6483" s="62"/>
      <c r="D6483" s="62"/>
    </row>
    <row r="6484" spans="3:4" x14ac:dyDescent="0.3">
      <c r="C6484" s="62"/>
      <c r="D6484" s="62"/>
    </row>
    <row r="6485" spans="3:4" x14ac:dyDescent="0.3">
      <c r="C6485" s="62"/>
      <c r="D6485" s="62"/>
    </row>
    <row r="6486" spans="3:4" x14ac:dyDescent="0.3">
      <c r="C6486" s="62"/>
      <c r="D6486" s="62"/>
    </row>
    <row r="6487" spans="3:4" x14ac:dyDescent="0.3">
      <c r="C6487" s="62"/>
      <c r="D6487" s="62"/>
    </row>
    <row r="6488" spans="3:4" x14ac:dyDescent="0.3">
      <c r="C6488" s="62"/>
      <c r="D6488" s="62"/>
    </row>
    <row r="6489" spans="3:4" x14ac:dyDescent="0.3">
      <c r="C6489" s="62"/>
      <c r="D6489" s="62"/>
    </row>
    <row r="6490" spans="3:4" x14ac:dyDescent="0.3">
      <c r="C6490" s="62"/>
      <c r="D6490" s="62"/>
    </row>
    <row r="6491" spans="3:4" x14ac:dyDescent="0.3">
      <c r="C6491" s="62"/>
      <c r="D6491" s="62"/>
    </row>
    <row r="6492" spans="3:4" x14ac:dyDescent="0.3">
      <c r="C6492" s="62"/>
      <c r="D6492" s="62"/>
    </row>
    <row r="6493" spans="3:4" x14ac:dyDescent="0.3">
      <c r="C6493" s="62"/>
      <c r="D6493" s="62"/>
    </row>
    <row r="6494" spans="3:4" x14ac:dyDescent="0.3">
      <c r="C6494" s="62"/>
      <c r="D6494" s="62"/>
    </row>
    <row r="6495" spans="3:4" x14ac:dyDescent="0.3">
      <c r="C6495" s="62"/>
      <c r="D6495" s="62"/>
    </row>
    <row r="6496" spans="3:4" x14ac:dyDescent="0.3">
      <c r="C6496" s="62"/>
      <c r="D6496" s="62"/>
    </row>
    <row r="6497" spans="3:4" x14ac:dyDescent="0.3">
      <c r="C6497" s="62"/>
      <c r="D6497" s="62"/>
    </row>
    <row r="6498" spans="3:4" x14ac:dyDescent="0.3">
      <c r="C6498" s="62"/>
      <c r="D6498" s="62"/>
    </row>
    <row r="6499" spans="3:4" x14ac:dyDescent="0.3">
      <c r="C6499" s="62"/>
      <c r="D6499" s="62"/>
    </row>
    <row r="6500" spans="3:4" x14ac:dyDescent="0.3">
      <c r="C6500" s="62"/>
      <c r="D6500" s="62"/>
    </row>
    <row r="6501" spans="3:4" x14ac:dyDescent="0.3">
      <c r="C6501" s="62"/>
      <c r="D6501" s="62"/>
    </row>
    <row r="6502" spans="3:4" x14ac:dyDescent="0.3">
      <c r="C6502" s="62"/>
      <c r="D6502" s="62"/>
    </row>
    <row r="6503" spans="3:4" x14ac:dyDescent="0.3">
      <c r="C6503" s="62"/>
      <c r="D6503" s="62"/>
    </row>
    <row r="6504" spans="3:4" x14ac:dyDescent="0.3">
      <c r="C6504" s="62"/>
      <c r="D6504" s="62"/>
    </row>
    <row r="6505" spans="3:4" x14ac:dyDescent="0.3">
      <c r="C6505" s="62"/>
      <c r="D6505" s="62"/>
    </row>
    <row r="6506" spans="3:4" x14ac:dyDescent="0.3">
      <c r="C6506" s="62"/>
      <c r="D6506" s="62"/>
    </row>
    <row r="6507" spans="3:4" x14ac:dyDescent="0.3">
      <c r="C6507" s="62"/>
      <c r="D6507" s="62"/>
    </row>
    <row r="6508" spans="3:4" x14ac:dyDescent="0.3">
      <c r="C6508" s="62"/>
      <c r="D6508" s="62"/>
    </row>
    <row r="6509" spans="3:4" x14ac:dyDescent="0.3">
      <c r="C6509" s="62"/>
      <c r="D6509" s="62"/>
    </row>
    <row r="6510" spans="3:4" x14ac:dyDescent="0.3">
      <c r="C6510" s="62"/>
      <c r="D6510" s="62"/>
    </row>
    <row r="6511" spans="3:4" x14ac:dyDescent="0.3">
      <c r="C6511" s="62"/>
      <c r="D6511" s="62"/>
    </row>
    <row r="6512" spans="3:4" x14ac:dyDescent="0.3">
      <c r="C6512" s="62"/>
      <c r="D6512" s="62"/>
    </row>
    <row r="6513" spans="3:4" x14ac:dyDescent="0.3">
      <c r="C6513" s="62"/>
      <c r="D6513" s="62"/>
    </row>
    <row r="6514" spans="3:4" x14ac:dyDescent="0.3">
      <c r="C6514" s="62"/>
      <c r="D6514" s="62"/>
    </row>
    <row r="6515" spans="3:4" x14ac:dyDescent="0.3">
      <c r="C6515" s="62"/>
      <c r="D6515" s="62"/>
    </row>
    <row r="6516" spans="3:4" x14ac:dyDescent="0.3">
      <c r="C6516" s="62"/>
      <c r="D6516" s="62"/>
    </row>
    <row r="6517" spans="3:4" x14ac:dyDescent="0.3">
      <c r="C6517" s="62"/>
      <c r="D6517" s="62"/>
    </row>
    <row r="6518" spans="3:4" x14ac:dyDescent="0.3">
      <c r="C6518" s="62"/>
      <c r="D6518" s="62"/>
    </row>
    <row r="6519" spans="3:4" x14ac:dyDescent="0.3">
      <c r="C6519" s="62"/>
      <c r="D6519" s="62"/>
    </row>
    <row r="6520" spans="3:4" x14ac:dyDescent="0.3">
      <c r="C6520" s="62"/>
      <c r="D6520" s="62"/>
    </row>
    <row r="6521" spans="3:4" x14ac:dyDescent="0.3">
      <c r="C6521" s="62"/>
      <c r="D6521" s="62"/>
    </row>
    <row r="6522" spans="3:4" x14ac:dyDescent="0.3">
      <c r="C6522" s="62"/>
      <c r="D6522" s="62"/>
    </row>
    <row r="6523" spans="3:4" x14ac:dyDescent="0.3">
      <c r="C6523" s="62"/>
      <c r="D6523" s="62"/>
    </row>
    <row r="6524" spans="3:4" x14ac:dyDescent="0.3">
      <c r="C6524" s="62"/>
      <c r="D6524" s="62"/>
    </row>
    <row r="6525" spans="3:4" x14ac:dyDescent="0.3">
      <c r="C6525" s="62"/>
      <c r="D6525" s="62"/>
    </row>
    <row r="6526" spans="3:4" x14ac:dyDescent="0.3">
      <c r="C6526" s="62"/>
      <c r="D6526" s="62"/>
    </row>
    <row r="6527" spans="3:4" x14ac:dyDescent="0.3">
      <c r="C6527" s="62"/>
      <c r="D6527" s="62"/>
    </row>
    <row r="6528" spans="3:4" x14ac:dyDescent="0.3">
      <c r="C6528" s="62"/>
      <c r="D6528" s="62"/>
    </row>
    <row r="6529" spans="3:4" x14ac:dyDescent="0.3">
      <c r="C6529" s="62"/>
      <c r="D6529" s="62"/>
    </row>
    <row r="6530" spans="3:4" x14ac:dyDescent="0.3">
      <c r="C6530" s="62"/>
      <c r="D6530" s="62"/>
    </row>
    <row r="6531" spans="3:4" x14ac:dyDescent="0.3">
      <c r="C6531" s="62"/>
      <c r="D6531" s="62"/>
    </row>
    <row r="6532" spans="3:4" x14ac:dyDescent="0.3">
      <c r="C6532" s="62"/>
      <c r="D6532" s="62"/>
    </row>
    <row r="6533" spans="3:4" x14ac:dyDescent="0.3">
      <c r="C6533" s="62"/>
      <c r="D6533" s="62"/>
    </row>
    <row r="6534" spans="3:4" x14ac:dyDescent="0.3">
      <c r="C6534" s="62"/>
      <c r="D6534" s="62"/>
    </row>
    <row r="6535" spans="3:4" x14ac:dyDescent="0.3">
      <c r="C6535" s="62"/>
      <c r="D6535" s="62"/>
    </row>
    <row r="6536" spans="3:4" x14ac:dyDescent="0.3">
      <c r="C6536" s="62"/>
      <c r="D6536" s="62"/>
    </row>
    <row r="6537" spans="3:4" x14ac:dyDescent="0.3">
      <c r="C6537" s="62"/>
      <c r="D6537" s="62"/>
    </row>
    <row r="6538" spans="3:4" x14ac:dyDescent="0.3">
      <c r="C6538" s="62"/>
      <c r="D6538" s="62"/>
    </row>
    <row r="6539" spans="3:4" x14ac:dyDescent="0.3">
      <c r="C6539" s="62"/>
      <c r="D6539" s="62"/>
    </row>
    <row r="6540" spans="3:4" x14ac:dyDescent="0.3">
      <c r="C6540" s="62"/>
      <c r="D6540" s="62"/>
    </row>
    <row r="6541" spans="3:4" x14ac:dyDescent="0.3">
      <c r="C6541" s="62"/>
      <c r="D6541" s="62"/>
    </row>
    <row r="6542" spans="3:4" x14ac:dyDescent="0.3">
      <c r="C6542" s="62"/>
      <c r="D6542" s="62"/>
    </row>
    <row r="6543" spans="3:4" x14ac:dyDescent="0.3">
      <c r="C6543" s="62"/>
      <c r="D6543" s="62"/>
    </row>
    <row r="6544" spans="3:4" x14ac:dyDescent="0.3">
      <c r="C6544" s="62"/>
      <c r="D6544" s="62"/>
    </row>
    <row r="6545" spans="3:4" x14ac:dyDescent="0.3">
      <c r="C6545" s="62"/>
      <c r="D6545" s="62"/>
    </row>
    <row r="6546" spans="3:4" x14ac:dyDescent="0.3">
      <c r="C6546" s="62"/>
      <c r="D6546" s="62"/>
    </row>
    <row r="6547" spans="3:4" x14ac:dyDescent="0.3">
      <c r="C6547" s="62"/>
      <c r="D6547" s="62"/>
    </row>
    <row r="6548" spans="3:4" x14ac:dyDescent="0.3">
      <c r="C6548" s="62"/>
      <c r="D6548" s="62"/>
    </row>
    <row r="6549" spans="3:4" x14ac:dyDescent="0.3">
      <c r="C6549" s="62"/>
      <c r="D6549" s="62"/>
    </row>
    <row r="6550" spans="3:4" x14ac:dyDescent="0.3">
      <c r="C6550" s="62"/>
      <c r="D6550" s="62"/>
    </row>
    <row r="6551" spans="3:4" x14ac:dyDescent="0.3">
      <c r="C6551" s="62"/>
      <c r="D6551" s="62"/>
    </row>
    <row r="6552" spans="3:4" x14ac:dyDescent="0.3">
      <c r="C6552" s="62"/>
      <c r="D6552" s="62"/>
    </row>
    <row r="6553" spans="3:4" x14ac:dyDescent="0.3">
      <c r="C6553" s="62"/>
      <c r="D6553" s="62"/>
    </row>
    <row r="6554" spans="3:4" x14ac:dyDescent="0.3">
      <c r="C6554" s="62"/>
      <c r="D6554" s="62"/>
    </row>
    <row r="6555" spans="3:4" x14ac:dyDescent="0.3">
      <c r="C6555" s="62"/>
      <c r="D6555" s="62"/>
    </row>
    <row r="6556" spans="3:4" x14ac:dyDescent="0.3">
      <c r="C6556" s="62"/>
      <c r="D6556" s="62"/>
    </row>
    <row r="6557" spans="3:4" x14ac:dyDescent="0.3">
      <c r="C6557" s="62"/>
      <c r="D6557" s="62"/>
    </row>
    <row r="6558" spans="3:4" x14ac:dyDescent="0.3">
      <c r="C6558" s="62"/>
      <c r="D6558" s="62"/>
    </row>
    <row r="6559" spans="3:4" x14ac:dyDescent="0.3">
      <c r="C6559" s="62"/>
      <c r="D6559" s="62"/>
    </row>
    <row r="6560" spans="3:4" x14ac:dyDescent="0.3">
      <c r="C6560" s="62"/>
      <c r="D6560" s="62"/>
    </row>
    <row r="6561" spans="3:4" x14ac:dyDescent="0.3">
      <c r="C6561" s="62"/>
      <c r="D6561" s="62"/>
    </row>
    <row r="6562" spans="3:4" x14ac:dyDescent="0.3">
      <c r="C6562" s="62"/>
      <c r="D6562" s="62"/>
    </row>
    <row r="6563" spans="3:4" x14ac:dyDescent="0.3">
      <c r="C6563" s="62"/>
      <c r="D6563" s="62"/>
    </row>
    <row r="6564" spans="3:4" x14ac:dyDescent="0.3">
      <c r="C6564" s="62"/>
      <c r="D6564" s="62"/>
    </row>
    <row r="6565" spans="3:4" x14ac:dyDescent="0.3">
      <c r="C6565" s="62"/>
      <c r="D6565" s="62"/>
    </row>
    <row r="6566" spans="3:4" x14ac:dyDescent="0.3">
      <c r="C6566" s="62"/>
      <c r="D6566" s="62"/>
    </row>
    <row r="6567" spans="3:4" x14ac:dyDescent="0.3">
      <c r="C6567" s="62"/>
      <c r="D6567" s="62"/>
    </row>
    <row r="6568" spans="3:4" x14ac:dyDescent="0.3">
      <c r="C6568" s="62"/>
      <c r="D6568" s="62"/>
    </row>
    <row r="6569" spans="3:4" x14ac:dyDescent="0.3">
      <c r="C6569" s="62"/>
      <c r="D6569" s="62"/>
    </row>
    <row r="6570" spans="3:4" x14ac:dyDescent="0.3">
      <c r="C6570" s="62"/>
      <c r="D6570" s="62"/>
    </row>
    <row r="6571" spans="3:4" x14ac:dyDescent="0.3">
      <c r="C6571" s="62"/>
      <c r="D6571" s="62"/>
    </row>
    <row r="6572" spans="3:4" x14ac:dyDescent="0.3">
      <c r="C6572" s="62"/>
      <c r="D6572" s="62"/>
    </row>
    <row r="6573" spans="3:4" x14ac:dyDescent="0.3">
      <c r="C6573" s="62"/>
      <c r="D6573" s="62"/>
    </row>
    <row r="6574" spans="3:4" x14ac:dyDescent="0.3">
      <c r="C6574" s="62"/>
      <c r="D6574" s="62"/>
    </row>
    <row r="6575" spans="3:4" x14ac:dyDescent="0.3">
      <c r="C6575" s="62"/>
      <c r="D6575" s="62"/>
    </row>
    <row r="6576" spans="3:4" x14ac:dyDescent="0.3">
      <c r="C6576" s="62"/>
      <c r="D6576" s="62"/>
    </row>
    <row r="6577" spans="3:4" x14ac:dyDescent="0.3">
      <c r="C6577" s="62"/>
      <c r="D6577" s="62"/>
    </row>
    <row r="6578" spans="3:4" x14ac:dyDescent="0.3">
      <c r="C6578" s="62"/>
      <c r="D6578" s="62"/>
    </row>
    <row r="6579" spans="3:4" x14ac:dyDescent="0.3">
      <c r="C6579" s="62"/>
      <c r="D6579" s="62"/>
    </row>
    <row r="6580" spans="3:4" x14ac:dyDescent="0.3">
      <c r="C6580" s="62"/>
      <c r="D6580" s="62"/>
    </row>
    <row r="6581" spans="3:4" x14ac:dyDescent="0.3">
      <c r="C6581" s="62"/>
      <c r="D6581" s="62"/>
    </row>
    <row r="6582" spans="3:4" x14ac:dyDescent="0.3">
      <c r="C6582" s="62"/>
      <c r="D6582" s="62"/>
    </row>
    <row r="6583" spans="3:4" x14ac:dyDescent="0.3">
      <c r="C6583" s="62"/>
      <c r="D6583" s="62"/>
    </row>
    <row r="6584" spans="3:4" x14ac:dyDescent="0.3">
      <c r="C6584" s="62"/>
      <c r="D6584" s="62"/>
    </row>
    <row r="6585" spans="3:4" x14ac:dyDescent="0.3">
      <c r="C6585" s="62"/>
      <c r="D6585" s="62"/>
    </row>
    <row r="6586" spans="3:4" x14ac:dyDescent="0.3">
      <c r="C6586" s="62"/>
      <c r="D6586" s="62"/>
    </row>
    <row r="6587" spans="3:4" x14ac:dyDescent="0.3">
      <c r="C6587" s="62"/>
      <c r="D6587" s="62"/>
    </row>
    <row r="6588" spans="3:4" x14ac:dyDescent="0.3">
      <c r="C6588" s="62"/>
      <c r="D6588" s="62"/>
    </row>
    <row r="6589" spans="3:4" x14ac:dyDescent="0.3">
      <c r="C6589" s="62"/>
      <c r="D6589" s="62"/>
    </row>
    <row r="6590" spans="3:4" x14ac:dyDescent="0.3">
      <c r="C6590" s="62"/>
      <c r="D6590" s="62"/>
    </row>
    <row r="6591" spans="3:4" x14ac:dyDescent="0.3">
      <c r="C6591" s="62"/>
      <c r="D6591" s="62"/>
    </row>
    <row r="6592" spans="3:4" x14ac:dyDescent="0.3">
      <c r="C6592" s="62"/>
      <c r="D6592" s="62"/>
    </row>
    <row r="6593" spans="3:4" x14ac:dyDescent="0.3">
      <c r="C6593" s="62"/>
      <c r="D6593" s="62"/>
    </row>
    <row r="6594" spans="3:4" x14ac:dyDescent="0.3">
      <c r="C6594" s="62"/>
      <c r="D6594" s="62"/>
    </row>
    <row r="6595" spans="3:4" x14ac:dyDescent="0.3">
      <c r="C6595" s="62"/>
      <c r="D6595" s="62"/>
    </row>
    <row r="6596" spans="3:4" x14ac:dyDescent="0.3">
      <c r="C6596" s="62"/>
      <c r="D6596" s="62"/>
    </row>
    <row r="6597" spans="3:4" x14ac:dyDescent="0.3">
      <c r="C6597" s="62"/>
      <c r="D6597" s="62"/>
    </row>
    <row r="6598" spans="3:4" x14ac:dyDescent="0.3">
      <c r="C6598" s="62"/>
      <c r="D6598" s="62"/>
    </row>
    <row r="6599" spans="3:4" x14ac:dyDescent="0.3">
      <c r="C6599" s="62"/>
      <c r="D6599" s="62"/>
    </row>
    <row r="6600" spans="3:4" x14ac:dyDescent="0.3">
      <c r="C6600" s="62"/>
      <c r="D6600" s="62"/>
    </row>
    <row r="6601" spans="3:4" x14ac:dyDescent="0.3">
      <c r="C6601" s="62"/>
      <c r="D6601" s="62"/>
    </row>
    <row r="6602" spans="3:4" x14ac:dyDescent="0.3">
      <c r="C6602" s="62"/>
      <c r="D6602" s="62"/>
    </row>
    <row r="6603" spans="3:4" x14ac:dyDescent="0.3">
      <c r="C6603" s="62"/>
      <c r="D6603" s="62"/>
    </row>
    <row r="6604" spans="3:4" x14ac:dyDescent="0.3">
      <c r="C6604" s="62"/>
      <c r="D6604" s="62"/>
    </row>
    <row r="6605" spans="3:4" x14ac:dyDescent="0.3">
      <c r="C6605" s="62"/>
      <c r="D6605" s="62"/>
    </row>
    <row r="6606" spans="3:4" x14ac:dyDescent="0.3">
      <c r="C6606" s="62"/>
      <c r="D6606" s="62"/>
    </row>
    <row r="6607" spans="3:4" x14ac:dyDescent="0.3">
      <c r="C6607" s="62"/>
      <c r="D6607" s="62"/>
    </row>
    <row r="6608" spans="3:4" x14ac:dyDescent="0.3">
      <c r="C6608" s="62"/>
      <c r="D6608" s="62"/>
    </row>
    <row r="6609" spans="3:4" x14ac:dyDescent="0.3">
      <c r="C6609" s="62"/>
      <c r="D6609" s="62"/>
    </row>
    <row r="6610" spans="3:4" x14ac:dyDescent="0.3">
      <c r="C6610" s="62"/>
      <c r="D6610" s="62"/>
    </row>
    <row r="6611" spans="3:4" x14ac:dyDescent="0.3">
      <c r="C6611" s="62"/>
      <c r="D6611" s="62"/>
    </row>
    <row r="6612" spans="3:4" x14ac:dyDescent="0.3">
      <c r="C6612" s="62"/>
      <c r="D6612" s="62"/>
    </row>
    <row r="6613" spans="3:4" x14ac:dyDescent="0.3">
      <c r="C6613" s="62"/>
      <c r="D6613" s="62"/>
    </row>
    <row r="6614" spans="3:4" x14ac:dyDescent="0.3">
      <c r="C6614" s="62"/>
      <c r="D6614" s="62"/>
    </row>
    <row r="6615" spans="3:4" x14ac:dyDescent="0.3">
      <c r="C6615" s="62"/>
      <c r="D6615" s="62"/>
    </row>
    <row r="6616" spans="3:4" x14ac:dyDescent="0.3">
      <c r="C6616" s="62"/>
      <c r="D6616" s="62"/>
    </row>
    <row r="6617" spans="3:4" x14ac:dyDescent="0.3">
      <c r="C6617" s="62"/>
      <c r="D6617" s="62"/>
    </row>
    <row r="6618" spans="3:4" x14ac:dyDescent="0.3">
      <c r="C6618" s="62"/>
      <c r="D6618" s="62"/>
    </row>
    <row r="6619" spans="3:4" x14ac:dyDescent="0.3">
      <c r="C6619" s="62"/>
      <c r="D6619" s="62"/>
    </row>
    <row r="6620" spans="3:4" x14ac:dyDescent="0.3">
      <c r="C6620" s="62"/>
      <c r="D6620" s="62"/>
    </row>
    <row r="6621" spans="3:4" x14ac:dyDescent="0.3">
      <c r="C6621" s="62"/>
      <c r="D6621" s="62"/>
    </row>
    <row r="6622" spans="3:4" x14ac:dyDescent="0.3">
      <c r="C6622" s="62"/>
      <c r="D6622" s="62"/>
    </row>
    <row r="6623" spans="3:4" x14ac:dyDescent="0.3">
      <c r="C6623" s="62"/>
      <c r="D6623" s="62"/>
    </row>
    <row r="6624" spans="3:4" x14ac:dyDescent="0.3">
      <c r="C6624" s="62"/>
      <c r="D6624" s="62"/>
    </row>
    <row r="6625" spans="3:4" x14ac:dyDescent="0.3">
      <c r="C6625" s="62"/>
      <c r="D6625" s="62"/>
    </row>
    <row r="6626" spans="3:4" x14ac:dyDescent="0.3">
      <c r="C6626" s="62"/>
      <c r="D6626" s="62"/>
    </row>
    <row r="6627" spans="3:4" x14ac:dyDescent="0.3">
      <c r="C6627" s="62"/>
      <c r="D6627" s="62"/>
    </row>
    <row r="6628" spans="3:4" x14ac:dyDescent="0.3">
      <c r="C6628" s="62"/>
      <c r="D6628" s="62"/>
    </row>
    <row r="6629" spans="3:4" x14ac:dyDescent="0.3">
      <c r="C6629" s="62"/>
      <c r="D6629" s="62"/>
    </row>
    <row r="6630" spans="3:4" x14ac:dyDescent="0.3">
      <c r="C6630" s="62"/>
      <c r="D6630" s="62"/>
    </row>
    <row r="6631" spans="3:4" x14ac:dyDescent="0.3">
      <c r="C6631" s="62"/>
      <c r="D6631" s="62"/>
    </row>
    <row r="6632" spans="3:4" x14ac:dyDescent="0.3">
      <c r="C6632" s="62"/>
      <c r="D6632" s="62"/>
    </row>
    <row r="6633" spans="3:4" x14ac:dyDescent="0.3">
      <c r="C6633" s="62"/>
      <c r="D6633" s="62"/>
    </row>
    <row r="6634" spans="3:4" x14ac:dyDescent="0.3">
      <c r="C6634" s="62"/>
      <c r="D6634" s="62"/>
    </row>
    <row r="6635" spans="3:4" x14ac:dyDescent="0.3">
      <c r="C6635" s="62"/>
      <c r="D6635" s="62"/>
    </row>
    <row r="6636" spans="3:4" x14ac:dyDescent="0.3">
      <c r="C6636" s="62"/>
      <c r="D6636" s="62"/>
    </row>
    <row r="6637" spans="3:4" x14ac:dyDescent="0.3">
      <c r="C6637" s="62"/>
      <c r="D6637" s="62"/>
    </row>
    <row r="6638" spans="3:4" x14ac:dyDescent="0.3">
      <c r="C6638" s="62"/>
      <c r="D6638" s="62"/>
    </row>
    <row r="6639" spans="3:4" x14ac:dyDescent="0.3">
      <c r="C6639" s="62"/>
      <c r="D6639" s="62"/>
    </row>
    <row r="6640" spans="3:4" x14ac:dyDescent="0.3">
      <c r="C6640" s="62"/>
      <c r="D6640" s="62"/>
    </row>
    <row r="6641" spans="3:4" x14ac:dyDescent="0.3">
      <c r="C6641" s="62"/>
      <c r="D6641" s="62"/>
    </row>
    <row r="6642" spans="3:4" x14ac:dyDescent="0.3">
      <c r="C6642" s="62"/>
      <c r="D6642" s="62"/>
    </row>
    <row r="6643" spans="3:4" x14ac:dyDescent="0.3">
      <c r="C6643" s="62"/>
      <c r="D6643" s="62"/>
    </row>
    <row r="6644" spans="3:4" x14ac:dyDescent="0.3">
      <c r="C6644" s="62"/>
      <c r="D6644" s="62"/>
    </row>
    <row r="6645" spans="3:4" x14ac:dyDescent="0.3">
      <c r="C6645" s="62"/>
      <c r="D6645" s="62"/>
    </row>
    <row r="6646" spans="3:4" x14ac:dyDescent="0.3">
      <c r="C6646" s="62"/>
      <c r="D6646" s="62"/>
    </row>
    <row r="6647" spans="3:4" x14ac:dyDescent="0.3">
      <c r="C6647" s="62"/>
      <c r="D6647" s="62"/>
    </row>
    <row r="6648" spans="3:4" x14ac:dyDescent="0.3">
      <c r="C6648" s="62"/>
      <c r="D6648" s="62"/>
    </row>
    <row r="6649" spans="3:4" x14ac:dyDescent="0.3">
      <c r="C6649" s="62"/>
      <c r="D6649" s="62"/>
    </row>
    <row r="6650" spans="3:4" x14ac:dyDescent="0.3">
      <c r="C6650" s="62"/>
      <c r="D6650" s="62"/>
    </row>
    <row r="6651" spans="3:4" x14ac:dyDescent="0.3">
      <c r="C6651" s="62"/>
      <c r="D6651" s="62"/>
    </row>
    <row r="6652" spans="3:4" x14ac:dyDescent="0.3">
      <c r="C6652" s="62"/>
      <c r="D6652" s="62"/>
    </row>
    <row r="6653" spans="3:4" x14ac:dyDescent="0.3">
      <c r="C6653" s="62"/>
      <c r="D6653" s="62"/>
    </row>
    <row r="6654" spans="3:4" x14ac:dyDescent="0.3">
      <c r="C6654" s="62"/>
      <c r="D6654" s="62"/>
    </row>
    <row r="6655" spans="3:4" x14ac:dyDescent="0.3">
      <c r="C6655" s="62"/>
      <c r="D6655" s="62"/>
    </row>
    <row r="6656" spans="3:4" x14ac:dyDescent="0.3">
      <c r="C6656" s="62"/>
      <c r="D6656" s="62"/>
    </row>
    <row r="6657" spans="3:4" x14ac:dyDescent="0.3">
      <c r="C6657" s="62"/>
      <c r="D6657" s="62"/>
    </row>
    <row r="6658" spans="3:4" x14ac:dyDescent="0.3">
      <c r="C6658" s="62"/>
      <c r="D6658" s="62"/>
    </row>
    <row r="6659" spans="3:4" x14ac:dyDescent="0.3">
      <c r="C6659" s="62"/>
      <c r="D6659" s="62"/>
    </row>
    <row r="6660" spans="3:4" x14ac:dyDescent="0.3">
      <c r="C6660" s="62"/>
      <c r="D6660" s="62"/>
    </row>
    <row r="6661" spans="3:4" x14ac:dyDescent="0.3">
      <c r="C6661" s="62"/>
      <c r="D6661" s="62"/>
    </row>
    <row r="6662" spans="3:4" x14ac:dyDescent="0.3">
      <c r="C6662" s="62"/>
      <c r="D6662" s="62"/>
    </row>
    <row r="6663" spans="3:4" x14ac:dyDescent="0.3">
      <c r="C6663" s="62"/>
      <c r="D6663" s="62"/>
    </row>
    <row r="6664" spans="3:4" x14ac:dyDescent="0.3">
      <c r="C6664" s="62"/>
      <c r="D6664" s="62"/>
    </row>
    <row r="6665" spans="3:4" x14ac:dyDescent="0.3">
      <c r="C6665" s="62"/>
      <c r="D6665" s="62"/>
    </row>
    <row r="6666" spans="3:4" x14ac:dyDescent="0.3">
      <c r="C6666" s="62"/>
      <c r="D6666" s="62"/>
    </row>
    <row r="6667" spans="3:4" x14ac:dyDescent="0.3">
      <c r="C6667" s="62"/>
      <c r="D6667" s="62"/>
    </row>
    <row r="6668" spans="3:4" x14ac:dyDescent="0.3">
      <c r="C6668" s="62"/>
      <c r="D6668" s="62"/>
    </row>
    <row r="6669" spans="3:4" x14ac:dyDescent="0.3">
      <c r="C6669" s="62"/>
      <c r="D6669" s="62"/>
    </row>
    <row r="6670" spans="3:4" x14ac:dyDescent="0.3">
      <c r="C6670" s="62"/>
      <c r="D6670" s="62"/>
    </row>
    <row r="6671" spans="3:4" x14ac:dyDescent="0.3">
      <c r="C6671" s="62"/>
      <c r="D6671" s="62"/>
    </row>
    <row r="6672" spans="3:4" x14ac:dyDescent="0.3">
      <c r="C6672" s="62"/>
      <c r="D6672" s="62"/>
    </row>
    <row r="6673" spans="3:4" x14ac:dyDescent="0.3">
      <c r="C6673" s="62"/>
      <c r="D6673" s="62"/>
    </row>
    <row r="6674" spans="3:4" x14ac:dyDescent="0.3">
      <c r="C6674" s="62"/>
      <c r="D6674" s="62"/>
    </row>
    <row r="6675" spans="3:4" x14ac:dyDescent="0.3">
      <c r="C6675" s="62"/>
      <c r="D6675" s="62"/>
    </row>
    <row r="6676" spans="3:4" x14ac:dyDescent="0.3">
      <c r="C6676" s="62"/>
      <c r="D6676" s="62"/>
    </row>
    <row r="6677" spans="3:4" x14ac:dyDescent="0.3">
      <c r="C6677" s="62"/>
      <c r="D6677" s="62"/>
    </row>
    <row r="6678" spans="3:4" x14ac:dyDescent="0.3">
      <c r="C6678" s="62"/>
      <c r="D6678" s="62"/>
    </row>
    <row r="6679" spans="3:4" x14ac:dyDescent="0.3">
      <c r="C6679" s="62"/>
      <c r="D6679" s="62"/>
    </row>
    <row r="6680" spans="3:4" x14ac:dyDescent="0.3">
      <c r="C6680" s="62"/>
      <c r="D6680" s="62"/>
    </row>
    <row r="6681" spans="3:4" x14ac:dyDescent="0.3">
      <c r="C6681" s="62"/>
      <c r="D6681" s="62"/>
    </row>
    <row r="6682" spans="3:4" x14ac:dyDescent="0.3">
      <c r="C6682" s="62"/>
      <c r="D6682" s="62"/>
    </row>
    <row r="6683" spans="3:4" x14ac:dyDescent="0.3">
      <c r="C6683" s="62"/>
      <c r="D6683" s="62"/>
    </row>
    <row r="6684" spans="3:4" x14ac:dyDescent="0.3">
      <c r="C6684" s="62"/>
      <c r="D6684" s="62"/>
    </row>
    <row r="6685" spans="3:4" x14ac:dyDescent="0.3">
      <c r="C6685" s="62"/>
      <c r="D6685" s="62"/>
    </row>
    <row r="6686" spans="3:4" x14ac:dyDescent="0.3">
      <c r="C6686" s="62"/>
      <c r="D6686" s="62"/>
    </row>
    <row r="6687" spans="3:4" x14ac:dyDescent="0.3">
      <c r="C6687" s="62"/>
      <c r="D6687" s="62"/>
    </row>
    <row r="6688" spans="3:4" x14ac:dyDescent="0.3">
      <c r="C6688" s="62"/>
      <c r="D6688" s="62"/>
    </row>
    <row r="6689" spans="3:4" x14ac:dyDescent="0.3">
      <c r="C6689" s="62"/>
      <c r="D6689" s="62"/>
    </row>
    <row r="6690" spans="3:4" x14ac:dyDescent="0.3">
      <c r="C6690" s="62"/>
      <c r="D6690" s="62"/>
    </row>
    <row r="6691" spans="3:4" x14ac:dyDescent="0.3">
      <c r="C6691" s="62"/>
      <c r="D6691" s="62"/>
    </row>
    <row r="6692" spans="3:4" x14ac:dyDescent="0.3">
      <c r="C6692" s="62"/>
      <c r="D6692" s="62"/>
    </row>
    <row r="6693" spans="3:4" x14ac:dyDescent="0.3">
      <c r="C6693" s="62"/>
      <c r="D6693" s="62"/>
    </row>
    <row r="6694" spans="3:4" x14ac:dyDescent="0.3">
      <c r="C6694" s="62"/>
      <c r="D6694" s="62"/>
    </row>
    <row r="6695" spans="3:4" x14ac:dyDescent="0.3">
      <c r="C6695" s="62"/>
      <c r="D6695" s="62"/>
    </row>
    <row r="6696" spans="3:4" x14ac:dyDescent="0.3">
      <c r="C6696" s="62"/>
      <c r="D6696" s="62"/>
    </row>
    <row r="6697" spans="3:4" x14ac:dyDescent="0.3">
      <c r="C6697" s="62"/>
      <c r="D6697" s="62"/>
    </row>
    <row r="6698" spans="3:4" x14ac:dyDescent="0.3">
      <c r="C6698" s="62"/>
      <c r="D6698" s="62"/>
    </row>
    <row r="6699" spans="3:4" x14ac:dyDescent="0.3">
      <c r="C6699" s="62"/>
      <c r="D6699" s="62"/>
    </row>
    <row r="6700" spans="3:4" x14ac:dyDescent="0.3">
      <c r="C6700" s="62"/>
      <c r="D6700" s="62"/>
    </row>
    <row r="6701" spans="3:4" x14ac:dyDescent="0.3">
      <c r="C6701" s="62"/>
      <c r="D6701" s="62"/>
    </row>
    <row r="6702" spans="3:4" x14ac:dyDescent="0.3">
      <c r="C6702" s="62"/>
      <c r="D6702" s="62"/>
    </row>
    <row r="6703" spans="3:4" x14ac:dyDescent="0.3">
      <c r="C6703" s="62"/>
      <c r="D6703" s="62"/>
    </row>
    <row r="6704" spans="3:4" x14ac:dyDescent="0.3">
      <c r="C6704" s="62"/>
      <c r="D6704" s="62"/>
    </row>
    <row r="6705" spans="3:4" x14ac:dyDescent="0.3">
      <c r="C6705" s="62"/>
      <c r="D6705" s="62"/>
    </row>
    <row r="6706" spans="3:4" x14ac:dyDescent="0.3">
      <c r="C6706" s="62"/>
      <c r="D6706" s="62"/>
    </row>
    <row r="6707" spans="3:4" x14ac:dyDescent="0.3">
      <c r="C6707" s="62"/>
      <c r="D6707" s="62"/>
    </row>
    <row r="6708" spans="3:4" x14ac:dyDescent="0.3">
      <c r="C6708" s="62"/>
      <c r="D6708" s="62"/>
    </row>
    <row r="6709" spans="3:4" x14ac:dyDescent="0.3">
      <c r="C6709" s="62"/>
      <c r="D6709" s="62"/>
    </row>
    <row r="6710" spans="3:4" x14ac:dyDescent="0.3">
      <c r="C6710" s="62"/>
      <c r="D6710" s="62"/>
    </row>
    <row r="6711" spans="3:4" x14ac:dyDescent="0.3">
      <c r="C6711" s="62"/>
      <c r="D6711" s="62"/>
    </row>
    <row r="6712" spans="3:4" x14ac:dyDescent="0.3">
      <c r="C6712" s="62"/>
      <c r="D6712" s="62"/>
    </row>
    <row r="6713" spans="3:4" x14ac:dyDescent="0.3">
      <c r="C6713" s="62"/>
      <c r="D6713" s="62"/>
    </row>
    <row r="6714" spans="3:4" x14ac:dyDescent="0.3">
      <c r="C6714" s="62"/>
      <c r="D6714" s="62"/>
    </row>
    <row r="6715" spans="3:4" x14ac:dyDescent="0.3">
      <c r="C6715" s="62"/>
      <c r="D6715" s="62"/>
    </row>
    <row r="6716" spans="3:4" x14ac:dyDescent="0.3">
      <c r="C6716" s="62"/>
      <c r="D6716" s="62"/>
    </row>
    <row r="6717" spans="3:4" x14ac:dyDescent="0.3">
      <c r="C6717" s="62"/>
      <c r="D6717" s="62"/>
    </row>
    <row r="6718" spans="3:4" x14ac:dyDescent="0.3">
      <c r="C6718" s="62"/>
      <c r="D6718" s="62"/>
    </row>
    <row r="6719" spans="3:4" x14ac:dyDescent="0.3">
      <c r="C6719" s="62"/>
      <c r="D6719" s="62"/>
    </row>
    <row r="6720" spans="3:4" x14ac:dyDescent="0.3">
      <c r="C6720" s="62"/>
      <c r="D6720" s="62"/>
    </row>
    <row r="6721" spans="3:4" x14ac:dyDescent="0.3">
      <c r="C6721" s="62"/>
      <c r="D6721" s="62"/>
    </row>
    <row r="6722" spans="3:4" x14ac:dyDescent="0.3">
      <c r="C6722" s="62"/>
      <c r="D6722" s="62"/>
    </row>
    <row r="6723" spans="3:4" x14ac:dyDescent="0.3">
      <c r="C6723" s="62"/>
      <c r="D6723" s="62"/>
    </row>
    <row r="6724" spans="3:4" x14ac:dyDescent="0.3">
      <c r="C6724" s="62"/>
      <c r="D6724" s="62"/>
    </row>
    <row r="6725" spans="3:4" x14ac:dyDescent="0.3">
      <c r="C6725" s="62"/>
      <c r="D6725" s="62"/>
    </row>
    <row r="6726" spans="3:4" x14ac:dyDescent="0.3">
      <c r="C6726" s="62"/>
      <c r="D6726" s="62"/>
    </row>
    <row r="6727" spans="3:4" x14ac:dyDescent="0.3">
      <c r="C6727" s="62"/>
      <c r="D6727" s="62"/>
    </row>
    <row r="6728" spans="3:4" x14ac:dyDescent="0.3">
      <c r="C6728" s="62"/>
      <c r="D6728" s="62"/>
    </row>
    <row r="6729" spans="3:4" x14ac:dyDescent="0.3">
      <c r="C6729" s="62"/>
      <c r="D6729" s="62"/>
    </row>
    <row r="6730" spans="3:4" x14ac:dyDescent="0.3">
      <c r="C6730" s="62"/>
      <c r="D6730" s="62"/>
    </row>
    <row r="6731" spans="3:4" x14ac:dyDescent="0.3">
      <c r="C6731" s="62"/>
      <c r="D6731" s="62"/>
    </row>
    <row r="6732" spans="3:4" x14ac:dyDescent="0.3">
      <c r="C6732" s="62"/>
      <c r="D6732" s="62"/>
    </row>
    <row r="6733" spans="3:4" x14ac:dyDescent="0.3">
      <c r="C6733" s="62"/>
      <c r="D6733" s="62"/>
    </row>
    <row r="6734" spans="3:4" x14ac:dyDescent="0.3">
      <c r="C6734" s="62"/>
      <c r="D6734" s="62"/>
    </row>
    <row r="6735" spans="3:4" x14ac:dyDescent="0.3">
      <c r="C6735" s="62"/>
      <c r="D6735" s="62"/>
    </row>
    <row r="6736" spans="3:4" x14ac:dyDescent="0.3">
      <c r="C6736" s="62"/>
      <c r="D6736" s="62"/>
    </row>
    <row r="6737" spans="3:4" x14ac:dyDescent="0.3">
      <c r="C6737" s="62"/>
      <c r="D6737" s="62"/>
    </row>
    <row r="6738" spans="3:4" x14ac:dyDescent="0.3">
      <c r="C6738" s="62"/>
      <c r="D6738" s="62"/>
    </row>
    <row r="6739" spans="3:4" x14ac:dyDescent="0.3">
      <c r="C6739" s="62"/>
      <c r="D6739" s="62"/>
    </row>
    <row r="6740" spans="3:4" x14ac:dyDescent="0.3">
      <c r="C6740" s="62"/>
      <c r="D6740" s="62"/>
    </row>
    <row r="6741" spans="3:4" x14ac:dyDescent="0.3">
      <c r="C6741" s="62"/>
      <c r="D6741" s="62"/>
    </row>
    <row r="6742" spans="3:4" x14ac:dyDescent="0.3">
      <c r="C6742" s="62"/>
      <c r="D6742" s="62"/>
    </row>
    <row r="6743" spans="3:4" x14ac:dyDescent="0.3">
      <c r="C6743" s="62"/>
      <c r="D6743" s="62"/>
    </row>
    <row r="6744" spans="3:4" x14ac:dyDescent="0.3">
      <c r="C6744" s="62"/>
      <c r="D6744" s="62"/>
    </row>
    <row r="6745" spans="3:4" x14ac:dyDescent="0.3">
      <c r="C6745" s="62"/>
      <c r="D6745" s="62"/>
    </row>
    <row r="6746" spans="3:4" x14ac:dyDescent="0.3">
      <c r="C6746" s="62"/>
      <c r="D6746" s="62"/>
    </row>
    <row r="6747" spans="3:4" x14ac:dyDescent="0.3">
      <c r="C6747" s="62"/>
      <c r="D6747" s="62"/>
    </row>
    <row r="6748" spans="3:4" x14ac:dyDescent="0.3">
      <c r="C6748" s="62"/>
      <c r="D6748" s="62"/>
    </row>
    <row r="6749" spans="3:4" x14ac:dyDescent="0.3">
      <c r="C6749" s="62"/>
      <c r="D6749" s="62"/>
    </row>
    <row r="6750" spans="3:4" x14ac:dyDescent="0.3">
      <c r="C6750" s="62"/>
      <c r="D6750" s="62"/>
    </row>
    <row r="6751" spans="3:4" x14ac:dyDescent="0.3">
      <c r="C6751" s="62"/>
      <c r="D6751" s="62"/>
    </row>
    <row r="6752" spans="3:4" x14ac:dyDescent="0.3">
      <c r="C6752" s="62"/>
      <c r="D6752" s="62"/>
    </row>
    <row r="6753" spans="3:4" x14ac:dyDescent="0.3">
      <c r="C6753" s="62"/>
      <c r="D6753" s="62"/>
    </row>
    <row r="6754" spans="3:4" x14ac:dyDescent="0.3">
      <c r="C6754" s="62"/>
      <c r="D6754" s="62"/>
    </row>
    <row r="6755" spans="3:4" x14ac:dyDescent="0.3">
      <c r="C6755" s="62"/>
      <c r="D6755" s="62"/>
    </row>
    <row r="6756" spans="3:4" x14ac:dyDescent="0.3">
      <c r="C6756" s="62"/>
      <c r="D6756" s="62"/>
    </row>
    <row r="6757" spans="3:4" x14ac:dyDescent="0.3">
      <c r="C6757" s="62"/>
      <c r="D6757" s="62"/>
    </row>
    <row r="6758" spans="3:4" x14ac:dyDescent="0.3">
      <c r="C6758" s="62"/>
      <c r="D6758" s="62"/>
    </row>
    <row r="6759" spans="3:4" x14ac:dyDescent="0.3">
      <c r="C6759" s="62"/>
      <c r="D6759" s="62"/>
    </row>
    <row r="6760" spans="3:4" x14ac:dyDescent="0.3">
      <c r="C6760" s="62"/>
      <c r="D6760" s="62"/>
    </row>
    <row r="6761" spans="3:4" x14ac:dyDescent="0.3">
      <c r="C6761" s="62"/>
      <c r="D6761" s="62"/>
    </row>
    <row r="6762" spans="3:4" x14ac:dyDescent="0.3">
      <c r="C6762" s="62"/>
      <c r="D6762" s="62"/>
    </row>
    <row r="6763" spans="3:4" x14ac:dyDescent="0.3">
      <c r="C6763" s="62"/>
      <c r="D6763" s="62"/>
    </row>
    <row r="6764" spans="3:4" x14ac:dyDescent="0.3">
      <c r="C6764" s="62"/>
      <c r="D6764" s="62"/>
    </row>
    <row r="6765" spans="3:4" x14ac:dyDescent="0.3">
      <c r="C6765" s="62"/>
      <c r="D6765" s="62"/>
    </row>
    <row r="6766" spans="3:4" x14ac:dyDescent="0.3">
      <c r="C6766" s="62"/>
      <c r="D6766" s="62"/>
    </row>
    <row r="6767" spans="3:4" x14ac:dyDescent="0.3">
      <c r="C6767" s="62"/>
      <c r="D6767" s="62"/>
    </row>
    <row r="6768" spans="3:4" x14ac:dyDescent="0.3">
      <c r="C6768" s="62"/>
      <c r="D6768" s="62"/>
    </row>
    <row r="6769" spans="3:4" x14ac:dyDescent="0.3">
      <c r="C6769" s="62"/>
      <c r="D6769" s="62"/>
    </row>
    <row r="6770" spans="3:4" x14ac:dyDescent="0.3">
      <c r="C6770" s="62"/>
      <c r="D6770" s="62"/>
    </row>
    <row r="6771" spans="3:4" x14ac:dyDescent="0.3">
      <c r="C6771" s="62"/>
      <c r="D6771" s="62"/>
    </row>
    <row r="6772" spans="3:4" x14ac:dyDescent="0.3">
      <c r="C6772" s="62"/>
      <c r="D6772" s="62"/>
    </row>
    <row r="6773" spans="3:4" x14ac:dyDescent="0.3">
      <c r="C6773" s="62"/>
      <c r="D6773" s="62"/>
    </row>
    <row r="6774" spans="3:4" x14ac:dyDescent="0.3">
      <c r="C6774" s="62"/>
      <c r="D6774" s="62"/>
    </row>
    <row r="6775" spans="3:4" x14ac:dyDescent="0.3">
      <c r="C6775" s="62"/>
      <c r="D6775" s="62"/>
    </row>
    <row r="6776" spans="3:4" x14ac:dyDescent="0.3">
      <c r="C6776" s="62"/>
      <c r="D6776" s="62"/>
    </row>
    <row r="6777" spans="3:4" x14ac:dyDescent="0.3">
      <c r="C6777" s="62"/>
      <c r="D6777" s="62"/>
    </row>
    <row r="6778" spans="3:4" x14ac:dyDescent="0.3">
      <c r="C6778" s="62"/>
      <c r="D6778" s="62"/>
    </row>
    <row r="6779" spans="3:4" x14ac:dyDescent="0.3">
      <c r="C6779" s="62"/>
      <c r="D6779" s="62"/>
    </row>
    <row r="6780" spans="3:4" x14ac:dyDescent="0.3">
      <c r="C6780" s="62"/>
      <c r="D6780" s="62"/>
    </row>
    <row r="6781" spans="3:4" x14ac:dyDescent="0.3">
      <c r="C6781" s="62"/>
      <c r="D6781" s="62"/>
    </row>
    <row r="6782" spans="3:4" x14ac:dyDescent="0.3">
      <c r="C6782" s="62"/>
      <c r="D6782" s="62"/>
    </row>
    <row r="6783" spans="3:4" x14ac:dyDescent="0.3">
      <c r="C6783" s="62"/>
      <c r="D6783" s="62"/>
    </row>
    <row r="6784" spans="3:4" x14ac:dyDescent="0.3">
      <c r="C6784" s="62"/>
      <c r="D6784" s="62"/>
    </row>
    <row r="6785" spans="3:4" x14ac:dyDescent="0.3">
      <c r="C6785" s="62"/>
      <c r="D6785" s="62"/>
    </row>
    <row r="6786" spans="3:4" x14ac:dyDescent="0.3">
      <c r="C6786" s="62"/>
      <c r="D6786" s="62"/>
    </row>
    <row r="6787" spans="3:4" x14ac:dyDescent="0.3">
      <c r="C6787" s="62"/>
      <c r="D6787" s="62"/>
    </row>
    <row r="6788" spans="3:4" x14ac:dyDescent="0.3">
      <c r="C6788" s="62"/>
      <c r="D6788" s="62"/>
    </row>
    <row r="6789" spans="3:4" x14ac:dyDescent="0.3">
      <c r="C6789" s="62"/>
      <c r="D6789" s="62"/>
    </row>
    <row r="6790" spans="3:4" x14ac:dyDescent="0.3">
      <c r="C6790" s="62"/>
      <c r="D6790" s="62"/>
    </row>
    <row r="6791" spans="3:4" x14ac:dyDescent="0.3">
      <c r="C6791" s="62"/>
      <c r="D6791" s="62"/>
    </row>
    <row r="6792" spans="3:4" x14ac:dyDescent="0.3">
      <c r="C6792" s="62"/>
      <c r="D6792" s="62"/>
    </row>
    <row r="6793" spans="3:4" x14ac:dyDescent="0.3">
      <c r="C6793" s="62"/>
      <c r="D6793" s="62"/>
    </row>
    <row r="6794" spans="3:4" x14ac:dyDescent="0.3">
      <c r="C6794" s="62"/>
      <c r="D6794" s="62"/>
    </row>
    <row r="6795" spans="3:4" x14ac:dyDescent="0.3">
      <c r="C6795" s="62"/>
      <c r="D6795" s="62"/>
    </row>
    <row r="6796" spans="3:4" x14ac:dyDescent="0.3">
      <c r="C6796" s="62"/>
      <c r="D6796" s="62"/>
    </row>
    <row r="6797" spans="3:4" x14ac:dyDescent="0.3">
      <c r="C6797" s="62"/>
      <c r="D6797" s="62"/>
    </row>
    <row r="6798" spans="3:4" x14ac:dyDescent="0.3">
      <c r="C6798" s="62"/>
      <c r="D6798" s="62"/>
    </row>
    <row r="6799" spans="3:4" x14ac:dyDescent="0.3">
      <c r="C6799" s="62"/>
      <c r="D6799" s="62"/>
    </row>
    <row r="6800" spans="3:4" x14ac:dyDescent="0.3">
      <c r="C6800" s="62"/>
      <c r="D6800" s="62"/>
    </row>
    <row r="6801" spans="3:4" x14ac:dyDescent="0.3">
      <c r="C6801" s="62"/>
      <c r="D6801" s="62"/>
    </row>
    <row r="6802" spans="3:4" x14ac:dyDescent="0.3">
      <c r="C6802" s="62"/>
      <c r="D6802" s="62"/>
    </row>
    <row r="6803" spans="3:4" x14ac:dyDescent="0.3">
      <c r="C6803" s="62"/>
      <c r="D6803" s="62"/>
    </row>
    <row r="6804" spans="3:4" x14ac:dyDescent="0.3">
      <c r="C6804" s="62"/>
      <c r="D6804" s="62"/>
    </row>
    <row r="6805" spans="3:4" x14ac:dyDescent="0.3">
      <c r="C6805" s="62"/>
      <c r="D6805" s="62"/>
    </row>
    <row r="6806" spans="3:4" x14ac:dyDescent="0.3">
      <c r="C6806" s="62"/>
      <c r="D6806" s="62"/>
    </row>
    <row r="6807" spans="3:4" x14ac:dyDescent="0.3">
      <c r="C6807" s="62"/>
      <c r="D6807" s="62"/>
    </row>
    <row r="6808" spans="3:4" x14ac:dyDescent="0.3">
      <c r="C6808" s="62"/>
      <c r="D6808" s="62"/>
    </row>
    <row r="6809" spans="3:4" x14ac:dyDescent="0.3">
      <c r="C6809" s="62"/>
      <c r="D6809" s="62"/>
    </row>
    <row r="6810" spans="3:4" x14ac:dyDescent="0.3">
      <c r="C6810" s="62"/>
      <c r="D6810" s="62"/>
    </row>
    <row r="6811" spans="3:4" x14ac:dyDescent="0.3">
      <c r="C6811" s="62"/>
      <c r="D6811" s="62"/>
    </row>
    <row r="6812" spans="3:4" x14ac:dyDescent="0.3">
      <c r="C6812" s="62"/>
      <c r="D6812" s="62"/>
    </row>
    <row r="6813" spans="3:4" x14ac:dyDescent="0.3">
      <c r="C6813" s="62"/>
      <c r="D6813" s="62"/>
    </row>
    <row r="6814" spans="3:4" x14ac:dyDescent="0.3">
      <c r="C6814" s="62"/>
      <c r="D6814" s="62"/>
    </row>
    <row r="6815" spans="3:4" x14ac:dyDescent="0.3">
      <c r="C6815" s="62"/>
      <c r="D6815" s="62"/>
    </row>
    <row r="6816" spans="3:4" x14ac:dyDescent="0.3">
      <c r="C6816" s="62"/>
      <c r="D6816" s="62"/>
    </row>
    <row r="6817" spans="3:4" x14ac:dyDescent="0.3">
      <c r="C6817" s="62"/>
      <c r="D6817" s="62"/>
    </row>
    <row r="6818" spans="3:4" x14ac:dyDescent="0.3">
      <c r="C6818" s="62"/>
      <c r="D6818" s="62"/>
    </row>
    <row r="6819" spans="3:4" x14ac:dyDescent="0.3">
      <c r="C6819" s="62"/>
      <c r="D6819" s="62"/>
    </row>
    <row r="6820" spans="3:4" x14ac:dyDescent="0.3">
      <c r="C6820" s="62"/>
      <c r="D6820" s="62"/>
    </row>
    <row r="6821" spans="3:4" x14ac:dyDescent="0.3">
      <c r="C6821" s="62"/>
      <c r="D6821" s="62"/>
    </row>
    <row r="6822" spans="3:4" x14ac:dyDescent="0.3">
      <c r="C6822" s="62"/>
      <c r="D6822" s="62"/>
    </row>
    <row r="6823" spans="3:4" x14ac:dyDescent="0.3">
      <c r="C6823" s="62"/>
      <c r="D6823" s="62"/>
    </row>
    <row r="6824" spans="3:4" x14ac:dyDescent="0.3">
      <c r="C6824" s="62"/>
      <c r="D6824" s="62"/>
    </row>
    <row r="6825" spans="3:4" x14ac:dyDescent="0.3">
      <c r="C6825" s="62"/>
      <c r="D6825" s="62"/>
    </row>
    <row r="6826" spans="3:4" x14ac:dyDescent="0.3">
      <c r="C6826" s="62"/>
      <c r="D6826" s="62"/>
    </row>
    <row r="6827" spans="3:4" x14ac:dyDescent="0.3">
      <c r="C6827" s="62"/>
      <c r="D6827" s="62"/>
    </row>
    <row r="6828" spans="3:4" x14ac:dyDescent="0.3">
      <c r="C6828" s="62"/>
      <c r="D6828" s="62"/>
    </row>
    <row r="6829" spans="3:4" x14ac:dyDescent="0.3">
      <c r="C6829" s="62"/>
      <c r="D6829" s="62"/>
    </row>
    <row r="6830" spans="3:4" x14ac:dyDescent="0.3">
      <c r="C6830" s="62"/>
      <c r="D6830" s="62"/>
    </row>
    <row r="6831" spans="3:4" x14ac:dyDescent="0.3">
      <c r="C6831" s="62"/>
      <c r="D6831" s="62"/>
    </row>
    <row r="6832" spans="3:4" x14ac:dyDescent="0.3">
      <c r="C6832" s="62"/>
      <c r="D6832" s="62"/>
    </row>
    <row r="6833" spans="3:4" x14ac:dyDescent="0.3">
      <c r="C6833" s="62"/>
      <c r="D6833" s="62"/>
    </row>
    <row r="6834" spans="3:4" x14ac:dyDescent="0.3">
      <c r="C6834" s="62"/>
      <c r="D6834" s="62"/>
    </row>
    <row r="6835" spans="3:4" x14ac:dyDescent="0.3">
      <c r="C6835" s="62"/>
      <c r="D6835" s="62"/>
    </row>
    <row r="6836" spans="3:4" x14ac:dyDescent="0.3">
      <c r="C6836" s="62"/>
      <c r="D6836" s="62"/>
    </row>
    <row r="6837" spans="3:4" x14ac:dyDescent="0.3">
      <c r="C6837" s="62"/>
      <c r="D6837" s="62"/>
    </row>
    <row r="6838" spans="3:4" x14ac:dyDescent="0.3">
      <c r="C6838" s="62"/>
      <c r="D6838" s="62"/>
    </row>
    <row r="6839" spans="3:4" x14ac:dyDescent="0.3">
      <c r="C6839" s="62"/>
      <c r="D6839" s="62"/>
    </row>
    <row r="6840" spans="3:4" x14ac:dyDescent="0.3">
      <c r="C6840" s="62"/>
      <c r="D6840" s="62"/>
    </row>
    <row r="6841" spans="3:4" x14ac:dyDescent="0.3">
      <c r="C6841" s="62"/>
      <c r="D6841" s="62"/>
    </row>
    <row r="6842" spans="3:4" x14ac:dyDescent="0.3">
      <c r="C6842" s="62"/>
      <c r="D6842" s="62"/>
    </row>
    <row r="6843" spans="3:4" x14ac:dyDescent="0.3">
      <c r="C6843" s="62"/>
      <c r="D6843" s="62"/>
    </row>
    <row r="6844" spans="3:4" x14ac:dyDescent="0.3">
      <c r="C6844" s="62"/>
      <c r="D6844" s="62"/>
    </row>
    <row r="6845" spans="3:4" x14ac:dyDescent="0.3">
      <c r="C6845" s="62"/>
      <c r="D6845" s="62"/>
    </row>
    <row r="6846" spans="3:4" x14ac:dyDescent="0.3">
      <c r="C6846" s="62"/>
      <c r="D6846" s="62"/>
    </row>
    <row r="6847" spans="3:4" x14ac:dyDescent="0.3">
      <c r="C6847" s="62"/>
      <c r="D6847" s="62"/>
    </row>
    <row r="6848" spans="3:4" x14ac:dyDescent="0.3">
      <c r="C6848" s="62"/>
      <c r="D6848" s="62"/>
    </row>
    <row r="6849" spans="3:4" x14ac:dyDescent="0.3">
      <c r="C6849" s="62"/>
      <c r="D6849" s="62"/>
    </row>
    <row r="6850" spans="3:4" x14ac:dyDescent="0.3">
      <c r="C6850" s="62"/>
      <c r="D6850" s="62"/>
    </row>
    <row r="6851" spans="3:4" x14ac:dyDescent="0.3">
      <c r="C6851" s="62"/>
      <c r="D6851" s="62"/>
    </row>
    <row r="6852" spans="3:4" x14ac:dyDescent="0.3">
      <c r="C6852" s="62"/>
      <c r="D6852" s="62"/>
    </row>
    <row r="6853" spans="3:4" x14ac:dyDescent="0.3">
      <c r="C6853" s="62"/>
      <c r="D6853" s="62"/>
    </row>
    <row r="6854" spans="3:4" x14ac:dyDescent="0.3">
      <c r="C6854" s="62"/>
      <c r="D6854" s="62"/>
    </row>
    <row r="6855" spans="3:4" x14ac:dyDescent="0.3">
      <c r="C6855" s="62"/>
      <c r="D6855" s="62"/>
    </row>
    <row r="6856" spans="3:4" x14ac:dyDescent="0.3">
      <c r="C6856" s="62"/>
      <c r="D6856" s="62"/>
    </row>
    <row r="6857" spans="3:4" x14ac:dyDescent="0.3">
      <c r="C6857" s="62"/>
      <c r="D6857" s="62"/>
    </row>
    <row r="6858" spans="3:4" x14ac:dyDescent="0.3">
      <c r="C6858" s="62"/>
      <c r="D6858" s="62"/>
    </row>
    <row r="6859" spans="3:4" x14ac:dyDescent="0.3">
      <c r="C6859" s="62"/>
      <c r="D6859" s="62"/>
    </row>
    <row r="6860" spans="3:4" x14ac:dyDescent="0.3">
      <c r="C6860" s="62"/>
      <c r="D6860" s="62"/>
    </row>
    <row r="6861" spans="3:4" x14ac:dyDescent="0.3">
      <c r="C6861" s="62"/>
      <c r="D6861" s="62"/>
    </row>
    <row r="6862" spans="3:4" x14ac:dyDescent="0.3">
      <c r="C6862" s="62"/>
      <c r="D6862" s="62"/>
    </row>
    <row r="6863" spans="3:4" x14ac:dyDescent="0.3">
      <c r="C6863" s="62"/>
      <c r="D6863" s="62"/>
    </row>
    <row r="6864" spans="3:4" x14ac:dyDescent="0.3">
      <c r="C6864" s="62"/>
      <c r="D6864" s="62"/>
    </row>
    <row r="6865" spans="3:4" x14ac:dyDescent="0.3">
      <c r="C6865" s="62"/>
      <c r="D6865" s="62"/>
    </row>
    <row r="6866" spans="3:4" x14ac:dyDescent="0.3">
      <c r="C6866" s="62"/>
      <c r="D6866" s="62"/>
    </row>
    <row r="6867" spans="3:4" x14ac:dyDescent="0.3">
      <c r="C6867" s="62"/>
      <c r="D6867" s="62"/>
    </row>
    <row r="6868" spans="3:4" x14ac:dyDescent="0.3">
      <c r="C6868" s="62"/>
      <c r="D6868" s="62"/>
    </row>
    <row r="6869" spans="3:4" x14ac:dyDescent="0.3">
      <c r="C6869" s="62"/>
      <c r="D6869" s="62"/>
    </row>
    <row r="6870" spans="3:4" x14ac:dyDescent="0.3">
      <c r="C6870" s="62"/>
      <c r="D6870" s="62"/>
    </row>
    <row r="6871" spans="3:4" x14ac:dyDescent="0.3">
      <c r="C6871" s="62"/>
      <c r="D6871" s="62"/>
    </row>
    <row r="6872" spans="3:4" x14ac:dyDescent="0.3">
      <c r="C6872" s="62"/>
      <c r="D6872" s="62"/>
    </row>
    <row r="6873" spans="3:4" x14ac:dyDescent="0.3">
      <c r="C6873" s="62"/>
      <c r="D6873" s="62"/>
    </row>
    <row r="6874" spans="3:4" x14ac:dyDescent="0.3">
      <c r="C6874" s="62"/>
      <c r="D6874" s="62"/>
    </row>
    <row r="6875" spans="3:4" x14ac:dyDescent="0.3">
      <c r="C6875" s="62"/>
      <c r="D6875" s="62"/>
    </row>
    <row r="6876" spans="3:4" x14ac:dyDescent="0.3">
      <c r="C6876" s="62"/>
      <c r="D6876" s="62"/>
    </row>
    <row r="6877" spans="3:4" x14ac:dyDescent="0.3">
      <c r="C6877" s="62"/>
      <c r="D6877" s="62"/>
    </row>
    <row r="6878" spans="3:4" x14ac:dyDescent="0.3">
      <c r="C6878" s="62"/>
      <c r="D6878" s="62"/>
    </row>
    <row r="6879" spans="3:4" x14ac:dyDescent="0.3">
      <c r="C6879" s="62"/>
      <c r="D6879" s="62"/>
    </row>
    <row r="6880" spans="3:4" x14ac:dyDescent="0.3">
      <c r="C6880" s="62"/>
      <c r="D6880" s="62"/>
    </row>
    <row r="6881" spans="3:4" x14ac:dyDescent="0.3">
      <c r="C6881" s="62"/>
      <c r="D6881" s="62"/>
    </row>
    <row r="6882" spans="3:4" x14ac:dyDescent="0.3">
      <c r="C6882" s="62"/>
      <c r="D6882" s="62"/>
    </row>
  </sheetData>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5:CH34"/>
  <sheetViews>
    <sheetView showGridLines="0" zoomScale="80" zoomScaleNormal="80" workbookViewId="0"/>
  </sheetViews>
  <sheetFormatPr baseColWidth="10" defaultColWidth="25.6640625" defaultRowHeight="14.4" x14ac:dyDescent="0.3"/>
  <cols>
    <col min="1" max="1" width="11" style="75" bestFit="1" customWidth="1"/>
    <col min="2" max="2" width="45.88671875" style="62" customWidth="1"/>
    <col min="3" max="30" width="25.6640625" style="62" customWidth="1"/>
    <col min="31" max="16384" width="25.6640625" style="62"/>
  </cols>
  <sheetData>
    <row r="5" spans="1:86" x14ac:dyDescent="0.3">
      <c r="B5" s="74" t="s">
        <v>559</v>
      </c>
      <c r="C5" s="74"/>
    </row>
    <row r="6" spans="1:86" x14ac:dyDescent="0.3">
      <c r="B6" s="74" t="s">
        <v>1957</v>
      </c>
      <c r="C6" s="74"/>
    </row>
    <row r="7" spans="1:86" x14ac:dyDescent="0.3">
      <c r="B7" s="74" t="str">
        <f>'ESTADO FINANCIERO'!A7</f>
        <v>PERIODO DEL 1 ENERO DEL 2019 AL 31 DE ENERO DEL 2019</v>
      </c>
      <c r="C7" s="74"/>
    </row>
    <row r="8" spans="1:86" x14ac:dyDescent="0.3">
      <c r="B8" s="74" t="s">
        <v>269</v>
      </c>
      <c r="C8" s="74"/>
      <c r="E8" s="76"/>
    </row>
    <row r="9" spans="1:86" x14ac:dyDescent="0.3">
      <c r="A9" s="78"/>
      <c r="B9" s="78"/>
    </row>
    <row r="10" spans="1:86" x14ac:dyDescent="0.3">
      <c r="B10" s="121"/>
      <c r="C10" s="99" t="s">
        <v>1952</v>
      </c>
      <c r="D10" s="98"/>
      <c r="E10" s="98"/>
      <c r="F10" s="98"/>
      <c r="G10" s="100"/>
      <c r="H10"/>
      <c r="I10"/>
      <c r="J10"/>
      <c r="K10"/>
      <c r="L10"/>
    </row>
    <row r="11" spans="1:86" x14ac:dyDescent="0.3">
      <c r="B11" s="101"/>
      <c r="C11" s="122">
        <v>43496</v>
      </c>
      <c r="D11" s="102"/>
      <c r="E11" s="102"/>
      <c r="F11" s="102"/>
      <c r="G11" s="104"/>
      <c r="H11"/>
      <c r="I11"/>
      <c r="J11"/>
      <c r="K11"/>
      <c r="L11"/>
    </row>
    <row r="12" spans="1:86" s="79" customFormat="1" x14ac:dyDescent="0.3">
      <c r="A12" s="77"/>
      <c r="B12" s="123" t="s">
        <v>1952</v>
      </c>
      <c r="C12" s="102" t="s">
        <v>1960</v>
      </c>
      <c r="D12" s="102" t="s">
        <v>1958</v>
      </c>
      <c r="E12" s="102" t="s">
        <v>1959</v>
      </c>
      <c r="F12" s="102" t="s">
        <v>2665</v>
      </c>
      <c r="G12" s="104" t="s">
        <v>2666</v>
      </c>
      <c r="H12"/>
      <c r="I12"/>
      <c r="J12"/>
      <c r="K12"/>
      <c r="L12"/>
      <c r="M12" s="62"/>
      <c r="N12" s="62"/>
      <c r="O12" s="62"/>
      <c r="P12" s="62"/>
      <c r="Q12" s="62"/>
      <c r="R12" s="62"/>
      <c r="S12" s="62"/>
      <c r="T12" s="62"/>
      <c r="U12" s="62"/>
      <c r="V12" s="62"/>
      <c r="W12" s="62"/>
      <c r="X12" s="62"/>
      <c r="Y12" s="62"/>
      <c r="Z12" s="62"/>
      <c r="AA12" s="62"/>
      <c r="AB12" s="62"/>
      <c r="AC12" s="62"/>
      <c r="AD12" s="62"/>
      <c r="AE12" s="62"/>
      <c r="AF12" s="62"/>
      <c r="AG12" s="62"/>
      <c r="AH12" s="62"/>
      <c r="AI12" s="62"/>
      <c r="AJ12" s="62"/>
      <c r="AK12" s="62"/>
      <c r="AL12" s="62"/>
      <c r="AM12" s="62"/>
      <c r="AN12" s="62"/>
      <c r="AO12" s="62"/>
      <c r="AP12" s="62"/>
      <c r="AQ12" s="62"/>
      <c r="AR12" s="62"/>
      <c r="AS12" s="62"/>
      <c r="AT12" s="62"/>
      <c r="AU12" s="62"/>
      <c r="AV12" s="62"/>
      <c r="AW12" s="62"/>
      <c r="AX12" s="62"/>
      <c r="AY12" s="62"/>
      <c r="AZ12" s="62"/>
      <c r="BA12" s="62"/>
      <c r="BB12" s="62"/>
      <c r="BC12" s="62"/>
      <c r="BD12" s="62"/>
      <c r="BE12" s="62"/>
      <c r="BF12" s="62"/>
      <c r="BG12" s="62"/>
      <c r="BH12" s="62"/>
      <c r="BI12" s="62"/>
      <c r="BJ12" s="62"/>
      <c r="BK12" s="62"/>
      <c r="BL12" s="62"/>
      <c r="BM12" s="62"/>
      <c r="BN12" s="62"/>
      <c r="BO12" s="62"/>
      <c r="BP12" s="62"/>
      <c r="BQ12" s="62"/>
      <c r="BR12" s="62"/>
      <c r="BS12" s="62"/>
      <c r="BT12" s="62"/>
      <c r="BU12" s="62"/>
      <c r="BV12" s="62"/>
      <c r="BW12" s="62"/>
      <c r="BX12" s="62"/>
      <c r="BY12" s="62"/>
      <c r="BZ12" s="62"/>
      <c r="CA12" s="62"/>
      <c r="CB12" s="62"/>
      <c r="CC12" s="62"/>
      <c r="CD12" s="62"/>
      <c r="CE12" s="62"/>
      <c r="CF12" s="62"/>
      <c r="CG12" s="62"/>
      <c r="CH12" s="62"/>
    </row>
    <row r="13" spans="1:86" x14ac:dyDescent="0.3">
      <c r="A13" s="75" t="s">
        <v>55</v>
      </c>
      <c r="B13" s="119" t="s">
        <v>1773</v>
      </c>
      <c r="C13" s="112">
        <v>281612.43</v>
      </c>
      <c r="D13" s="112">
        <v>1703539.29</v>
      </c>
      <c r="E13" s="112">
        <v>569750.71</v>
      </c>
      <c r="F13" s="112">
        <v>7233655.9800000004</v>
      </c>
      <c r="G13" s="113">
        <v>9788558.4100000001</v>
      </c>
      <c r="H13"/>
      <c r="I13"/>
      <c r="J13"/>
      <c r="K13"/>
      <c r="L13"/>
    </row>
    <row r="14" spans="1:86" x14ac:dyDescent="0.3">
      <c r="A14" s="75" t="s">
        <v>61</v>
      </c>
      <c r="B14" s="124" t="s">
        <v>252</v>
      </c>
      <c r="C14" s="112">
        <v>250878.56</v>
      </c>
      <c r="D14" s="112">
        <v>1473640.66</v>
      </c>
      <c r="E14" s="112">
        <v>486192.19</v>
      </c>
      <c r="F14" s="112">
        <v>5236709.5599999996</v>
      </c>
      <c r="G14" s="113">
        <v>7447420.9700000007</v>
      </c>
      <c r="H14"/>
      <c r="I14"/>
      <c r="J14"/>
      <c r="K14"/>
      <c r="L14"/>
    </row>
    <row r="15" spans="1:86" x14ac:dyDescent="0.3">
      <c r="A15" s="75" t="s">
        <v>1779</v>
      </c>
      <c r="B15" s="124" t="s">
        <v>253</v>
      </c>
      <c r="C15" s="112">
        <v>139377.79</v>
      </c>
      <c r="D15" s="112">
        <v>605427.80000000005</v>
      </c>
      <c r="E15" s="112">
        <v>237733.72</v>
      </c>
      <c r="F15" s="112">
        <v>2532984.84</v>
      </c>
      <c r="G15" s="113">
        <v>3515524.15</v>
      </c>
      <c r="H15"/>
      <c r="I15"/>
      <c r="J15"/>
      <c r="K15"/>
      <c r="L15"/>
    </row>
    <row r="16" spans="1:86" x14ac:dyDescent="0.3">
      <c r="B16" s="119" t="s">
        <v>1774</v>
      </c>
      <c r="C16" s="112">
        <v>111500.76999999999</v>
      </c>
      <c r="D16" s="112">
        <v>868212.85999999987</v>
      </c>
      <c r="E16" s="112">
        <v>248458.47</v>
      </c>
      <c r="F16" s="112">
        <v>2703724.7199999997</v>
      </c>
      <c r="G16" s="113">
        <v>3931896.8200000008</v>
      </c>
      <c r="H16"/>
      <c r="I16"/>
      <c r="J16"/>
      <c r="K16"/>
      <c r="L16"/>
    </row>
    <row r="17" spans="1:12" x14ac:dyDescent="0.3">
      <c r="A17" s="75" t="s">
        <v>1780</v>
      </c>
      <c r="B17" s="124" t="s">
        <v>254</v>
      </c>
      <c r="C17" s="112">
        <v>0</v>
      </c>
      <c r="D17" s="112">
        <v>11717.65</v>
      </c>
      <c r="E17" s="112">
        <v>674.65</v>
      </c>
      <c r="F17" s="112">
        <v>239872.29</v>
      </c>
      <c r="G17" s="113">
        <v>252264.59</v>
      </c>
      <c r="H17"/>
      <c r="I17"/>
      <c r="J17"/>
      <c r="K17"/>
      <c r="L17"/>
    </row>
    <row r="18" spans="1:12" x14ac:dyDescent="0.3">
      <c r="A18" s="75" t="s">
        <v>1781</v>
      </c>
      <c r="B18" s="124" t="s">
        <v>255</v>
      </c>
      <c r="C18" s="112">
        <v>4579.49</v>
      </c>
      <c r="D18" s="112">
        <v>24485.46</v>
      </c>
      <c r="E18" s="112">
        <v>22596.240000000002</v>
      </c>
      <c r="F18" s="112">
        <v>143491.07</v>
      </c>
      <c r="G18" s="113">
        <v>195152.26</v>
      </c>
      <c r="H18"/>
      <c r="I18"/>
      <c r="J18"/>
      <c r="K18"/>
      <c r="L18"/>
    </row>
    <row r="19" spans="1:12" x14ac:dyDescent="0.3">
      <c r="A19" s="75" t="s">
        <v>1782</v>
      </c>
      <c r="B19" s="124" t="s">
        <v>256</v>
      </c>
      <c r="C19" s="112">
        <v>672</v>
      </c>
      <c r="D19" s="112">
        <v>10137.76</v>
      </c>
      <c r="E19" s="112">
        <v>954.8</v>
      </c>
      <c r="F19" s="112">
        <v>18858.95</v>
      </c>
      <c r="G19" s="113">
        <v>30623.51</v>
      </c>
      <c r="H19"/>
      <c r="I19"/>
      <c r="J19"/>
      <c r="K19"/>
      <c r="L19"/>
    </row>
    <row r="20" spans="1:12" x14ac:dyDescent="0.3">
      <c r="A20" s="75" t="s">
        <v>1783</v>
      </c>
      <c r="B20" s="124" t="s">
        <v>257</v>
      </c>
      <c r="C20" s="112">
        <v>0</v>
      </c>
      <c r="D20" s="112">
        <v>596.78</v>
      </c>
      <c r="E20" s="112">
        <v>0</v>
      </c>
      <c r="F20" s="112">
        <v>331619.90999999997</v>
      </c>
      <c r="G20" s="113">
        <v>332216.69</v>
      </c>
      <c r="H20"/>
      <c r="I20"/>
      <c r="J20"/>
      <c r="K20"/>
      <c r="L20"/>
    </row>
    <row r="21" spans="1:12" x14ac:dyDescent="0.3">
      <c r="A21" s="75" t="s">
        <v>1784</v>
      </c>
      <c r="B21" s="124" t="s">
        <v>258</v>
      </c>
      <c r="C21" s="112">
        <v>0</v>
      </c>
      <c r="D21" s="112">
        <v>8631.94</v>
      </c>
      <c r="E21" s="112">
        <v>0</v>
      </c>
      <c r="F21" s="112">
        <v>969614.83</v>
      </c>
      <c r="G21" s="113">
        <v>978246.77</v>
      </c>
      <c r="H21"/>
      <c r="I21"/>
      <c r="J21"/>
      <c r="K21"/>
      <c r="L21"/>
    </row>
    <row r="22" spans="1:12" x14ac:dyDescent="0.3">
      <c r="B22" s="119" t="s">
        <v>259</v>
      </c>
      <c r="C22" s="112">
        <v>115408.26</v>
      </c>
      <c r="D22" s="112">
        <v>886243.04999999993</v>
      </c>
      <c r="E22" s="112">
        <v>270774.56</v>
      </c>
      <c r="F22" s="112">
        <v>2430234.2099999995</v>
      </c>
      <c r="G22" s="113">
        <v>3702660.0800000015</v>
      </c>
      <c r="H22"/>
      <c r="I22"/>
      <c r="J22"/>
      <c r="K22"/>
      <c r="L22"/>
    </row>
    <row r="23" spans="1:12" x14ac:dyDescent="0.3">
      <c r="A23" s="75" t="s">
        <v>1785</v>
      </c>
      <c r="B23" s="124" t="s">
        <v>260</v>
      </c>
      <c r="C23" s="112">
        <v>77903.97</v>
      </c>
      <c r="D23" s="112">
        <v>81834.63</v>
      </c>
      <c r="E23" s="112">
        <v>63910.41</v>
      </c>
      <c r="F23" s="112">
        <v>282326.13</v>
      </c>
      <c r="G23" s="113">
        <v>505975.14</v>
      </c>
      <c r="H23"/>
      <c r="I23"/>
      <c r="J23"/>
      <c r="K23"/>
      <c r="L23"/>
    </row>
    <row r="24" spans="1:12" x14ac:dyDescent="0.3">
      <c r="B24" s="119" t="s">
        <v>261</v>
      </c>
      <c r="C24" s="112">
        <v>37504.289999999994</v>
      </c>
      <c r="D24" s="112">
        <v>804408.41999999993</v>
      </c>
      <c r="E24" s="112">
        <v>206864.15</v>
      </c>
      <c r="F24" s="112">
        <v>2147908.0799999996</v>
      </c>
      <c r="G24" s="113">
        <v>3196684.9400000013</v>
      </c>
      <c r="H24"/>
      <c r="I24"/>
      <c r="J24"/>
      <c r="K24"/>
      <c r="L24"/>
    </row>
    <row r="25" spans="1:12" x14ac:dyDescent="0.3">
      <c r="A25" s="75" t="s">
        <v>1786</v>
      </c>
      <c r="B25" s="124" t="s">
        <v>1775</v>
      </c>
      <c r="C25" s="112">
        <v>106222.39999999999</v>
      </c>
      <c r="D25" s="112">
        <v>528837.1</v>
      </c>
      <c r="E25" s="112">
        <v>182287.5</v>
      </c>
      <c r="F25" s="112">
        <v>2806367.87</v>
      </c>
      <c r="G25" s="113">
        <v>3623714.87</v>
      </c>
      <c r="H25"/>
      <c r="I25"/>
      <c r="J25"/>
      <c r="K25"/>
      <c r="L25"/>
    </row>
    <row r="26" spans="1:12" x14ac:dyDescent="0.3">
      <c r="B26" s="119" t="s">
        <v>262</v>
      </c>
      <c r="C26" s="112">
        <v>-68718.11</v>
      </c>
      <c r="D26" s="112">
        <v>275571.31999999995</v>
      </c>
      <c r="E26" s="112">
        <v>24576.649999999994</v>
      </c>
      <c r="F26" s="112">
        <v>-658459.7900000005</v>
      </c>
      <c r="G26" s="113">
        <v>-427029.92999999877</v>
      </c>
      <c r="H26"/>
      <c r="I26"/>
      <c r="J26"/>
      <c r="K26"/>
      <c r="L26"/>
    </row>
    <row r="27" spans="1:12" x14ac:dyDescent="0.3">
      <c r="A27" s="75" t="s">
        <v>1787</v>
      </c>
      <c r="B27" s="124" t="s">
        <v>263</v>
      </c>
      <c r="C27" s="112">
        <v>3268.85</v>
      </c>
      <c r="D27" s="112">
        <v>1000.67</v>
      </c>
      <c r="E27" s="112">
        <v>88.55</v>
      </c>
      <c r="F27" s="112">
        <v>454047.86</v>
      </c>
      <c r="G27" s="113">
        <v>458405.93</v>
      </c>
      <c r="H27"/>
      <c r="I27"/>
      <c r="J27"/>
      <c r="K27"/>
      <c r="L27"/>
    </row>
    <row r="28" spans="1:12" x14ac:dyDescent="0.3">
      <c r="A28" s="75" t="s">
        <v>1788</v>
      </c>
      <c r="B28" s="124" t="s">
        <v>264</v>
      </c>
      <c r="C28" s="112">
        <v>0</v>
      </c>
      <c r="D28" s="112">
        <v>0</v>
      </c>
      <c r="E28" s="112">
        <v>3792</v>
      </c>
      <c r="F28" s="112">
        <v>114394.07</v>
      </c>
      <c r="G28" s="113">
        <v>118186.07</v>
      </c>
      <c r="H28"/>
      <c r="I28"/>
      <c r="J28"/>
      <c r="K28"/>
      <c r="L28"/>
    </row>
    <row r="29" spans="1:12" x14ac:dyDescent="0.3">
      <c r="B29" s="119" t="s">
        <v>265</v>
      </c>
      <c r="C29" s="112">
        <v>-65449.26</v>
      </c>
      <c r="D29" s="112">
        <v>276571.98999999993</v>
      </c>
      <c r="E29" s="112">
        <v>20873.199999999993</v>
      </c>
      <c r="F29" s="112">
        <v>-318806.00000000052</v>
      </c>
      <c r="G29" s="113">
        <v>-86810.069999998785</v>
      </c>
      <c r="H29"/>
      <c r="I29"/>
      <c r="J29"/>
      <c r="K29"/>
      <c r="L29"/>
    </row>
    <row r="30" spans="1:12" x14ac:dyDescent="0.3">
      <c r="A30" s="75" t="s">
        <v>1789</v>
      </c>
      <c r="B30" s="124" t="s">
        <v>1776</v>
      </c>
      <c r="C30" s="112">
        <v>22885.53</v>
      </c>
      <c r="D30" s="112">
        <v>192098.07</v>
      </c>
      <c r="E30" s="112">
        <v>60199.08</v>
      </c>
      <c r="F30" s="112">
        <v>827915.29</v>
      </c>
      <c r="G30" s="113">
        <v>1103097.97</v>
      </c>
      <c r="H30"/>
      <c r="I30"/>
      <c r="J30"/>
      <c r="K30"/>
      <c r="L30"/>
    </row>
    <row r="31" spans="1:12" x14ac:dyDescent="0.3">
      <c r="A31" s="75" t="s">
        <v>1790</v>
      </c>
      <c r="B31" s="124" t="s">
        <v>1777</v>
      </c>
      <c r="C31" s="112">
        <v>17473.509999999998</v>
      </c>
      <c r="D31" s="112">
        <v>60615.29</v>
      </c>
      <c r="E31" s="112">
        <v>13803.87</v>
      </c>
      <c r="F31" s="112">
        <v>165552.64000000001</v>
      </c>
      <c r="G31" s="113">
        <v>257445.31</v>
      </c>
      <c r="H31"/>
      <c r="I31"/>
      <c r="J31"/>
      <c r="K31"/>
      <c r="L31"/>
    </row>
    <row r="32" spans="1:12" x14ac:dyDescent="0.3">
      <c r="B32" s="119" t="s">
        <v>1778</v>
      </c>
      <c r="C32" s="112">
        <v>-60037.240000000005</v>
      </c>
      <c r="D32" s="112">
        <v>408054.76999999996</v>
      </c>
      <c r="E32" s="112">
        <v>67268.41</v>
      </c>
      <c r="F32" s="112">
        <v>343556.6499999995</v>
      </c>
      <c r="G32" s="113">
        <v>758842.59000000125</v>
      </c>
      <c r="H32"/>
      <c r="I32"/>
      <c r="J32"/>
      <c r="K32"/>
      <c r="L32"/>
    </row>
    <row r="33" spans="1:12" x14ac:dyDescent="0.3">
      <c r="A33" s="75" t="s">
        <v>1791</v>
      </c>
      <c r="B33" s="124" t="s">
        <v>266</v>
      </c>
      <c r="C33" s="112">
        <v>0</v>
      </c>
      <c r="D33" s="112">
        <v>147833.22</v>
      </c>
      <c r="E33" s="112">
        <v>24384.78</v>
      </c>
      <c r="F33" s="112">
        <v>155108</v>
      </c>
      <c r="G33" s="113">
        <v>327326</v>
      </c>
      <c r="H33"/>
      <c r="I33"/>
      <c r="J33"/>
      <c r="K33"/>
      <c r="L33"/>
    </row>
    <row r="34" spans="1:12" x14ac:dyDescent="0.3">
      <c r="B34" s="120" t="s">
        <v>275</v>
      </c>
      <c r="C34" s="117">
        <v>-60037.240000000005</v>
      </c>
      <c r="D34" s="117">
        <v>260221.54999999996</v>
      </c>
      <c r="E34" s="117">
        <v>42883.630000000005</v>
      </c>
      <c r="F34" s="117">
        <v>188448.6499999995</v>
      </c>
      <c r="G34" s="118">
        <v>431516.59000000125</v>
      </c>
      <c r="H34"/>
      <c r="I34"/>
      <c r="J34"/>
      <c r="K34"/>
      <c r="L34"/>
    </row>
  </sheetData>
  <sheetProtection pivotTables="0"/>
  <pageMargins left="0.7" right="0.7" top="0.75" bottom="0.75" header="0.3" footer="0.3"/>
  <ignoredErrors>
    <ignoredError sqref="A13:A14 A16 A22 A24 A26 A29" numberStoredAsText="1"/>
  </ignoredErrors>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AC174"/>
  <sheetViews>
    <sheetView showGridLines="0" zoomScale="80" zoomScaleNormal="80" workbookViewId="0"/>
  </sheetViews>
  <sheetFormatPr baseColWidth="10" defaultColWidth="25.6640625" defaultRowHeight="14.4" x14ac:dyDescent="0.3"/>
  <cols>
    <col min="1" max="1" width="96.33203125" style="62" customWidth="1"/>
    <col min="2" max="29" width="25.6640625" style="85" customWidth="1"/>
    <col min="30" max="16384" width="25.6640625" style="85"/>
  </cols>
  <sheetData>
    <row r="1" spans="1:29" s="80" customFormat="1" x14ac:dyDescent="0.3">
      <c r="A1" s="62"/>
    </row>
    <row r="2" spans="1:29" s="80" customFormat="1" x14ac:dyDescent="0.3">
      <c r="A2" s="62"/>
    </row>
    <row r="3" spans="1:29" s="80" customFormat="1" x14ac:dyDescent="0.3">
      <c r="A3" s="62"/>
    </row>
    <row r="4" spans="1:29" s="80" customFormat="1" x14ac:dyDescent="0.3">
      <c r="A4" s="62"/>
    </row>
    <row r="5" spans="1:29" s="80" customFormat="1" x14ac:dyDescent="0.3">
      <c r="A5" s="81" t="s">
        <v>1736</v>
      </c>
    </row>
    <row r="6" spans="1:29" s="80" customFormat="1" x14ac:dyDescent="0.3">
      <c r="A6" s="81" t="s">
        <v>1957</v>
      </c>
    </row>
    <row r="7" spans="1:29" s="80" customFormat="1" x14ac:dyDescent="0.3">
      <c r="A7" s="74" t="str">
        <f>'ESTADO FINANCIERO'!A7</f>
        <v>PERIODO DEL 1 ENERO DEL 2019 AL 31 DE ENERO DEL 2019</v>
      </c>
    </row>
    <row r="8" spans="1:29" s="80" customFormat="1" x14ac:dyDescent="0.3">
      <c r="A8" s="81" t="s">
        <v>269</v>
      </c>
      <c r="C8" s="82"/>
    </row>
    <row r="9" spans="1:29" s="80" customFormat="1" x14ac:dyDescent="0.3">
      <c r="A9" s="81"/>
      <c r="B9" s="82"/>
    </row>
    <row r="10" spans="1:29" s="80" customFormat="1" x14ac:dyDescent="0.3">
      <c r="A10" s="62"/>
    </row>
    <row r="11" spans="1:29" s="83" customFormat="1" x14ac:dyDescent="0.3">
      <c r="A11" s="135"/>
      <c r="B11" s="99" t="s">
        <v>1952</v>
      </c>
      <c r="C11" s="98"/>
      <c r="D11" s="98"/>
      <c r="E11" s="98"/>
      <c r="F11" s="100"/>
      <c r="G11"/>
      <c r="H11"/>
      <c r="I11"/>
      <c r="J11"/>
      <c r="K11"/>
      <c r="L11" s="62"/>
      <c r="M11" s="62"/>
      <c r="N11" s="62"/>
      <c r="O11" s="62"/>
      <c r="P11" s="62"/>
      <c r="Q11" s="62"/>
      <c r="R11" s="62"/>
      <c r="S11" s="62"/>
      <c r="T11" s="62"/>
      <c r="U11" s="62"/>
      <c r="V11" s="62"/>
      <c r="W11" s="62"/>
      <c r="X11" s="62"/>
      <c r="Y11" s="62"/>
      <c r="Z11" s="62"/>
      <c r="AA11" s="62"/>
      <c r="AB11" s="62"/>
      <c r="AC11" s="62"/>
    </row>
    <row r="12" spans="1:29" s="83" customFormat="1" x14ac:dyDescent="0.3">
      <c r="A12" s="136"/>
      <c r="B12" s="137">
        <v>43496</v>
      </c>
      <c r="C12" s="137"/>
      <c r="D12" s="137"/>
      <c r="E12" s="137"/>
      <c r="F12" s="138"/>
      <c r="G12"/>
      <c r="H12"/>
      <c r="I12"/>
      <c r="J12"/>
      <c r="K12"/>
      <c r="L12" s="62"/>
      <c r="M12" s="62"/>
      <c r="N12" s="62"/>
      <c r="O12" s="62"/>
      <c r="P12" s="62"/>
      <c r="Q12" s="62"/>
      <c r="R12" s="62"/>
      <c r="S12" s="62"/>
      <c r="T12" s="62"/>
      <c r="U12" s="62"/>
      <c r="V12" s="62"/>
      <c r="W12" s="62"/>
      <c r="X12" s="62"/>
      <c r="Y12" s="62"/>
      <c r="Z12" s="62"/>
      <c r="AA12" s="62"/>
      <c r="AB12" s="62"/>
      <c r="AC12" s="62"/>
    </row>
    <row r="13" spans="1:29" s="84" customFormat="1" x14ac:dyDescent="0.3">
      <c r="A13" s="105" t="s">
        <v>1953</v>
      </c>
      <c r="B13" s="102" t="s">
        <v>1960</v>
      </c>
      <c r="C13" s="102" t="s">
        <v>1958</v>
      </c>
      <c r="D13" s="102" t="s">
        <v>1959</v>
      </c>
      <c r="E13" s="102" t="s">
        <v>2665</v>
      </c>
      <c r="F13" s="104" t="s">
        <v>2666</v>
      </c>
      <c r="G13"/>
      <c r="H13"/>
      <c r="I13"/>
      <c r="J13"/>
      <c r="K13"/>
      <c r="L13" s="62"/>
      <c r="M13" s="62"/>
      <c r="N13" s="62"/>
      <c r="O13" s="62"/>
      <c r="P13" s="62"/>
      <c r="Q13" s="62"/>
      <c r="R13" s="62"/>
      <c r="S13" s="62"/>
      <c r="T13" s="62"/>
      <c r="U13" s="62"/>
      <c r="V13" s="62"/>
      <c r="W13" s="62"/>
      <c r="X13" s="62"/>
      <c r="Y13" s="62"/>
      <c r="Z13" s="62"/>
      <c r="AA13" s="62"/>
      <c r="AB13" s="62"/>
      <c r="AC13" s="62"/>
    </row>
    <row r="14" spans="1:29" s="53" customFormat="1" x14ac:dyDescent="0.3">
      <c r="A14" s="125" t="s">
        <v>206</v>
      </c>
      <c r="B14" s="127">
        <v>18003820.73</v>
      </c>
      <c r="C14" s="127">
        <v>143397743.81</v>
      </c>
      <c r="D14" s="127">
        <v>40079297.880000003</v>
      </c>
      <c r="E14" s="127">
        <v>376181763.2700001</v>
      </c>
      <c r="F14" s="128">
        <v>577662625.68999994</v>
      </c>
      <c r="G14"/>
      <c r="H14"/>
      <c r="I14"/>
      <c r="J14"/>
      <c r="K14"/>
      <c r="L14" s="62"/>
      <c r="M14" s="62"/>
      <c r="N14" s="62"/>
      <c r="O14" s="62"/>
      <c r="P14" s="62"/>
      <c r="Q14" s="62"/>
      <c r="R14" s="62"/>
      <c r="S14" s="62"/>
      <c r="T14" s="62"/>
      <c r="U14" s="62"/>
      <c r="V14" s="62"/>
      <c r="W14" s="62"/>
      <c r="X14" s="62"/>
      <c r="Y14" s="62"/>
      <c r="Z14" s="62"/>
      <c r="AA14" s="62"/>
      <c r="AB14" s="62"/>
      <c r="AC14" s="62"/>
    </row>
    <row r="15" spans="1:29" s="53" customFormat="1" x14ac:dyDescent="0.3">
      <c r="A15" s="119" t="s">
        <v>77</v>
      </c>
      <c r="B15" s="129">
        <v>0</v>
      </c>
      <c r="C15" s="129">
        <v>4532641.0599999996</v>
      </c>
      <c r="D15" s="129">
        <v>396850.45</v>
      </c>
      <c r="E15" s="129">
        <v>64130381.469999999</v>
      </c>
      <c r="F15" s="130">
        <v>69059872.979999989</v>
      </c>
      <c r="G15"/>
      <c r="H15"/>
      <c r="I15"/>
      <c r="J15"/>
      <c r="K15"/>
      <c r="L15" s="62"/>
      <c r="M15" s="62"/>
      <c r="N15" s="62"/>
      <c r="O15" s="62"/>
      <c r="P15" s="62"/>
      <c r="Q15" s="62"/>
      <c r="R15" s="62"/>
      <c r="S15" s="62"/>
      <c r="T15" s="62"/>
      <c r="U15" s="62"/>
      <c r="V15" s="62"/>
      <c r="W15" s="62"/>
      <c r="X15" s="62"/>
      <c r="Y15" s="62"/>
      <c r="Z15" s="62"/>
      <c r="AA15" s="62"/>
      <c r="AB15" s="62"/>
      <c r="AC15" s="62"/>
    </row>
    <row r="16" spans="1:29" x14ac:dyDescent="0.3">
      <c r="A16" s="124" t="s">
        <v>1798</v>
      </c>
      <c r="B16" s="112">
        <v>0</v>
      </c>
      <c r="C16" s="112">
        <v>27116.35</v>
      </c>
      <c r="D16" s="112">
        <v>16107.65</v>
      </c>
      <c r="E16" s="112">
        <v>8349083.0099999998</v>
      </c>
      <c r="F16" s="113">
        <v>8392307.0099999998</v>
      </c>
      <c r="G16"/>
      <c r="H16"/>
      <c r="I16"/>
      <c r="J16"/>
      <c r="K16"/>
      <c r="L16" s="62"/>
      <c r="M16" s="62"/>
      <c r="N16" s="62"/>
      <c r="O16" s="62"/>
      <c r="P16" s="62"/>
      <c r="Q16" s="62"/>
      <c r="R16" s="62"/>
      <c r="S16" s="62"/>
      <c r="T16" s="62"/>
      <c r="U16" s="62"/>
      <c r="V16" s="62"/>
      <c r="W16" s="62"/>
      <c r="X16" s="62"/>
      <c r="Y16" s="62"/>
      <c r="Z16" s="62"/>
      <c r="AA16" s="62"/>
      <c r="AB16" s="62"/>
      <c r="AC16" s="62"/>
    </row>
    <row r="17" spans="1:29" x14ac:dyDescent="0.3">
      <c r="A17" s="124" t="s">
        <v>1799</v>
      </c>
      <c r="B17" s="112">
        <v>0</v>
      </c>
      <c r="C17" s="112">
        <v>53196.74</v>
      </c>
      <c r="D17" s="112">
        <v>20216.11</v>
      </c>
      <c r="E17" s="112">
        <v>15605700.460000001</v>
      </c>
      <c r="F17" s="113">
        <v>15679113.310000001</v>
      </c>
      <c r="G17"/>
      <c r="H17"/>
      <c r="I17"/>
      <c r="J17"/>
      <c r="K17"/>
      <c r="L17" s="62"/>
      <c r="M17" s="62"/>
      <c r="N17" s="62"/>
      <c r="O17" s="62"/>
      <c r="P17" s="62"/>
      <c r="Q17" s="62"/>
      <c r="R17" s="62"/>
      <c r="S17" s="62"/>
      <c r="T17" s="62"/>
      <c r="U17" s="62"/>
      <c r="V17" s="62"/>
      <c r="W17" s="62"/>
      <c r="X17" s="62"/>
      <c r="Y17" s="62"/>
      <c r="Z17" s="62"/>
      <c r="AA17" s="62"/>
      <c r="AB17" s="62"/>
      <c r="AC17" s="62"/>
    </row>
    <row r="18" spans="1:29" x14ac:dyDescent="0.3">
      <c r="A18" s="124" t="s">
        <v>1800</v>
      </c>
      <c r="B18" s="112">
        <v>0</v>
      </c>
      <c r="C18" s="112">
        <v>81652.2</v>
      </c>
      <c r="D18" s="112">
        <v>30326.11</v>
      </c>
      <c r="E18" s="112">
        <v>9896649.5600000005</v>
      </c>
      <c r="F18" s="113">
        <v>10008627.870000001</v>
      </c>
      <c r="G18"/>
      <c r="H18"/>
      <c r="I18"/>
      <c r="J18"/>
      <c r="K18"/>
      <c r="L18" s="62"/>
      <c r="M18" s="62"/>
      <c r="N18" s="62"/>
      <c r="O18" s="62"/>
      <c r="P18" s="62"/>
      <c r="Q18" s="62"/>
      <c r="R18" s="62"/>
      <c r="S18" s="62"/>
      <c r="T18" s="62"/>
      <c r="U18" s="62"/>
      <c r="V18" s="62"/>
      <c r="W18" s="62"/>
      <c r="X18" s="62"/>
      <c r="Y18" s="62"/>
      <c r="Z18" s="62"/>
      <c r="AA18" s="62"/>
      <c r="AB18" s="62"/>
      <c r="AC18" s="62"/>
    </row>
    <row r="19" spans="1:29" x14ac:dyDescent="0.3">
      <c r="A19" s="124" t="s">
        <v>1801</v>
      </c>
      <c r="B19" s="112">
        <v>0</v>
      </c>
      <c r="C19" s="112">
        <v>166909.51999999999</v>
      </c>
      <c r="D19" s="112">
        <v>49076.06</v>
      </c>
      <c r="E19" s="112">
        <v>6025830.6699999999</v>
      </c>
      <c r="F19" s="113">
        <v>6241816.25</v>
      </c>
      <c r="G19"/>
      <c r="H19"/>
      <c r="I19"/>
      <c r="J19"/>
      <c r="K19"/>
      <c r="L19" s="62"/>
      <c r="M19" s="62"/>
      <c r="N19" s="62"/>
      <c r="O19" s="62"/>
      <c r="P19" s="62"/>
      <c r="Q19" s="62"/>
      <c r="R19" s="62"/>
      <c r="S19" s="62"/>
      <c r="T19" s="62"/>
      <c r="U19" s="62"/>
      <c r="V19" s="62"/>
      <c r="W19" s="62"/>
      <c r="X19" s="62"/>
      <c r="Y19" s="62"/>
      <c r="Z19" s="62"/>
      <c r="AA19" s="62"/>
      <c r="AB19" s="62"/>
      <c r="AC19" s="62"/>
    </row>
    <row r="20" spans="1:29" x14ac:dyDescent="0.3">
      <c r="A20" s="124" t="s">
        <v>1807</v>
      </c>
      <c r="B20" s="112">
        <v>0</v>
      </c>
      <c r="C20" s="112">
        <v>4203766.25</v>
      </c>
      <c r="D20" s="112">
        <v>281124.52</v>
      </c>
      <c r="E20" s="112">
        <v>24253117.77</v>
      </c>
      <c r="F20" s="113">
        <v>28738008.539999999</v>
      </c>
      <c r="G20"/>
      <c r="H20"/>
      <c r="I20"/>
      <c r="J20"/>
      <c r="K20"/>
      <c r="L20" s="62"/>
      <c r="M20" s="62"/>
      <c r="N20" s="62"/>
      <c r="O20" s="62"/>
      <c r="P20" s="62"/>
      <c r="Q20" s="62"/>
      <c r="R20" s="62"/>
      <c r="S20" s="62"/>
      <c r="T20" s="62"/>
      <c r="U20" s="62"/>
      <c r="V20" s="62"/>
      <c r="W20" s="62"/>
      <c r="X20" s="62"/>
      <c r="Y20" s="62"/>
      <c r="Z20" s="62"/>
      <c r="AA20" s="62"/>
      <c r="AB20" s="62"/>
      <c r="AC20" s="62"/>
    </row>
    <row r="21" spans="1:29" s="53" customFormat="1" x14ac:dyDescent="0.3">
      <c r="A21" s="119" t="s">
        <v>78</v>
      </c>
      <c r="B21" s="129">
        <v>5762049.2699999996</v>
      </c>
      <c r="C21" s="129">
        <v>16270250.59</v>
      </c>
      <c r="D21" s="129">
        <v>18622082.469999999</v>
      </c>
      <c r="E21" s="129">
        <v>73789654.200000003</v>
      </c>
      <c r="F21" s="130">
        <v>114444036.52999999</v>
      </c>
      <c r="G21"/>
      <c r="H21"/>
      <c r="I21"/>
      <c r="J21"/>
      <c r="K21"/>
      <c r="L21" s="62"/>
      <c r="M21" s="62"/>
      <c r="N21" s="62"/>
      <c r="O21" s="62"/>
      <c r="P21" s="62"/>
      <c r="Q21" s="62"/>
      <c r="R21" s="62"/>
      <c r="S21" s="62"/>
      <c r="T21" s="62"/>
      <c r="U21" s="62"/>
      <c r="V21" s="62"/>
      <c r="W21" s="62"/>
      <c r="X21" s="62"/>
      <c r="Y21" s="62"/>
      <c r="Z21" s="62"/>
      <c r="AA21" s="62"/>
      <c r="AB21" s="62"/>
      <c r="AC21" s="62"/>
    </row>
    <row r="22" spans="1:29" x14ac:dyDescent="0.3">
      <c r="A22" s="124" t="s">
        <v>1802</v>
      </c>
      <c r="B22" s="112">
        <v>138227.51999999999</v>
      </c>
      <c r="C22" s="112">
        <v>1903637.8</v>
      </c>
      <c r="D22" s="112">
        <v>829256.51</v>
      </c>
      <c r="E22" s="112">
        <v>16273508.369999999</v>
      </c>
      <c r="F22" s="113">
        <v>19144630.199999999</v>
      </c>
      <c r="G22"/>
      <c r="H22"/>
      <c r="I22"/>
      <c r="J22"/>
      <c r="K22"/>
      <c r="L22" s="62"/>
      <c r="M22" s="62"/>
      <c r="N22" s="62"/>
      <c r="O22" s="62"/>
      <c r="P22" s="62"/>
      <c r="Q22" s="62"/>
      <c r="R22" s="62"/>
      <c r="S22" s="62"/>
      <c r="T22" s="62"/>
      <c r="U22" s="62"/>
      <c r="V22" s="62"/>
      <c r="W22" s="62"/>
      <c r="X22" s="62"/>
      <c r="Y22" s="62"/>
      <c r="Z22" s="62"/>
      <c r="AA22" s="62"/>
      <c r="AB22" s="62"/>
      <c r="AC22" s="62"/>
    </row>
    <row r="23" spans="1:29" x14ac:dyDescent="0.3">
      <c r="A23" s="124" t="s">
        <v>1803</v>
      </c>
      <c r="B23" s="112">
        <v>225086.5</v>
      </c>
      <c r="C23" s="112">
        <v>1152220.54</v>
      </c>
      <c r="D23" s="112">
        <v>1094295.44</v>
      </c>
      <c r="E23" s="112">
        <v>9087139.6600000001</v>
      </c>
      <c r="F23" s="113">
        <v>11558742.140000001</v>
      </c>
      <c r="G23"/>
      <c r="H23"/>
      <c r="I23"/>
      <c r="J23"/>
      <c r="K23"/>
      <c r="L23" s="62"/>
      <c r="M23" s="62"/>
      <c r="N23" s="62"/>
      <c r="O23" s="62"/>
      <c r="P23" s="62"/>
      <c r="Q23" s="62"/>
      <c r="R23" s="62"/>
      <c r="S23" s="62"/>
      <c r="T23" s="62"/>
      <c r="U23" s="62"/>
      <c r="V23" s="62"/>
      <c r="W23" s="62"/>
      <c r="X23" s="62"/>
      <c r="Y23" s="62"/>
      <c r="Z23" s="62"/>
      <c r="AA23" s="62"/>
      <c r="AB23" s="62"/>
      <c r="AC23" s="62"/>
    </row>
    <row r="24" spans="1:29" x14ac:dyDescent="0.3">
      <c r="A24" s="124" t="s">
        <v>1804</v>
      </c>
      <c r="B24" s="112">
        <v>315073.91000000003</v>
      </c>
      <c r="C24" s="112">
        <v>1304877.45</v>
      </c>
      <c r="D24" s="112">
        <v>1477071.72</v>
      </c>
      <c r="E24" s="112">
        <v>7753870.7400000002</v>
      </c>
      <c r="F24" s="113">
        <v>10850893.82</v>
      </c>
      <c r="G24"/>
      <c r="H24"/>
      <c r="I24"/>
      <c r="J24"/>
      <c r="K24"/>
      <c r="L24" s="62"/>
      <c r="M24" s="62"/>
      <c r="N24" s="62"/>
      <c r="O24" s="62"/>
      <c r="P24" s="62"/>
      <c r="Q24" s="62"/>
      <c r="R24" s="62"/>
      <c r="S24" s="62"/>
      <c r="T24" s="62"/>
      <c r="U24" s="62"/>
      <c r="V24" s="62"/>
      <c r="W24" s="62"/>
      <c r="X24" s="62"/>
      <c r="Y24" s="62"/>
      <c r="Z24" s="62"/>
      <c r="AA24" s="62"/>
      <c r="AB24" s="62"/>
      <c r="AC24" s="62"/>
    </row>
    <row r="25" spans="1:29" x14ac:dyDescent="0.3">
      <c r="A25" s="124" t="s">
        <v>1810</v>
      </c>
      <c r="B25" s="112">
        <v>5083661.34</v>
      </c>
      <c r="C25" s="112">
        <v>11909514.799999999</v>
      </c>
      <c r="D25" s="112">
        <v>15221458.799999999</v>
      </c>
      <c r="E25" s="112">
        <v>40675135.43</v>
      </c>
      <c r="F25" s="113">
        <v>72889770.36999999</v>
      </c>
      <c r="G25"/>
      <c r="H25"/>
      <c r="I25"/>
      <c r="J25"/>
      <c r="K25"/>
      <c r="L25" s="62"/>
      <c r="M25" s="62"/>
      <c r="N25" s="62"/>
      <c r="O25" s="62"/>
      <c r="P25" s="62"/>
      <c r="Q25" s="62"/>
      <c r="R25" s="62"/>
      <c r="S25" s="62"/>
      <c r="T25" s="62"/>
      <c r="U25" s="62"/>
      <c r="V25" s="62"/>
      <c r="W25" s="62"/>
      <c r="X25" s="62"/>
      <c r="Y25" s="62"/>
      <c r="Z25" s="62"/>
      <c r="AA25" s="62"/>
      <c r="AB25" s="62"/>
      <c r="AC25" s="62"/>
    </row>
    <row r="26" spans="1:29" s="53" customFormat="1" x14ac:dyDescent="0.3">
      <c r="A26" s="119" t="s">
        <v>1805</v>
      </c>
      <c r="B26" s="129">
        <v>5659820.96</v>
      </c>
      <c r="C26" s="129">
        <v>107732798.63</v>
      </c>
      <c r="D26" s="129">
        <v>15065943.43</v>
      </c>
      <c r="E26" s="129">
        <v>155516392.39000002</v>
      </c>
      <c r="F26" s="130">
        <v>283974955.40999997</v>
      </c>
      <c r="G26"/>
      <c r="H26"/>
      <c r="I26"/>
      <c r="J26"/>
      <c r="K26"/>
      <c r="L26" s="62"/>
      <c r="M26" s="62"/>
      <c r="N26" s="62"/>
      <c r="O26" s="62"/>
      <c r="P26" s="62"/>
      <c r="Q26" s="62"/>
      <c r="R26" s="62"/>
      <c r="S26" s="62"/>
      <c r="T26" s="62"/>
      <c r="U26" s="62"/>
      <c r="V26" s="62"/>
      <c r="W26" s="62"/>
      <c r="X26" s="62"/>
      <c r="Y26" s="62"/>
      <c r="Z26" s="62"/>
      <c r="AA26" s="62"/>
      <c r="AB26" s="62"/>
      <c r="AC26" s="62"/>
    </row>
    <row r="27" spans="1:29" x14ac:dyDescent="0.3">
      <c r="A27" s="124" t="s">
        <v>1806</v>
      </c>
      <c r="B27" s="112">
        <v>52657.46</v>
      </c>
      <c r="C27" s="112">
        <v>855220.97</v>
      </c>
      <c r="D27" s="112">
        <v>160850.01999999999</v>
      </c>
      <c r="E27" s="112">
        <v>1792789.49</v>
      </c>
      <c r="F27" s="113">
        <v>2861517.94</v>
      </c>
      <c r="G27"/>
      <c r="H27"/>
      <c r="I27"/>
      <c r="J27"/>
      <c r="K27"/>
      <c r="L27" s="62"/>
      <c r="M27" s="62"/>
      <c r="N27" s="62"/>
      <c r="O27" s="62"/>
      <c r="P27" s="62"/>
      <c r="Q27" s="62"/>
      <c r="R27" s="62"/>
      <c r="S27" s="62"/>
      <c r="T27" s="62"/>
      <c r="U27" s="62"/>
      <c r="V27" s="62"/>
      <c r="W27" s="62"/>
      <c r="X27" s="62"/>
      <c r="Y27" s="62"/>
      <c r="Z27" s="62"/>
      <c r="AA27" s="62"/>
      <c r="AB27" s="62"/>
      <c r="AC27" s="62"/>
    </row>
    <row r="28" spans="1:29" x14ac:dyDescent="0.3">
      <c r="A28" s="124" t="s">
        <v>1808</v>
      </c>
      <c r="B28" s="112">
        <v>96501.18</v>
      </c>
      <c r="C28" s="112">
        <v>1537580.7</v>
      </c>
      <c r="D28" s="112">
        <v>256353.72</v>
      </c>
      <c r="E28" s="112">
        <v>2488109.7799999998</v>
      </c>
      <c r="F28" s="113">
        <v>4378545.38</v>
      </c>
      <c r="G28"/>
      <c r="H28"/>
      <c r="I28"/>
      <c r="J28"/>
      <c r="K28"/>
      <c r="L28" s="62"/>
      <c r="M28" s="62"/>
      <c r="N28" s="62"/>
      <c r="O28" s="62"/>
      <c r="P28" s="62"/>
      <c r="Q28" s="62"/>
      <c r="R28" s="62"/>
      <c r="S28" s="62"/>
      <c r="T28" s="62"/>
      <c r="U28" s="62"/>
      <c r="V28" s="62"/>
      <c r="W28" s="62"/>
      <c r="X28" s="62"/>
      <c r="Y28" s="62"/>
      <c r="Z28" s="62"/>
      <c r="AA28" s="62"/>
      <c r="AB28" s="62"/>
      <c r="AC28" s="62"/>
    </row>
    <row r="29" spans="1:29" x14ac:dyDescent="0.3">
      <c r="A29" s="124" t="s">
        <v>1809</v>
      </c>
      <c r="B29" s="112">
        <v>407850.99999999994</v>
      </c>
      <c r="C29" s="112">
        <v>7005084.7700000005</v>
      </c>
      <c r="D29" s="112">
        <v>1160879.49</v>
      </c>
      <c r="E29" s="112">
        <v>10110918.779999999</v>
      </c>
      <c r="F29" s="113">
        <v>18684734.039999999</v>
      </c>
      <c r="G29"/>
      <c r="H29"/>
      <c r="I29"/>
      <c r="J29"/>
      <c r="K29"/>
      <c r="L29" s="62"/>
      <c r="M29" s="62"/>
      <c r="N29" s="62"/>
      <c r="O29" s="62"/>
      <c r="P29" s="62"/>
      <c r="Q29" s="62"/>
      <c r="R29" s="62"/>
      <c r="S29" s="62"/>
      <c r="T29" s="62"/>
      <c r="U29" s="62"/>
      <c r="V29" s="62"/>
      <c r="W29" s="62"/>
      <c r="X29" s="62"/>
      <c r="Y29" s="62"/>
      <c r="Z29" s="62"/>
      <c r="AA29" s="62"/>
      <c r="AB29" s="62"/>
      <c r="AC29" s="62"/>
    </row>
    <row r="30" spans="1:29" x14ac:dyDescent="0.3">
      <c r="A30" s="124" t="s">
        <v>1814</v>
      </c>
      <c r="B30" s="112">
        <v>5102811.32</v>
      </c>
      <c r="C30" s="112">
        <v>98334912.189999998</v>
      </c>
      <c r="D30" s="112">
        <v>13487860.199999999</v>
      </c>
      <c r="E30" s="112">
        <v>141124574.34</v>
      </c>
      <c r="F30" s="113">
        <v>258050158.04999998</v>
      </c>
      <c r="G30"/>
      <c r="H30"/>
      <c r="I30"/>
      <c r="J30"/>
      <c r="K30"/>
      <c r="L30" s="62"/>
      <c r="M30" s="62"/>
      <c r="N30" s="62"/>
      <c r="O30" s="62"/>
      <c r="P30" s="62"/>
      <c r="Q30" s="62"/>
      <c r="R30" s="62"/>
      <c r="S30" s="62"/>
      <c r="T30" s="62"/>
      <c r="U30" s="62"/>
      <c r="V30" s="62"/>
      <c r="W30" s="62"/>
      <c r="X30" s="62"/>
      <c r="Y30" s="62"/>
      <c r="Z30" s="62"/>
      <c r="AA30" s="62"/>
      <c r="AB30" s="62"/>
      <c r="AC30" s="62"/>
    </row>
    <row r="31" spans="1:29" s="53" customFormat="1" x14ac:dyDescent="0.3">
      <c r="A31" s="119" t="s">
        <v>1811</v>
      </c>
      <c r="B31" s="129">
        <v>6581950.5</v>
      </c>
      <c r="C31" s="129">
        <v>387631.37</v>
      </c>
      <c r="D31" s="129">
        <v>5994421.5299999993</v>
      </c>
      <c r="E31" s="129">
        <v>41750506.890000001</v>
      </c>
      <c r="F31" s="130">
        <v>54714510.290000007</v>
      </c>
      <c r="G31"/>
      <c r="H31"/>
      <c r="I31"/>
      <c r="J31"/>
      <c r="K31"/>
      <c r="L31" s="62"/>
      <c r="M31" s="62"/>
      <c r="N31" s="62"/>
      <c r="O31" s="62"/>
      <c r="P31" s="62"/>
      <c r="Q31" s="62"/>
      <c r="R31" s="62"/>
      <c r="S31" s="62"/>
      <c r="T31" s="62"/>
      <c r="U31" s="62"/>
      <c r="V31" s="62"/>
      <c r="W31" s="62"/>
      <c r="X31" s="62"/>
      <c r="Y31" s="62"/>
      <c r="Z31" s="62"/>
      <c r="AA31" s="62"/>
      <c r="AB31" s="62"/>
      <c r="AC31" s="62"/>
    </row>
    <row r="32" spans="1:29" x14ac:dyDescent="0.3">
      <c r="A32" s="124" t="s">
        <v>1812</v>
      </c>
      <c r="B32" s="112">
        <v>160828.85</v>
      </c>
      <c r="C32" s="112">
        <v>21824.87</v>
      </c>
      <c r="D32" s="112">
        <v>214406.24</v>
      </c>
      <c r="E32" s="112">
        <v>1679405.97</v>
      </c>
      <c r="F32" s="113">
        <v>2076465.9300000002</v>
      </c>
      <c r="G32"/>
      <c r="H32"/>
      <c r="I32"/>
      <c r="J32"/>
      <c r="K32"/>
      <c r="L32" s="62"/>
      <c r="M32" s="62"/>
      <c r="N32" s="62"/>
      <c r="O32" s="62"/>
      <c r="P32" s="62"/>
      <c r="Q32" s="62"/>
      <c r="R32" s="62"/>
      <c r="S32" s="62"/>
      <c r="T32" s="62"/>
      <c r="U32" s="62"/>
      <c r="V32" s="62"/>
      <c r="W32" s="62"/>
      <c r="X32" s="62"/>
      <c r="Y32" s="62"/>
      <c r="Z32" s="62"/>
      <c r="AA32" s="62"/>
      <c r="AB32" s="62"/>
      <c r="AC32" s="62"/>
    </row>
    <row r="33" spans="1:29" x14ac:dyDescent="0.3">
      <c r="A33" s="124" t="s">
        <v>1813</v>
      </c>
      <c r="B33" s="112">
        <v>272027.09000000003</v>
      </c>
      <c r="C33" s="112">
        <v>35409.449999999997</v>
      </c>
      <c r="D33" s="112">
        <v>393331.08</v>
      </c>
      <c r="E33" s="112">
        <v>3265190.63</v>
      </c>
      <c r="F33" s="113">
        <v>3965958.2499999995</v>
      </c>
      <c r="G33"/>
      <c r="H33"/>
      <c r="I33"/>
      <c r="J33"/>
      <c r="K33"/>
      <c r="L33" s="62"/>
      <c r="M33" s="62"/>
      <c r="N33" s="62"/>
      <c r="O33" s="62"/>
      <c r="P33" s="62"/>
      <c r="Q33" s="62"/>
      <c r="R33" s="62"/>
      <c r="S33" s="62"/>
      <c r="T33" s="62"/>
      <c r="U33" s="62"/>
      <c r="V33" s="62"/>
      <c r="W33" s="62"/>
      <c r="X33" s="62"/>
      <c r="Y33" s="62"/>
      <c r="Z33" s="62"/>
      <c r="AA33" s="62"/>
      <c r="AB33" s="62"/>
      <c r="AC33" s="62"/>
    </row>
    <row r="34" spans="1:29" x14ac:dyDescent="0.3">
      <c r="A34" s="124" t="s">
        <v>1815</v>
      </c>
      <c r="B34" s="112">
        <v>414917.19999999995</v>
      </c>
      <c r="C34" s="112">
        <v>49529.35</v>
      </c>
      <c r="D34" s="112">
        <v>598630.24</v>
      </c>
      <c r="E34" s="112">
        <v>4635584.9399999995</v>
      </c>
      <c r="F34" s="113">
        <v>5698661.7300000004</v>
      </c>
      <c r="G34"/>
      <c r="H34"/>
      <c r="I34"/>
      <c r="J34"/>
      <c r="K34"/>
      <c r="L34" s="62"/>
      <c r="M34" s="62"/>
      <c r="N34" s="62"/>
      <c r="O34" s="62"/>
      <c r="P34" s="62"/>
      <c r="Q34" s="62"/>
      <c r="R34" s="62"/>
      <c r="S34" s="62"/>
      <c r="T34" s="62"/>
      <c r="U34" s="62"/>
      <c r="V34" s="62"/>
      <c r="W34" s="62"/>
      <c r="X34" s="62"/>
      <c r="Y34" s="62"/>
      <c r="Z34" s="62"/>
      <c r="AA34" s="62"/>
      <c r="AB34" s="62"/>
      <c r="AC34" s="62"/>
    </row>
    <row r="35" spans="1:29" x14ac:dyDescent="0.3">
      <c r="A35" s="124" t="s">
        <v>1816</v>
      </c>
      <c r="B35" s="112">
        <v>792153.13</v>
      </c>
      <c r="C35" s="112">
        <v>82748.25</v>
      </c>
      <c r="D35" s="112">
        <v>1123919.5899999999</v>
      </c>
      <c r="E35" s="112">
        <v>8918756.6500000004</v>
      </c>
      <c r="F35" s="113">
        <v>10917577.620000001</v>
      </c>
      <c r="G35"/>
      <c r="H35"/>
      <c r="I35"/>
      <c r="J35"/>
      <c r="K35"/>
      <c r="L35" s="62"/>
      <c r="M35" s="62"/>
      <c r="N35" s="62"/>
      <c r="O35" s="62"/>
      <c r="P35" s="62"/>
      <c r="Q35" s="62"/>
      <c r="R35" s="62"/>
      <c r="S35" s="62"/>
      <c r="T35" s="62"/>
      <c r="U35" s="62"/>
      <c r="V35" s="62"/>
      <c r="W35" s="62"/>
      <c r="X35" s="62"/>
      <c r="Y35" s="62"/>
      <c r="Z35" s="62"/>
      <c r="AA35" s="62"/>
      <c r="AB35" s="62"/>
      <c r="AC35" s="62"/>
    </row>
    <row r="36" spans="1:29" x14ac:dyDescent="0.3">
      <c r="A36" s="124" t="s">
        <v>1817</v>
      </c>
      <c r="B36" s="112">
        <v>4942024.2300000004</v>
      </c>
      <c r="C36" s="112">
        <v>198119.45</v>
      </c>
      <c r="D36" s="112">
        <v>3664134.38</v>
      </c>
      <c r="E36" s="112">
        <v>23251568.699999999</v>
      </c>
      <c r="F36" s="113">
        <v>32055846.760000002</v>
      </c>
      <c r="G36"/>
      <c r="H36"/>
      <c r="I36"/>
      <c r="J36"/>
      <c r="K36"/>
      <c r="L36" s="62"/>
      <c r="M36" s="62"/>
      <c r="N36" s="62"/>
      <c r="O36" s="62"/>
      <c r="P36" s="62"/>
      <c r="Q36" s="62"/>
      <c r="R36" s="62"/>
      <c r="S36" s="62"/>
      <c r="T36" s="62"/>
      <c r="U36" s="62"/>
      <c r="V36" s="62"/>
      <c r="W36" s="62"/>
      <c r="X36" s="62"/>
      <c r="Y36" s="62"/>
      <c r="Z36" s="62"/>
      <c r="AA36" s="62"/>
      <c r="AB36" s="62"/>
      <c r="AC36" s="62"/>
    </row>
    <row r="37" spans="1:29" s="53" customFormat="1" x14ac:dyDescent="0.3">
      <c r="A37" s="119" t="s">
        <v>1818</v>
      </c>
      <c r="B37" s="129">
        <v>0</v>
      </c>
      <c r="C37" s="129">
        <v>0</v>
      </c>
      <c r="D37" s="129">
        <v>0</v>
      </c>
      <c r="E37" s="129">
        <v>0</v>
      </c>
      <c r="F37" s="130">
        <v>0</v>
      </c>
      <c r="G37"/>
      <c r="H37"/>
      <c r="I37"/>
      <c r="J37"/>
      <c r="K37"/>
      <c r="L37" s="62"/>
      <c r="M37" s="62"/>
      <c r="N37" s="62"/>
      <c r="O37" s="62"/>
      <c r="P37" s="62"/>
      <c r="Q37" s="62"/>
      <c r="R37" s="62"/>
      <c r="S37" s="62"/>
      <c r="T37" s="62"/>
      <c r="U37" s="62"/>
      <c r="V37" s="62"/>
      <c r="W37" s="62"/>
      <c r="X37" s="62"/>
      <c r="Y37" s="62"/>
      <c r="Z37" s="62"/>
      <c r="AA37" s="62"/>
      <c r="AB37" s="62"/>
      <c r="AC37" s="62"/>
    </row>
    <row r="38" spans="1:29" x14ac:dyDescent="0.3">
      <c r="A38" s="124" t="s">
        <v>1819</v>
      </c>
      <c r="B38" s="112">
        <v>0</v>
      </c>
      <c r="C38" s="112">
        <v>0</v>
      </c>
      <c r="D38" s="112">
        <v>0</v>
      </c>
      <c r="E38" s="112">
        <v>0</v>
      </c>
      <c r="F38" s="113">
        <v>0</v>
      </c>
      <c r="G38"/>
      <c r="H38"/>
      <c r="I38"/>
      <c r="J38"/>
      <c r="K38"/>
      <c r="L38" s="62"/>
      <c r="M38" s="62"/>
      <c r="N38" s="62"/>
      <c r="O38" s="62"/>
      <c r="P38" s="62"/>
      <c r="Q38" s="62"/>
      <c r="R38" s="62"/>
      <c r="S38" s="62"/>
      <c r="T38" s="62"/>
      <c r="U38" s="62"/>
      <c r="V38" s="62"/>
      <c r="W38" s="62"/>
      <c r="X38" s="62"/>
      <c r="Y38" s="62"/>
      <c r="Z38" s="62"/>
      <c r="AA38" s="62"/>
      <c r="AB38" s="62"/>
      <c r="AC38" s="62"/>
    </row>
    <row r="39" spans="1:29" x14ac:dyDescent="0.3">
      <c r="A39" s="124" t="s">
        <v>1820</v>
      </c>
      <c r="B39" s="112">
        <v>0</v>
      </c>
      <c r="C39" s="112">
        <v>0</v>
      </c>
      <c r="D39" s="112">
        <v>0</v>
      </c>
      <c r="E39" s="112">
        <v>0</v>
      </c>
      <c r="F39" s="113">
        <v>0</v>
      </c>
      <c r="G39"/>
      <c r="H39"/>
      <c r="I39"/>
      <c r="J39"/>
      <c r="K39"/>
      <c r="L39" s="62"/>
      <c r="M39" s="62"/>
      <c r="N39" s="62"/>
      <c r="O39" s="62"/>
      <c r="P39" s="62"/>
      <c r="Q39" s="62"/>
      <c r="R39" s="62"/>
      <c r="S39" s="62"/>
      <c r="T39" s="62"/>
      <c r="U39" s="62"/>
      <c r="V39" s="62"/>
      <c r="W39" s="62"/>
      <c r="X39" s="62"/>
      <c r="Y39" s="62"/>
      <c r="Z39" s="62"/>
      <c r="AA39" s="62"/>
      <c r="AB39" s="62"/>
      <c r="AC39" s="62"/>
    </row>
    <row r="40" spans="1:29" x14ac:dyDescent="0.3">
      <c r="A40" s="124" t="s">
        <v>1821</v>
      </c>
      <c r="B40" s="112">
        <v>0</v>
      </c>
      <c r="C40" s="112">
        <v>0</v>
      </c>
      <c r="D40" s="112">
        <v>0</v>
      </c>
      <c r="E40" s="112">
        <v>0</v>
      </c>
      <c r="F40" s="113">
        <v>0</v>
      </c>
      <c r="G40"/>
      <c r="H40"/>
      <c r="I40"/>
      <c r="J40"/>
      <c r="K40"/>
      <c r="L40" s="62"/>
      <c r="M40" s="62"/>
      <c r="N40" s="62"/>
      <c r="O40" s="62"/>
      <c r="P40" s="62"/>
      <c r="Q40" s="62"/>
      <c r="R40" s="62"/>
      <c r="S40" s="62"/>
      <c r="T40" s="62"/>
      <c r="U40" s="62"/>
      <c r="V40" s="62"/>
      <c r="W40" s="62"/>
      <c r="X40" s="62"/>
      <c r="Y40" s="62"/>
      <c r="Z40" s="62"/>
      <c r="AA40" s="62"/>
      <c r="AB40" s="62"/>
      <c r="AC40" s="62"/>
    </row>
    <row r="41" spans="1:29" x14ac:dyDescent="0.3">
      <c r="A41" s="124" t="s">
        <v>1822</v>
      </c>
      <c r="B41" s="112">
        <v>0</v>
      </c>
      <c r="C41" s="112">
        <v>0</v>
      </c>
      <c r="D41" s="112">
        <v>0</v>
      </c>
      <c r="E41" s="112">
        <v>0</v>
      </c>
      <c r="F41" s="113">
        <v>0</v>
      </c>
      <c r="G41"/>
      <c r="H41"/>
      <c r="I41"/>
      <c r="J41"/>
      <c r="K41"/>
      <c r="L41" s="62"/>
      <c r="M41" s="62"/>
      <c r="N41" s="62"/>
      <c r="O41" s="62"/>
      <c r="P41" s="62"/>
      <c r="Q41" s="62"/>
      <c r="R41" s="62"/>
      <c r="S41" s="62"/>
      <c r="T41" s="62"/>
      <c r="U41" s="62"/>
      <c r="V41" s="62"/>
      <c r="W41" s="62"/>
      <c r="X41" s="62"/>
      <c r="Y41" s="62"/>
      <c r="Z41" s="62"/>
      <c r="AA41" s="62"/>
      <c r="AB41" s="62"/>
      <c r="AC41" s="62"/>
    </row>
    <row r="42" spans="1:29" x14ac:dyDescent="0.3">
      <c r="A42" s="124" t="s">
        <v>1823</v>
      </c>
      <c r="B42" s="112">
        <v>0</v>
      </c>
      <c r="C42" s="112">
        <v>0</v>
      </c>
      <c r="D42" s="112">
        <v>0</v>
      </c>
      <c r="E42" s="112">
        <v>0</v>
      </c>
      <c r="F42" s="113">
        <v>0</v>
      </c>
      <c r="G42"/>
      <c r="H42"/>
      <c r="I42"/>
      <c r="J42"/>
      <c r="K42"/>
      <c r="L42" s="62"/>
      <c r="M42" s="62"/>
      <c r="N42" s="62"/>
      <c r="O42" s="62"/>
      <c r="P42" s="62"/>
      <c r="Q42" s="62"/>
      <c r="R42" s="62"/>
      <c r="S42" s="62"/>
      <c r="T42" s="62"/>
      <c r="U42" s="62"/>
      <c r="V42" s="62"/>
      <c r="W42" s="62"/>
      <c r="X42" s="62"/>
      <c r="Y42" s="62"/>
      <c r="Z42" s="62"/>
      <c r="AA42" s="62"/>
      <c r="AB42" s="62"/>
      <c r="AC42" s="62"/>
    </row>
    <row r="43" spans="1:29" s="53" customFormat="1" x14ac:dyDescent="0.3">
      <c r="A43" s="119" t="s">
        <v>1824</v>
      </c>
      <c r="B43" s="129">
        <v>0</v>
      </c>
      <c r="C43" s="129">
        <v>0</v>
      </c>
      <c r="D43" s="129">
        <v>0</v>
      </c>
      <c r="E43" s="129">
        <v>1275977.6000000001</v>
      </c>
      <c r="F43" s="130">
        <v>1275977.6000000001</v>
      </c>
      <c r="G43"/>
      <c r="H43"/>
      <c r="I43"/>
      <c r="J43"/>
      <c r="K43"/>
      <c r="L43" s="62"/>
      <c r="M43" s="62"/>
      <c r="N43" s="62"/>
      <c r="O43" s="62"/>
      <c r="P43" s="62"/>
      <c r="Q43" s="62"/>
      <c r="R43" s="62"/>
      <c r="S43" s="62"/>
      <c r="T43" s="62"/>
      <c r="U43" s="62"/>
      <c r="V43" s="62"/>
      <c r="W43" s="62"/>
      <c r="X43" s="62"/>
      <c r="Y43" s="62"/>
      <c r="Z43" s="62"/>
      <c r="AA43" s="62"/>
      <c r="AB43" s="62"/>
      <c r="AC43" s="62"/>
    </row>
    <row r="44" spans="1:29" x14ac:dyDescent="0.3">
      <c r="A44" s="124" t="s">
        <v>1825</v>
      </c>
      <c r="B44" s="112">
        <v>0</v>
      </c>
      <c r="C44" s="112">
        <v>0</v>
      </c>
      <c r="D44" s="112">
        <v>0</v>
      </c>
      <c r="E44" s="112">
        <v>34089.75</v>
      </c>
      <c r="F44" s="113">
        <v>34089.75</v>
      </c>
      <c r="G44"/>
      <c r="H44"/>
      <c r="I44"/>
      <c r="J44"/>
      <c r="K44"/>
      <c r="L44" s="62"/>
      <c r="M44" s="62"/>
      <c r="N44" s="62"/>
      <c r="O44" s="62"/>
      <c r="P44" s="62"/>
      <c r="Q44" s="62"/>
      <c r="R44" s="62"/>
      <c r="S44" s="62"/>
      <c r="T44" s="62"/>
      <c r="U44" s="62"/>
      <c r="V44" s="62"/>
      <c r="W44" s="62"/>
      <c r="X44" s="62"/>
      <c r="Y44" s="62"/>
      <c r="Z44" s="62"/>
      <c r="AA44" s="62"/>
      <c r="AB44" s="62"/>
      <c r="AC44" s="62"/>
    </row>
    <row r="45" spans="1:29" x14ac:dyDescent="0.3">
      <c r="A45" s="124" t="s">
        <v>1826</v>
      </c>
      <c r="B45" s="112">
        <v>0</v>
      </c>
      <c r="C45" s="112">
        <v>0</v>
      </c>
      <c r="D45" s="112">
        <v>0</v>
      </c>
      <c r="E45" s="112">
        <v>64124.28</v>
      </c>
      <c r="F45" s="113">
        <v>64124.28</v>
      </c>
      <c r="G45"/>
      <c r="H45"/>
      <c r="I45"/>
      <c r="J45"/>
      <c r="K45"/>
      <c r="L45" s="62"/>
      <c r="M45" s="62"/>
      <c r="N45" s="62"/>
      <c r="O45" s="62"/>
      <c r="P45" s="62"/>
      <c r="Q45" s="62"/>
      <c r="R45" s="62"/>
      <c r="S45" s="62"/>
      <c r="T45" s="62"/>
      <c r="U45" s="62"/>
      <c r="V45" s="62"/>
      <c r="W45" s="62"/>
      <c r="X45" s="62"/>
      <c r="Y45" s="62"/>
      <c r="Z45" s="62"/>
      <c r="AA45" s="62"/>
      <c r="AB45" s="62"/>
      <c r="AC45" s="62"/>
    </row>
    <row r="46" spans="1:29" x14ac:dyDescent="0.3">
      <c r="A46" s="124" t="s">
        <v>1827</v>
      </c>
      <c r="B46" s="112">
        <v>0</v>
      </c>
      <c r="C46" s="112">
        <v>0</v>
      </c>
      <c r="D46" s="112">
        <v>0</v>
      </c>
      <c r="E46" s="112">
        <v>87856.98</v>
      </c>
      <c r="F46" s="113">
        <v>87856.98</v>
      </c>
      <c r="G46"/>
      <c r="H46"/>
      <c r="I46"/>
      <c r="J46"/>
      <c r="K46"/>
      <c r="L46" s="62"/>
      <c r="M46" s="62"/>
      <c r="N46" s="62"/>
      <c r="O46" s="62"/>
      <c r="P46" s="62"/>
      <c r="Q46" s="62"/>
      <c r="R46" s="62"/>
      <c r="S46" s="62"/>
      <c r="T46" s="62"/>
      <c r="U46" s="62"/>
      <c r="V46" s="62"/>
      <c r="W46" s="62"/>
      <c r="X46" s="62"/>
      <c r="Y46" s="62"/>
      <c r="Z46" s="62"/>
      <c r="AA46" s="62"/>
      <c r="AB46" s="62"/>
      <c r="AC46" s="62"/>
    </row>
    <row r="47" spans="1:29" x14ac:dyDescent="0.3">
      <c r="A47" s="124" t="s">
        <v>1828</v>
      </c>
      <c r="B47" s="112">
        <v>0</v>
      </c>
      <c r="C47" s="112">
        <v>0</v>
      </c>
      <c r="D47" s="112">
        <v>0</v>
      </c>
      <c r="E47" s="112">
        <v>182140.79999999999</v>
      </c>
      <c r="F47" s="113">
        <v>182140.79999999999</v>
      </c>
      <c r="G47"/>
      <c r="H47"/>
      <c r="I47"/>
      <c r="J47"/>
      <c r="K47"/>
      <c r="L47" s="62"/>
      <c r="M47" s="62"/>
      <c r="N47" s="62"/>
      <c r="O47" s="62"/>
      <c r="P47" s="62"/>
      <c r="Q47" s="62"/>
      <c r="R47" s="62"/>
      <c r="S47" s="62"/>
      <c r="T47" s="62"/>
      <c r="U47" s="62"/>
      <c r="V47" s="62"/>
      <c r="W47" s="62"/>
      <c r="X47" s="62"/>
      <c r="Y47" s="62"/>
      <c r="Z47" s="62"/>
      <c r="AA47" s="62"/>
      <c r="AB47" s="62"/>
      <c r="AC47" s="62"/>
    </row>
    <row r="48" spans="1:29" x14ac:dyDescent="0.3">
      <c r="A48" s="124" t="s">
        <v>1829</v>
      </c>
      <c r="B48" s="112">
        <v>0</v>
      </c>
      <c r="C48" s="112">
        <v>0</v>
      </c>
      <c r="D48" s="112">
        <v>0</v>
      </c>
      <c r="E48" s="112">
        <v>907765.79</v>
      </c>
      <c r="F48" s="113">
        <v>907765.79</v>
      </c>
      <c r="G48"/>
      <c r="H48"/>
      <c r="I48"/>
      <c r="J48"/>
      <c r="K48"/>
      <c r="L48" s="62"/>
      <c r="M48" s="62"/>
      <c r="N48" s="62"/>
      <c r="O48" s="62"/>
      <c r="P48" s="62"/>
      <c r="Q48" s="62"/>
      <c r="R48" s="62"/>
      <c r="S48" s="62"/>
      <c r="T48" s="62"/>
      <c r="U48" s="62"/>
      <c r="V48" s="62"/>
      <c r="W48" s="62"/>
      <c r="X48" s="62"/>
      <c r="Y48" s="62"/>
      <c r="Z48" s="62"/>
      <c r="AA48" s="62"/>
      <c r="AB48" s="62"/>
      <c r="AC48" s="62"/>
    </row>
    <row r="49" spans="1:29" s="53" customFormat="1" x14ac:dyDescent="0.3">
      <c r="A49" s="119" t="s">
        <v>1830</v>
      </c>
      <c r="B49" s="129">
        <v>0</v>
      </c>
      <c r="C49" s="129">
        <v>14474422.16</v>
      </c>
      <c r="D49" s="129">
        <v>0</v>
      </c>
      <c r="E49" s="129">
        <v>29647985.149999999</v>
      </c>
      <c r="F49" s="130">
        <v>44122407.310000002</v>
      </c>
      <c r="G49"/>
      <c r="H49"/>
      <c r="I49"/>
      <c r="J49"/>
      <c r="K49"/>
      <c r="L49" s="62"/>
      <c r="M49" s="62"/>
      <c r="N49" s="62"/>
      <c r="O49" s="62"/>
      <c r="P49" s="62"/>
      <c r="Q49" s="62"/>
      <c r="R49" s="62"/>
      <c r="S49" s="62"/>
      <c r="T49" s="62"/>
      <c r="U49" s="62"/>
      <c r="V49" s="62"/>
      <c r="W49" s="62"/>
      <c r="X49" s="62"/>
      <c r="Y49" s="62"/>
      <c r="Z49" s="62"/>
      <c r="AA49" s="62"/>
      <c r="AB49" s="62"/>
      <c r="AC49" s="62"/>
    </row>
    <row r="50" spans="1:29" x14ac:dyDescent="0.3">
      <c r="A50" s="124" t="s">
        <v>1831</v>
      </c>
      <c r="B50" s="112">
        <v>0</v>
      </c>
      <c r="C50" s="112">
        <v>318521.84999999998</v>
      </c>
      <c r="D50" s="112">
        <v>0</v>
      </c>
      <c r="E50" s="112">
        <v>579261.41</v>
      </c>
      <c r="F50" s="113">
        <v>897783.26</v>
      </c>
      <c r="G50"/>
      <c r="H50"/>
      <c r="I50"/>
      <c r="J50"/>
      <c r="K50"/>
      <c r="L50" s="62"/>
      <c r="M50" s="62"/>
      <c r="N50" s="62"/>
      <c r="O50" s="62"/>
      <c r="P50" s="62"/>
      <c r="Q50" s="62"/>
      <c r="R50" s="62"/>
      <c r="S50" s="62"/>
      <c r="T50" s="62"/>
      <c r="U50" s="62"/>
      <c r="V50" s="62"/>
      <c r="W50" s="62"/>
      <c r="X50" s="62"/>
      <c r="Y50" s="62"/>
      <c r="Z50" s="62"/>
      <c r="AA50" s="62"/>
      <c r="AB50" s="62"/>
      <c r="AC50" s="62"/>
    </row>
    <row r="51" spans="1:29" x14ac:dyDescent="0.3">
      <c r="A51" s="124" t="s">
        <v>1832</v>
      </c>
      <c r="B51" s="112">
        <v>0</v>
      </c>
      <c r="C51" s="112">
        <v>588993.89</v>
      </c>
      <c r="D51" s="112">
        <v>0</v>
      </c>
      <c r="E51" s="112">
        <v>1149907.22</v>
      </c>
      <c r="F51" s="113">
        <v>1738901.11</v>
      </c>
      <c r="G51"/>
      <c r="H51"/>
      <c r="I51"/>
      <c r="J51"/>
      <c r="K51"/>
      <c r="L51" s="62"/>
      <c r="M51" s="62"/>
      <c r="N51" s="62"/>
      <c r="O51" s="62"/>
      <c r="P51" s="62"/>
      <c r="Q51" s="62"/>
      <c r="R51" s="62"/>
      <c r="S51" s="62"/>
      <c r="T51" s="62"/>
      <c r="U51" s="62"/>
      <c r="V51" s="62"/>
      <c r="W51" s="62"/>
      <c r="X51" s="62"/>
      <c r="Y51" s="62"/>
      <c r="Z51" s="62"/>
      <c r="AA51" s="62"/>
      <c r="AB51" s="62"/>
      <c r="AC51" s="62"/>
    </row>
    <row r="52" spans="1:29" x14ac:dyDescent="0.3">
      <c r="A52" s="124" t="s">
        <v>1833</v>
      </c>
      <c r="B52" s="112">
        <v>0</v>
      </c>
      <c r="C52" s="112">
        <v>913057.43</v>
      </c>
      <c r="D52" s="112">
        <v>0</v>
      </c>
      <c r="E52" s="112">
        <v>1773007.74</v>
      </c>
      <c r="F52" s="113">
        <v>2686065.17</v>
      </c>
      <c r="G52"/>
      <c r="H52"/>
      <c r="I52"/>
      <c r="J52"/>
      <c r="K52"/>
      <c r="L52" s="62"/>
      <c r="M52" s="62"/>
      <c r="N52" s="62"/>
      <c r="O52" s="62"/>
      <c r="P52" s="62"/>
      <c r="Q52" s="62"/>
      <c r="R52" s="62"/>
      <c r="S52" s="62"/>
      <c r="T52" s="62"/>
      <c r="U52" s="62"/>
      <c r="V52" s="62"/>
      <c r="W52" s="62"/>
      <c r="X52" s="62"/>
      <c r="Y52" s="62"/>
      <c r="Z52" s="62"/>
      <c r="AA52" s="62"/>
      <c r="AB52" s="62"/>
      <c r="AC52" s="62"/>
    </row>
    <row r="53" spans="1:29" x14ac:dyDescent="0.3">
      <c r="A53" s="124" t="s">
        <v>1834</v>
      </c>
      <c r="B53" s="112">
        <v>0</v>
      </c>
      <c r="C53" s="112">
        <v>1848013.06</v>
      </c>
      <c r="D53" s="112">
        <v>0</v>
      </c>
      <c r="E53" s="112">
        <v>3571524.54</v>
      </c>
      <c r="F53" s="113">
        <v>5419537.5999999996</v>
      </c>
      <c r="G53"/>
      <c r="H53"/>
      <c r="I53"/>
      <c r="J53"/>
      <c r="K53"/>
      <c r="L53" s="62"/>
      <c r="M53" s="62"/>
      <c r="N53" s="62"/>
      <c r="O53" s="62"/>
      <c r="P53" s="62"/>
      <c r="Q53" s="62"/>
      <c r="R53" s="62"/>
      <c r="S53" s="62"/>
      <c r="T53" s="62"/>
      <c r="U53" s="62"/>
      <c r="V53" s="62"/>
      <c r="W53" s="62"/>
      <c r="X53" s="62"/>
      <c r="Y53" s="62"/>
      <c r="Z53" s="62"/>
      <c r="AA53" s="62"/>
      <c r="AB53" s="62"/>
      <c r="AC53" s="62"/>
    </row>
    <row r="54" spans="1:29" x14ac:dyDescent="0.3">
      <c r="A54" s="124" t="s">
        <v>1835</v>
      </c>
      <c r="B54" s="112">
        <v>0</v>
      </c>
      <c r="C54" s="112">
        <v>10805835.93</v>
      </c>
      <c r="D54" s="112">
        <v>0</v>
      </c>
      <c r="E54" s="112">
        <v>22574284.239999998</v>
      </c>
      <c r="F54" s="113">
        <v>33380120.170000002</v>
      </c>
      <c r="G54"/>
      <c r="H54"/>
      <c r="I54"/>
      <c r="J54"/>
      <c r="K54"/>
      <c r="L54" s="62"/>
      <c r="M54" s="62"/>
      <c r="N54" s="62"/>
      <c r="O54" s="62"/>
      <c r="P54" s="62"/>
      <c r="Q54" s="62"/>
      <c r="R54" s="62"/>
      <c r="S54" s="62"/>
      <c r="T54" s="62"/>
      <c r="U54" s="62"/>
      <c r="V54" s="62"/>
      <c r="W54" s="62"/>
      <c r="X54" s="62"/>
      <c r="Y54" s="62"/>
      <c r="Z54" s="62"/>
      <c r="AA54" s="62"/>
      <c r="AB54" s="62"/>
      <c r="AC54" s="62"/>
    </row>
    <row r="55" spans="1:29" s="53" customFormat="1" x14ac:dyDescent="0.3">
      <c r="A55" s="119" t="s">
        <v>1836</v>
      </c>
      <c r="B55" s="129">
        <v>0</v>
      </c>
      <c r="C55" s="129">
        <v>0</v>
      </c>
      <c r="D55" s="129">
        <v>0</v>
      </c>
      <c r="E55" s="129">
        <v>10070865.57</v>
      </c>
      <c r="F55" s="130">
        <v>10070865.57</v>
      </c>
      <c r="G55"/>
      <c r="H55"/>
      <c r="I55"/>
      <c r="J55"/>
      <c r="K55"/>
      <c r="L55" s="62"/>
      <c r="M55" s="62"/>
      <c r="N55" s="62"/>
      <c r="O55" s="62"/>
      <c r="P55" s="62"/>
      <c r="Q55" s="62"/>
      <c r="R55" s="62"/>
      <c r="S55" s="62"/>
      <c r="T55" s="62"/>
      <c r="U55" s="62"/>
      <c r="V55" s="62"/>
      <c r="W55" s="62"/>
      <c r="X55" s="62"/>
      <c r="Y55" s="62"/>
      <c r="Z55" s="62"/>
      <c r="AA55" s="62"/>
      <c r="AB55" s="62"/>
      <c r="AC55" s="62"/>
    </row>
    <row r="56" spans="1:29" x14ac:dyDescent="0.3">
      <c r="A56" s="124" t="s">
        <v>1837</v>
      </c>
      <c r="B56" s="112">
        <v>0</v>
      </c>
      <c r="C56" s="112">
        <v>0</v>
      </c>
      <c r="D56" s="112">
        <v>0</v>
      </c>
      <c r="E56" s="112">
        <v>54968.89</v>
      </c>
      <c r="F56" s="113">
        <v>54968.89</v>
      </c>
      <c r="G56"/>
      <c r="H56"/>
      <c r="I56"/>
      <c r="J56"/>
      <c r="K56"/>
      <c r="L56" s="62"/>
      <c r="M56" s="62"/>
      <c r="N56" s="62"/>
      <c r="O56" s="62"/>
      <c r="P56" s="62"/>
      <c r="Q56" s="62"/>
      <c r="R56" s="62"/>
      <c r="S56" s="62"/>
      <c r="T56" s="62"/>
      <c r="U56" s="62"/>
      <c r="V56" s="62"/>
      <c r="W56" s="62"/>
      <c r="X56" s="62"/>
      <c r="Y56" s="62"/>
      <c r="Z56" s="62"/>
      <c r="AA56" s="62"/>
      <c r="AB56" s="62"/>
      <c r="AC56" s="62"/>
    </row>
    <row r="57" spans="1:29" x14ac:dyDescent="0.3">
      <c r="A57" s="124" t="s">
        <v>1838</v>
      </c>
      <c r="B57" s="112">
        <v>0</v>
      </c>
      <c r="C57" s="112">
        <v>0</v>
      </c>
      <c r="D57" s="112">
        <v>0</v>
      </c>
      <c r="E57" s="112">
        <v>92441.43</v>
      </c>
      <c r="F57" s="113">
        <v>92441.43</v>
      </c>
      <c r="G57"/>
      <c r="H57"/>
      <c r="I57"/>
      <c r="J57"/>
      <c r="K57"/>
      <c r="L57" s="62"/>
      <c r="M57" s="62"/>
      <c r="N57" s="62"/>
      <c r="O57" s="62"/>
      <c r="P57" s="62"/>
      <c r="Q57" s="62"/>
      <c r="R57" s="62"/>
      <c r="S57" s="62"/>
      <c r="T57" s="62"/>
      <c r="U57" s="62"/>
      <c r="V57" s="62"/>
      <c r="W57" s="62"/>
      <c r="X57" s="62"/>
      <c r="Y57" s="62"/>
      <c r="Z57" s="62"/>
      <c r="AA57" s="62"/>
      <c r="AB57" s="62"/>
      <c r="AC57" s="62"/>
    </row>
    <row r="58" spans="1:29" x14ac:dyDescent="0.3">
      <c r="A58" s="124" t="s">
        <v>1839</v>
      </c>
      <c r="B58" s="112">
        <v>0</v>
      </c>
      <c r="C58" s="112">
        <v>0</v>
      </c>
      <c r="D58" s="112">
        <v>0</v>
      </c>
      <c r="E58" s="112">
        <v>422814.92</v>
      </c>
      <c r="F58" s="113">
        <v>422814.92</v>
      </c>
      <c r="G58"/>
      <c r="H58"/>
      <c r="I58"/>
      <c r="J58"/>
      <c r="K58"/>
      <c r="L58" s="62"/>
      <c r="M58" s="62"/>
      <c r="N58" s="62"/>
      <c r="O58" s="62"/>
      <c r="P58" s="62"/>
      <c r="Q58" s="62"/>
      <c r="R58" s="62"/>
      <c r="S58" s="62"/>
      <c r="T58" s="62"/>
      <c r="U58" s="62"/>
      <c r="V58" s="62"/>
      <c r="W58" s="62"/>
      <c r="X58" s="62"/>
      <c r="Y58" s="62"/>
      <c r="Z58" s="62"/>
      <c r="AA58" s="62"/>
      <c r="AB58" s="62"/>
      <c r="AC58" s="62"/>
    </row>
    <row r="59" spans="1:29" x14ac:dyDescent="0.3">
      <c r="A59" s="124" t="s">
        <v>1840</v>
      </c>
      <c r="B59" s="112">
        <v>0</v>
      </c>
      <c r="C59" s="112">
        <v>0</v>
      </c>
      <c r="D59" s="112">
        <v>0</v>
      </c>
      <c r="E59" s="112">
        <v>9500640.3300000001</v>
      </c>
      <c r="F59" s="113">
        <v>9500640.3300000001</v>
      </c>
      <c r="G59"/>
      <c r="H59"/>
      <c r="I59"/>
      <c r="J59"/>
      <c r="K59"/>
      <c r="L59" s="62"/>
      <c r="M59" s="62"/>
      <c r="N59" s="62"/>
      <c r="O59" s="62"/>
      <c r="P59" s="62"/>
      <c r="Q59" s="62"/>
      <c r="R59" s="62"/>
      <c r="S59" s="62"/>
      <c r="T59" s="62"/>
      <c r="U59" s="62"/>
      <c r="V59" s="62"/>
      <c r="W59" s="62"/>
      <c r="X59" s="62"/>
      <c r="Y59" s="62"/>
      <c r="Z59" s="62"/>
      <c r="AA59" s="62"/>
      <c r="AB59" s="62"/>
      <c r="AC59" s="62"/>
    </row>
    <row r="60" spans="1:29" s="53" customFormat="1" x14ac:dyDescent="0.3">
      <c r="A60" s="119" t="s">
        <v>1841</v>
      </c>
      <c r="B60" s="129">
        <v>0</v>
      </c>
      <c r="C60" s="129">
        <v>0</v>
      </c>
      <c r="D60" s="129">
        <v>0</v>
      </c>
      <c r="E60" s="129">
        <v>0</v>
      </c>
      <c r="F60" s="130">
        <v>0</v>
      </c>
      <c r="G60"/>
      <c r="H60"/>
      <c r="I60"/>
      <c r="J60"/>
      <c r="K60"/>
      <c r="L60" s="62"/>
      <c r="M60" s="62"/>
      <c r="N60" s="62"/>
      <c r="O60" s="62"/>
      <c r="P60" s="62"/>
      <c r="Q60" s="62"/>
      <c r="R60" s="62"/>
      <c r="S60" s="62"/>
      <c r="T60" s="62"/>
      <c r="U60" s="62"/>
      <c r="V60" s="62"/>
      <c r="W60" s="62"/>
      <c r="X60" s="62"/>
      <c r="Y60" s="62"/>
      <c r="Z60" s="62"/>
      <c r="AA60" s="62"/>
      <c r="AB60" s="62"/>
      <c r="AC60" s="62"/>
    </row>
    <row r="61" spans="1:29" x14ac:dyDescent="0.3">
      <c r="A61" s="124" t="s">
        <v>1842</v>
      </c>
      <c r="B61" s="112">
        <v>0</v>
      </c>
      <c r="C61" s="112">
        <v>0</v>
      </c>
      <c r="D61" s="112">
        <v>0</v>
      </c>
      <c r="E61" s="112">
        <v>0</v>
      </c>
      <c r="F61" s="113">
        <v>0</v>
      </c>
      <c r="G61"/>
      <c r="H61"/>
      <c r="I61"/>
      <c r="J61"/>
      <c r="K61"/>
      <c r="L61" s="62"/>
      <c r="M61" s="62"/>
      <c r="N61" s="62"/>
      <c r="O61" s="62"/>
      <c r="P61" s="62"/>
      <c r="Q61" s="62"/>
      <c r="R61" s="62"/>
      <c r="S61" s="62"/>
      <c r="T61" s="62"/>
      <c r="U61" s="62"/>
      <c r="V61" s="62"/>
      <c r="W61" s="62"/>
      <c r="X61" s="62"/>
      <c r="Y61" s="62"/>
      <c r="Z61" s="62"/>
      <c r="AA61" s="62"/>
      <c r="AB61" s="62"/>
      <c r="AC61" s="62"/>
    </row>
    <row r="62" spans="1:29" x14ac:dyDescent="0.3">
      <c r="A62" s="124" t="s">
        <v>1843</v>
      </c>
      <c r="B62" s="112">
        <v>0</v>
      </c>
      <c r="C62" s="112">
        <v>0</v>
      </c>
      <c r="D62" s="112">
        <v>0</v>
      </c>
      <c r="E62" s="112">
        <v>0</v>
      </c>
      <c r="F62" s="113">
        <v>0</v>
      </c>
      <c r="G62"/>
      <c r="H62"/>
      <c r="I62"/>
      <c r="J62"/>
      <c r="K62"/>
      <c r="L62" s="62"/>
      <c r="M62" s="62"/>
      <c r="N62" s="62"/>
      <c r="O62" s="62"/>
      <c r="P62" s="62"/>
      <c r="Q62" s="62"/>
      <c r="R62" s="62"/>
      <c r="S62" s="62"/>
      <c r="T62" s="62"/>
      <c r="U62" s="62"/>
      <c r="V62" s="62"/>
      <c r="W62" s="62"/>
      <c r="X62" s="62"/>
      <c r="Y62" s="62"/>
      <c r="Z62" s="62"/>
      <c r="AA62" s="62"/>
      <c r="AB62" s="62"/>
      <c r="AC62" s="62"/>
    </row>
    <row r="63" spans="1:29" x14ac:dyDescent="0.3">
      <c r="A63" s="124" t="s">
        <v>1844</v>
      </c>
      <c r="B63" s="112">
        <v>0</v>
      </c>
      <c r="C63" s="112">
        <v>0</v>
      </c>
      <c r="D63" s="112">
        <v>0</v>
      </c>
      <c r="E63" s="112">
        <v>0</v>
      </c>
      <c r="F63" s="113">
        <v>0</v>
      </c>
      <c r="G63"/>
      <c r="H63"/>
      <c r="I63"/>
      <c r="J63"/>
      <c r="K63"/>
      <c r="L63" s="62"/>
      <c r="M63" s="62"/>
      <c r="N63" s="62"/>
      <c r="O63" s="62"/>
      <c r="P63" s="62"/>
      <c r="Q63" s="62"/>
      <c r="R63" s="62"/>
      <c r="S63" s="62"/>
      <c r="T63" s="62"/>
      <c r="U63" s="62"/>
      <c r="V63" s="62"/>
      <c r="W63" s="62"/>
      <c r="X63" s="62"/>
      <c r="Y63" s="62"/>
      <c r="Z63" s="62"/>
      <c r="AA63" s="62"/>
      <c r="AB63" s="62"/>
      <c r="AC63" s="62"/>
    </row>
    <row r="64" spans="1:29" x14ac:dyDescent="0.3">
      <c r="A64" s="124" t="s">
        <v>1845</v>
      </c>
      <c r="B64" s="112">
        <v>0</v>
      </c>
      <c r="C64" s="112">
        <v>0</v>
      </c>
      <c r="D64" s="112">
        <v>0</v>
      </c>
      <c r="E64" s="112">
        <v>0</v>
      </c>
      <c r="F64" s="113">
        <v>0</v>
      </c>
      <c r="G64"/>
      <c r="H64"/>
      <c r="I64"/>
      <c r="J64"/>
      <c r="K64"/>
      <c r="L64" s="62"/>
      <c r="M64" s="62"/>
      <c r="N64" s="62"/>
      <c r="O64" s="62"/>
      <c r="P64" s="62"/>
      <c r="Q64" s="62"/>
      <c r="R64" s="62"/>
      <c r="S64" s="62"/>
      <c r="T64" s="62"/>
      <c r="U64" s="62"/>
      <c r="V64" s="62"/>
      <c r="W64" s="62"/>
      <c r="X64" s="62"/>
      <c r="Y64" s="62"/>
      <c r="Z64" s="62"/>
      <c r="AA64" s="62"/>
      <c r="AB64" s="62"/>
      <c r="AC64" s="62"/>
    </row>
    <row r="65" spans="1:29" x14ac:dyDescent="0.3">
      <c r="A65" s="124" t="s">
        <v>1846</v>
      </c>
      <c r="B65" s="112">
        <v>0</v>
      </c>
      <c r="C65" s="112">
        <v>0</v>
      </c>
      <c r="D65" s="112">
        <v>0</v>
      </c>
      <c r="E65" s="112">
        <v>0</v>
      </c>
      <c r="F65" s="113">
        <v>0</v>
      </c>
      <c r="G65"/>
      <c r="H65"/>
      <c r="I65"/>
      <c r="J65"/>
      <c r="K65"/>
      <c r="L65" s="62"/>
      <c r="M65" s="62"/>
      <c r="N65" s="62"/>
      <c r="O65" s="62"/>
      <c r="P65" s="62"/>
      <c r="Q65" s="62"/>
      <c r="R65" s="62"/>
      <c r="S65" s="62"/>
      <c r="T65" s="62"/>
      <c r="U65" s="62"/>
      <c r="V65" s="62"/>
      <c r="W65" s="62"/>
      <c r="X65" s="62"/>
      <c r="Y65" s="62"/>
      <c r="Z65" s="62"/>
      <c r="AA65" s="62"/>
      <c r="AB65" s="62"/>
      <c r="AC65" s="62"/>
    </row>
    <row r="66" spans="1:29" s="53" customFormat="1" x14ac:dyDescent="0.3">
      <c r="A66" s="125" t="s">
        <v>207</v>
      </c>
      <c r="B66" s="127">
        <v>1363396.92</v>
      </c>
      <c r="C66" s="127">
        <v>3305107.3899999997</v>
      </c>
      <c r="D66" s="127">
        <v>1036773.16</v>
      </c>
      <c r="E66" s="127">
        <v>12269622.270000001</v>
      </c>
      <c r="F66" s="128">
        <v>17974899.739999995</v>
      </c>
      <c r="G66"/>
      <c r="H66"/>
      <c r="I66"/>
      <c r="J66"/>
      <c r="K66"/>
      <c r="L66" s="62"/>
      <c r="M66" s="62"/>
      <c r="N66" s="62"/>
      <c r="O66" s="62"/>
      <c r="P66" s="62"/>
      <c r="Q66" s="62"/>
      <c r="R66" s="62"/>
      <c r="S66" s="62"/>
      <c r="T66" s="62"/>
      <c r="U66" s="62"/>
      <c r="V66" s="62"/>
      <c r="W66" s="62"/>
      <c r="X66" s="62"/>
      <c r="Y66" s="62"/>
      <c r="Z66" s="62"/>
      <c r="AA66" s="62"/>
      <c r="AB66" s="62"/>
      <c r="AC66" s="62"/>
    </row>
    <row r="67" spans="1:29" s="53" customFormat="1" x14ac:dyDescent="0.3">
      <c r="A67" s="119" t="s">
        <v>1847</v>
      </c>
      <c r="B67" s="129">
        <v>0</v>
      </c>
      <c r="C67" s="129">
        <v>158782.32</v>
      </c>
      <c r="D67" s="129">
        <v>59193.680000000008</v>
      </c>
      <c r="E67" s="129">
        <v>669584.68999999994</v>
      </c>
      <c r="F67" s="130">
        <v>887560.69000000006</v>
      </c>
      <c r="G67"/>
      <c r="H67"/>
      <c r="I67"/>
      <c r="J67"/>
      <c r="K67"/>
      <c r="L67" s="62"/>
      <c r="M67" s="62"/>
      <c r="N67" s="62"/>
      <c r="O67" s="62"/>
      <c r="P67" s="62"/>
      <c r="Q67" s="62"/>
      <c r="R67" s="62"/>
      <c r="S67" s="62"/>
      <c r="T67" s="62"/>
      <c r="U67" s="62"/>
      <c r="V67" s="62"/>
      <c r="W67" s="62"/>
      <c r="X67" s="62"/>
      <c r="Y67" s="62"/>
      <c r="Z67" s="62"/>
      <c r="AA67" s="62"/>
      <c r="AB67" s="62"/>
      <c r="AC67" s="62"/>
    </row>
    <row r="68" spans="1:29" x14ac:dyDescent="0.3">
      <c r="A68" s="124" t="s">
        <v>1848</v>
      </c>
      <c r="B68" s="112">
        <v>0</v>
      </c>
      <c r="C68" s="112">
        <v>1533.27</v>
      </c>
      <c r="D68" s="112">
        <v>3080.39</v>
      </c>
      <c r="E68" s="112">
        <v>58072.52</v>
      </c>
      <c r="F68" s="113">
        <v>62686.18</v>
      </c>
      <c r="G68"/>
      <c r="H68"/>
      <c r="I68"/>
      <c r="J68"/>
      <c r="K68"/>
      <c r="L68" s="62"/>
      <c r="M68" s="62"/>
      <c r="N68" s="62"/>
      <c r="O68" s="62"/>
      <c r="P68" s="62"/>
      <c r="Q68" s="62"/>
      <c r="R68" s="62"/>
      <c r="S68" s="62"/>
      <c r="T68" s="62"/>
      <c r="U68" s="62"/>
      <c r="V68" s="62"/>
      <c r="W68" s="62"/>
      <c r="X68" s="62"/>
      <c r="Y68" s="62"/>
      <c r="Z68" s="62"/>
      <c r="AA68" s="62"/>
      <c r="AB68" s="62"/>
      <c r="AC68" s="62"/>
    </row>
    <row r="69" spans="1:29" x14ac:dyDescent="0.3">
      <c r="A69" s="124" t="s">
        <v>1849</v>
      </c>
      <c r="B69" s="112">
        <v>0</v>
      </c>
      <c r="C69" s="112">
        <v>1560.95</v>
      </c>
      <c r="D69" s="112">
        <v>3138.15</v>
      </c>
      <c r="E69" s="112">
        <v>52824.37</v>
      </c>
      <c r="F69" s="113">
        <v>57523.47</v>
      </c>
      <c r="G69"/>
      <c r="H69"/>
      <c r="I69"/>
      <c r="J69"/>
      <c r="K69"/>
      <c r="L69" s="62"/>
      <c r="M69" s="62"/>
      <c r="N69" s="62"/>
      <c r="O69" s="62"/>
      <c r="P69" s="62"/>
      <c r="Q69" s="62"/>
      <c r="R69" s="62"/>
      <c r="S69" s="62"/>
      <c r="T69" s="62"/>
      <c r="U69" s="62"/>
      <c r="V69" s="62"/>
      <c r="W69" s="62"/>
      <c r="X69" s="62"/>
      <c r="Y69" s="62"/>
      <c r="Z69" s="62"/>
      <c r="AA69" s="62"/>
      <c r="AB69" s="62"/>
      <c r="AC69" s="62"/>
    </row>
    <row r="70" spans="1:29" x14ac:dyDescent="0.3">
      <c r="A70" s="124" t="s">
        <v>1850</v>
      </c>
      <c r="B70" s="112">
        <v>0</v>
      </c>
      <c r="C70" s="112">
        <v>2394.41</v>
      </c>
      <c r="D70" s="112">
        <v>4817.91</v>
      </c>
      <c r="E70" s="112">
        <v>74649.179999999993</v>
      </c>
      <c r="F70" s="113">
        <v>81861.5</v>
      </c>
      <c r="G70"/>
      <c r="H70"/>
      <c r="I70"/>
      <c r="J70"/>
      <c r="K70"/>
      <c r="L70" s="62"/>
      <c r="M70" s="62"/>
      <c r="N70" s="62"/>
      <c r="O70" s="62"/>
      <c r="P70" s="62"/>
      <c r="Q70" s="62"/>
      <c r="R70" s="62"/>
      <c r="S70" s="62"/>
      <c r="T70" s="62"/>
      <c r="U70" s="62"/>
      <c r="V70" s="62"/>
      <c r="W70" s="62"/>
      <c r="X70" s="62"/>
      <c r="Y70" s="62"/>
      <c r="Z70" s="62"/>
      <c r="AA70" s="62"/>
      <c r="AB70" s="62"/>
      <c r="AC70" s="62"/>
    </row>
    <row r="71" spans="1:29" x14ac:dyDescent="0.3">
      <c r="A71" s="124" t="s">
        <v>1851</v>
      </c>
      <c r="B71" s="112">
        <v>0</v>
      </c>
      <c r="C71" s="112">
        <v>4985.8999999999996</v>
      </c>
      <c r="D71" s="112">
        <v>10048.18</v>
      </c>
      <c r="E71" s="112">
        <v>111970.54</v>
      </c>
      <c r="F71" s="113">
        <v>127004.62</v>
      </c>
      <c r="G71"/>
      <c r="H71"/>
      <c r="I71"/>
      <c r="J71"/>
      <c r="K71"/>
      <c r="L71" s="62"/>
      <c r="M71" s="62"/>
      <c r="N71" s="62"/>
      <c r="O71" s="62"/>
      <c r="P71" s="62"/>
      <c r="Q71" s="62"/>
      <c r="R71" s="62"/>
      <c r="S71" s="62"/>
      <c r="T71" s="62"/>
      <c r="U71" s="62"/>
      <c r="V71" s="62"/>
      <c r="W71" s="62"/>
      <c r="X71" s="62"/>
      <c r="Y71" s="62"/>
      <c r="Z71" s="62"/>
      <c r="AA71" s="62"/>
      <c r="AB71" s="62"/>
      <c r="AC71" s="62"/>
    </row>
    <row r="72" spans="1:29" x14ac:dyDescent="0.3">
      <c r="A72" s="124" t="s">
        <v>1852</v>
      </c>
      <c r="B72" s="112">
        <v>0</v>
      </c>
      <c r="C72" s="112">
        <v>148307.79</v>
      </c>
      <c r="D72" s="112">
        <v>38109.050000000003</v>
      </c>
      <c r="E72" s="112">
        <v>372068.08</v>
      </c>
      <c r="F72" s="113">
        <v>558484.92000000004</v>
      </c>
      <c r="G72"/>
      <c r="H72"/>
      <c r="I72"/>
      <c r="J72"/>
      <c r="K72"/>
      <c r="L72" s="62"/>
      <c r="M72" s="62"/>
      <c r="N72" s="62"/>
      <c r="O72" s="62"/>
      <c r="P72" s="62"/>
      <c r="Q72" s="62"/>
      <c r="R72" s="62"/>
      <c r="S72" s="62"/>
      <c r="T72" s="62"/>
      <c r="U72" s="62"/>
      <c r="V72" s="62"/>
      <c r="W72" s="62"/>
      <c r="X72" s="62"/>
      <c r="Y72" s="62"/>
      <c r="Z72" s="62"/>
      <c r="AA72" s="62"/>
      <c r="AB72" s="62"/>
      <c r="AC72" s="62"/>
    </row>
    <row r="73" spans="1:29" s="53" customFormat="1" x14ac:dyDescent="0.3">
      <c r="A73" s="119" t="s">
        <v>1853</v>
      </c>
      <c r="B73" s="129">
        <v>311256.46999999997</v>
      </c>
      <c r="C73" s="129">
        <v>397261.82</v>
      </c>
      <c r="D73" s="129">
        <v>441806.85</v>
      </c>
      <c r="E73" s="129">
        <v>4258454.6300000008</v>
      </c>
      <c r="F73" s="130">
        <v>5408779.7699999996</v>
      </c>
      <c r="G73"/>
      <c r="H73"/>
      <c r="I73"/>
      <c r="J73"/>
      <c r="K73"/>
      <c r="L73" s="62"/>
      <c r="M73" s="62"/>
      <c r="N73" s="62"/>
      <c r="O73" s="62"/>
      <c r="P73" s="62"/>
      <c r="Q73" s="62"/>
      <c r="R73" s="62"/>
      <c r="S73" s="62"/>
      <c r="T73" s="62"/>
      <c r="U73" s="62"/>
      <c r="V73" s="62"/>
      <c r="W73" s="62"/>
      <c r="X73" s="62"/>
      <c r="Y73" s="62"/>
      <c r="Z73" s="62"/>
      <c r="AA73" s="62"/>
      <c r="AB73" s="62"/>
      <c r="AC73" s="62"/>
    </row>
    <row r="74" spans="1:29" x14ac:dyDescent="0.3">
      <c r="A74" s="124" t="s">
        <v>1854</v>
      </c>
      <c r="B74" s="112">
        <v>12473.16</v>
      </c>
      <c r="C74" s="112">
        <v>56053.52</v>
      </c>
      <c r="D74" s="112">
        <v>36884.490000000005</v>
      </c>
      <c r="E74" s="112">
        <v>497901.29000000004</v>
      </c>
      <c r="F74" s="113">
        <v>603312.46</v>
      </c>
      <c r="G74"/>
      <c r="H74"/>
      <c r="I74"/>
      <c r="J74"/>
      <c r="K74"/>
      <c r="L74" s="62"/>
      <c r="M74" s="62"/>
      <c r="N74" s="62"/>
      <c r="O74" s="62"/>
      <c r="P74" s="62"/>
      <c r="Q74" s="62"/>
      <c r="R74" s="62"/>
      <c r="S74" s="62"/>
      <c r="T74" s="62"/>
      <c r="U74" s="62"/>
      <c r="V74" s="62"/>
      <c r="W74" s="62"/>
      <c r="X74" s="62"/>
      <c r="Y74" s="62"/>
      <c r="Z74" s="62"/>
      <c r="AA74" s="62"/>
      <c r="AB74" s="62"/>
      <c r="AC74" s="62"/>
    </row>
    <row r="75" spans="1:29" x14ac:dyDescent="0.3">
      <c r="A75" s="124" t="s">
        <v>1855</v>
      </c>
      <c r="B75" s="112">
        <v>12668.09</v>
      </c>
      <c r="C75" s="112">
        <v>31130.47</v>
      </c>
      <c r="D75" s="112">
        <v>40100.160000000003</v>
      </c>
      <c r="E75" s="112">
        <v>764779.34</v>
      </c>
      <c r="F75" s="113">
        <v>848678.06</v>
      </c>
      <c r="G75"/>
      <c r="H75"/>
      <c r="I75"/>
      <c r="J75"/>
      <c r="K75"/>
      <c r="L75" s="62"/>
      <c r="M75" s="62"/>
      <c r="N75" s="62"/>
      <c r="O75" s="62"/>
      <c r="P75" s="62"/>
      <c r="Q75" s="62"/>
      <c r="R75" s="62"/>
      <c r="S75" s="62"/>
      <c r="T75" s="62"/>
      <c r="U75" s="62"/>
      <c r="V75" s="62"/>
      <c r="W75" s="62"/>
      <c r="X75" s="62"/>
      <c r="Y75" s="62"/>
      <c r="Z75" s="62"/>
      <c r="AA75" s="62"/>
      <c r="AB75" s="62"/>
      <c r="AC75" s="62"/>
    </row>
    <row r="76" spans="1:29" x14ac:dyDescent="0.3">
      <c r="A76" s="124" t="s">
        <v>1856</v>
      </c>
      <c r="B76" s="112">
        <v>19094.239999999998</v>
      </c>
      <c r="C76" s="112">
        <v>38427.56</v>
      </c>
      <c r="D76" s="112">
        <v>51198.170000000006</v>
      </c>
      <c r="E76" s="112">
        <v>664878.78999999992</v>
      </c>
      <c r="F76" s="113">
        <v>773598.75999999989</v>
      </c>
      <c r="G76"/>
      <c r="H76"/>
      <c r="I76"/>
      <c r="J76"/>
      <c r="K76"/>
      <c r="L76" s="62"/>
      <c r="M76" s="62"/>
      <c r="N76" s="62"/>
      <c r="O76" s="62"/>
      <c r="P76" s="62"/>
      <c r="Q76" s="62"/>
      <c r="R76" s="62"/>
      <c r="S76" s="62"/>
      <c r="T76" s="62"/>
      <c r="U76" s="62"/>
      <c r="V76" s="62"/>
      <c r="W76" s="62"/>
      <c r="X76" s="62"/>
      <c r="Y76" s="62"/>
      <c r="Z76" s="62"/>
      <c r="AA76" s="62"/>
      <c r="AB76" s="62"/>
      <c r="AC76" s="62"/>
    </row>
    <row r="77" spans="1:29" x14ac:dyDescent="0.3">
      <c r="A77" s="124" t="s">
        <v>1857</v>
      </c>
      <c r="B77" s="112">
        <v>267020.98</v>
      </c>
      <c r="C77" s="112">
        <v>271650.27</v>
      </c>
      <c r="D77" s="112">
        <v>313624.02999999997</v>
      </c>
      <c r="E77" s="112">
        <v>2330895.2100000004</v>
      </c>
      <c r="F77" s="113">
        <v>3183190.49</v>
      </c>
      <c r="G77"/>
      <c r="H77"/>
      <c r="I77"/>
      <c r="J77"/>
      <c r="K77"/>
      <c r="L77" s="62"/>
      <c r="M77" s="62"/>
      <c r="N77" s="62"/>
      <c r="O77" s="62"/>
      <c r="P77" s="62"/>
      <c r="Q77" s="62"/>
      <c r="R77" s="62"/>
      <c r="S77" s="62"/>
      <c r="T77" s="62"/>
      <c r="U77" s="62"/>
      <c r="V77" s="62"/>
      <c r="W77" s="62"/>
      <c r="X77" s="62"/>
      <c r="Y77" s="62"/>
      <c r="Z77" s="62"/>
      <c r="AA77" s="62"/>
      <c r="AB77" s="62"/>
      <c r="AC77" s="62"/>
    </row>
    <row r="78" spans="1:29" s="53" customFormat="1" x14ac:dyDescent="0.3">
      <c r="A78" s="119" t="s">
        <v>1858</v>
      </c>
      <c r="B78" s="129">
        <v>375107.79</v>
      </c>
      <c r="C78" s="129">
        <v>2619488.88</v>
      </c>
      <c r="D78" s="129">
        <v>368930.48</v>
      </c>
      <c r="E78" s="129">
        <v>6341648.0700000003</v>
      </c>
      <c r="F78" s="130">
        <v>9705175.2199999988</v>
      </c>
      <c r="G78"/>
      <c r="H78"/>
      <c r="I78"/>
      <c r="J78"/>
      <c r="K78"/>
      <c r="L78" s="62"/>
      <c r="M78" s="62"/>
      <c r="N78" s="62"/>
      <c r="O78" s="62"/>
      <c r="P78" s="62"/>
      <c r="Q78" s="62"/>
      <c r="R78" s="62"/>
      <c r="S78" s="62"/>
      <c r="T78" s="62"/>
      <c r="U78" s="62"/>
      <c r="V78" s="62"/>
      <c r="W78" s="62"/>
      <c r="X78" s="62"/>
      <c r="Y78" s="62"/>
      <c r="Z78" s="62"/>
      <c r="AA78" s="62"/>
      <c r="AB78" s="62"/>
      <c r="AC78" s="62"/>
    </row>
    <row r="79" spans="1:29" x14ac:dyDescent="0.3">
      <c r="A79" s="124" t="s">
        <v>1875</v>
      </c>
      <c r="B79" s="112">
        <v>7191.76</v>
      </c>
      <c r="C79" s="112">
        <v>57428.72</v>
      </c>
      <c r="D79" s="112">
        <v>13028.5</v>
      </c>
      <c r="E79" s="112">
        <v>207768.77</v>
      </c>
      <c r="F79" s="113">
        <v>285417.75</v>
      </c>
      <c r="G79"/>
      <c r="H79"/>
      <c r="I79"/>
      <c r="J79"/>
      <c r="K79"/>
      <c r="L79" s="62"/>
      <c r="M79" s="62"/>
      <c r="N79" s="62"/>
      <c r="O79" s="62"/>
      <c r="P79" s="62"/>
      <c r="Q79" s="62"/>
      <c r="R79" s="62"/>
      <c r="S79" s="62"/>
      <c r="T79" s="62"/>
      <c r="U79" s="62"/>
      <c r="V79" s="62"/>
      <c r="W79" s="62"/>
      <c r="X79" s="62"/>
      <c r="Y79" s="62"/>
      <c r="Z79" s="62"/>
      <c r="AA79" s="62"/>
      <c r="AB79" s="62"/>
      <c r="AC79" s="62"/>
    </row>
    <row r="80" spans="1:29" x14ac:dyDescent="0.3">
      <c r="A80" s="124" t="s">
        <v>1876</v>
      </c>
      <c r="B80" s="112">
        <v>11237.7</v>
      </c>
      <c r="C80" s="112">
        <v>39665.519999999997</v>
      </c>
      <c r="D80" s="112">
        <v>8764.5</v>
      </c>
      <c r="E80" s="112">
        <v>126307.42</v>
      </c>
      <c r="F80" s="113">
        <v>185975.14</v>
      </c>
      <c r="G80"/>
      <c r="H80"/>
      <c r="I80"/>
      <c r="J80"/>
      <c r="K80"/>
      <c r="L80" s="62"/>
      <c r="M80" s="62"/>
      <c r="N80" s="62"/>
      <c r="O80" s="62"/>
      <c r="P80" s="62"/>
      <c r="Q80" s="62"/>
      <c r="R80" s="62"/>
      <c r="S80" s="62"/>
      <c r="T80" s="62"/>
      <c r="U80" s="62"/>
      <c r="V80" s="62"/>
      <c r="W80" s="62"/>
      <c r="X80" s="62"/>
      <c r="Y80" s="62"/>
      <c r="Z80" s="62"/>
      <c r="AA80" s="62"/>
      <c r="AB80" s="62"/>
      <c r="AC80" s="62"/>
    </row>
    <row r="81" spans="1:29" x14ac:dyDescent="0.3">
      <c r="A81" s="124" t="s">
        <v>1877</v>
      </c>
      <c r="B81" s="112">
        <v>34308.090000000004</v>
      </c>
      <c r="C81" s="112">
        <v>183953.82</v>
      </c>
      <c r="D81" s="112">
        <v>39130.089999999997</v>
      </c>
      <c r="E81" s="112">
        <v>535090.81000000006</v>
      </c>
      <c r="F81" s="113">
        <v>792482.80999999994</v>
      </c>
      <c r="G81"/>
      <c r="H81"/>
      <c r="I81"/>
      <c r="J81"/>
      <c r="K81"/>
      <c r="L81" s="62"/>
      <c r="M81" s="62"/>
      <c r="N81" s="62"/>
      <c r="O81" s="62"/>
      <c r="P81" s="62"/>
      <c r="Q81" s="62"/>
      <c r="R81" s="62"/>
      <c r="S81" s="62"/>
      <c r="T81" s="62"/>
      <c r="U81" s="62"/>
      <c r="V81" s="62"/>
      <c r="W81" s="62"/>
      <c r="X81" s="62"/>
      <c r="Y81" s="62"/>
      <c r="Z81" s="62"/>
      <c r="AA81" s="62"/>
      <c r="AB81" s="62"/>
      <c r="AC81" s="62"/>
    </row>
    <row r="82" spans="1:29" x14ac:dyDescent="0.3">
      <c r="A82" s="124" t="s">
        <v>1878</v>
      </c>
      <c r="B82" s="112">
        <v>322370.24</v>
      </c>
      <c r="C82" s="112">
        <v>2338440.8199999998</v>
      </c>
      <c r="D82" s="112">
        <v>308007.39</v>
      </c>
      <c r="E82" s="112">
        <v>5472481.0700000003</v>
      </c>
      <c r="F82" s="113">
        <v>8441299.5199999996</v>
      </c>
      <c r="G82"/>
      <c r="H82"/>
      <c r="I82"/>
      <c r="J82"/>
      <c r="K82"/>
      <c r="L82" s="62"/>
      <c r="M82" s="62"/>
      <c r="N82" s="62"/>
      <c r="O82" s="62"/>
      <c r="P82" s="62"/>
      <c r="Q82" s="62"/>
      <c r="R82" s="62"/>
      <c r="S82" s="62"/>
      <c r="T82" s="62"/>
      <c r="U82" s="62"/>
      <c r="V82" s="62"/>
      <c r="W82" s="62"/>
      <c r="X82" s="62"/>
      <c r="Y82" s="62"/>
      <c r="Z82" s="62"/>
      <c r="AA82" s="62"/>
      <c r="AB82" s="62"/>
      <c r="AC82" s="62"/>
    </row>
    <row r="83" spans="1:29" s="53" customFormat="1" x14ac:dyDescent="0.3">
      <c r="A83" s="119" t="s">
        <v>1862</v>
      </c>
      <c r="B83" s="129">
        <v>677032.66</v>
      </c>
      <c r="C83" s="129">
        <v>29776.289999999997</v>
      </c>
      <c r="D83" s="129">
        <v>166842.15000000002</v>
      </c>
      <c r="E83" s="129">
        <v>546275.64</v>
      </c>
      <c r="F83" s="130">
        <v>1419926.74</v>
      </c>
      <c r="G83"/>
      <c r="H83"/>
      <c r="I83"/>
      <c r="J83"/>
      <c r="K83"/>
      <c r="L83" s="62"/>
      <c r="M83" s="62"/>
      <c r="N83" s="62"/>
      <c r="O83" s="62"/>
      <c r="P83" s="62"/>
      <c r="Q83" s="62"/>
      <c r="R83" s="62"/>
      <c r="S83" s="62"/>
      <c r="T83" s="62"/>
      <c r="U83" s="62"/>
      <c r="V83" s="62"/>
      <c r="W83" s="62"/>
      <c r="X83" s="62"/>
      <c r="Y83" s="62"/>
      <c r="Z83" s="62"/>
      <c r="AA83" s="62"/>
      <c r="AB83" s="62"/>
      <c r="AC83" s="62"/>
    </row>
    <row r="84" spans="1:29" x14ac:dyDescent="0.3">
      <c r="A84" s="124" t="s">
        <v>1859</v>
      </c>
      <c r="B84" s="112">
        <v>21526.239999999998</v>
      </c>
      <c r="C84" s="112">
        <v>3806.59</v>
      </c>
      <c r="D84" s="112">
        <v>17687.849999999999</v>
      </c>
      <c r="E84" s="112">
        <v>60775.130000000005</v>
      </c>
      <c r="F84" s="113">
        <v>103795.81</v>
      </c>
      <c r="G84"/>
      <c r="H84"/>
      <c r="I84"/>
      <c r="J84"/>
      <c r="K84"/>
      <c r="L84" s="62"/>
      <c r="M84" s="62"/>
      <c r="N84" s="62"/>
      <c r="O84" s="62"/>
      <c r="P84" s="62"/>
      <c r="Q84" s="62"/>
      <c r="R84" s="62"/>
      <c r="S84" s="62"/>
      <c r="T84" s="62"/>
      <c r="U84" s="62"/>
      <c r="V84" s="62"/>
      <c r="W84" s="62"/>
      <c r="X84" s="62"/>
      <c r="Y84" s="62"/>
      <c r="Z84" s="62"/>
      <c r="AA84" s="62"/>
      <c r="AB84" s="62"/>
      <c r="AC84" s="62"/>
    </row>
    <row r="85" spans="1:29" x14ac:dyDescent="0.3">
      <c r="A85" s="124" t="s">
        <v>1860</v>
      </c>
      <c r="B85" s="112">
        <v>22388.29</v>
      </c>
      <c r="C85" s="112">
        <v>3551.71</v>
      </c>
      <c r="D85" s="112">
        <v>16634.23</v>
      </c>
      <c r="E85" s="112">
        <v>54800.01</v>
      </c>
      <c r="F85" s="113">
        <v>97374.239999999991</v>
      </c>
      <c r="G85"/>
      <c r="H85"/>
      <c r="I85"/>
      <c r="J85"/>
      <c r="K85"/>
      <c r="L85" s="62"/>
      <c r="M85" s="62"/>
      <c r="N85" s="62"/>
      <c r="O85" s="62"/>
      <c r="P85" s="62"/>
      <c r="Q85" s="62"/>
      <c r="R85" s="62"/>
      <c r="S85" s="62"/>
      <c r="T85" s="62"/>
      <c r="U85" s="62"/>
      <c r="V85" s="62"/>
      <c r="W85" s="62"/>
      <c r="X85" s="62"/>
      <c r="Y85" s="62"/>
      <c r="Z85" s="62"/>
      <c r="AA85" s="62"/>
      <c r="AB85" s="62"/>
      <c r="AC85" s="62"/>
    </row>
    <row r="86" spans="1:29" x14ac:dyDescent="0.3">
      <c r="A86" s="124" t="s">
        <v>1879</v>
      </c>
      <c r="B86" s="112">
        <v>32888.080000000002</v>
      </c>
      <c r="C86" s="112">
        <v>5523.7</v>
      </c>
      <c r="D86" s="112">
        <v>24182.31</v>
      </c>
      <c r="E86" s="112">
        <v>56804.66</v>
      </c>
      <c r="F86" s="113">
        <v>119398.75</v>
      </c>
      <c r="G86"/>
      <c r="H86"/>
      <c r="I86"/>
      <c r="J86"/>
      <c r="K86"/>
      <c r="L86" s="62"/>
      <c r="M86" s="62"/>
      <c r="N86" s="62"/>
      <c r="O86" s="62"/>
      <c r="P86" s="62"/>
      <c r="Q86" s="62"/>
      <c r="R86" s="62"/>
      <c r="S86" s="62"/>
      <c r="T86" s="62"/>
      <c r="U86" s="62"/>
      <c r="V86" s="62"/>
      <c r="W86" s="62"/>
      <c r="X86" s="62"/>
      <c r="Y86" s="62"/>
      <c r="Z86" s="62"/>
      <c r="AA86" s="62"/>
      <c r="AB86" s="62"/>
      <c r="AC86" s="62"/>
    </row>
    <row r="87" spans="1:29" x14ac:dyDescent="0.3">
      <c r="A87" s="124" t="s">
        <v>1880</v>
      </c>
      <c r="B87" s="112">
        <v>65504.74</v>
      </c>
      <c r="C87" s="112">
        <v>9293.31</v>
      </c>
      <c r="D87" s="112">
        <v>39678.660000000003</v>
      </c>
      <c r="E87" s="112">
        <v>108087.58</v>
      </c>
      <c r="F87" s="113">
        <v>222564.29</v>
      </c>
      <c r="G87"/>
      <c r="H87"/>
      <c r="I87"/>
      <c r="J87"/>
      <c r="K87"/>
      <c r="L87" s="62"/>
      <c r="M87" s="62"/>
      <c r="N87" s="62"/>
      <c r="O87" s="62"/>
      <c r="P87" s="62"/>
      <c r="Q87" s="62"/>
      <c r="R87" s="62"/>
      <c r="S87" s="62"/>
      <c r="T87" s="62"/>
      <c r="U87" s="62"/>
      <c r="V87" s="62"/>
      <c r="W87" s="62"/>
      <c r="X87" s="62"/>
      <c r="Y87" s="62"/>
      <c r="Z87" s="62"/>
      <c r="AA87" s="62"/>
      <c r="AB87" s="62"/>
      <c r="AC87" s="62"/>
    </row>
    <row r="88" spans="1:29" x14ac:dyDescent="0.3">
      <c r="A88" s="124" t="s">
        <v>1861</v>
      </c>
      <c r="B88" s="112">
        <v>534725.31000000006</v>
      </c>
      <c r="C88" s="112">
        <v>7600.98</v>
      </c>
      <c r="D88" s="112">
        <v>68659.100000000006</v>
      </c>
      <c r="E88" s="112">
        <v>265808.26</v>
      </c>
      <c r="F88" s="113">
        <v>876793.65</v>
      </c>
      <c r="G88"/>
      <c r="H88"/>
      <c r="I88"/>
      <c r="J88"/>
      <c r="K88"/>
      <c r="L88" s="62"/>
      <c r="M88" s="62"/>
      <c r="N88" s="62"/>
      <c r="O88" s="62"/>
      <c r="P88" s="62"/>
      <c r="Q88" s="62"/>
      <c r="R88" s="62"/>
      <c r="S88" s="62"/>
      <c r="T88" s="62"/>
      <c r="U88" s="62"/>
      <c r="V88" s="62"/>
      <c r="W88" s="62"/>
      <c r="X88" s="62"/>
      <c r="Y88" s="62"/>
      <c r="Z88" s="62"/>
      <c r="AA88" s="62"/>
      <c r="AB88" s="62"/>
      <c r="AC88" s="62"/>
    </row>
    <row r="89" spans="1:29" s="53" customFormat="1" x14ac:dyDescent="0.3">
      <c r="A89" s="119" t="s">
        <v>1868</v>
      </c>
      <c r="B89" s="129">
        <v>0</v>
      </c>
      <c r="C89" s="129">
        <v>0</v>
      </c>
      <c r="D89" s="129">
        <v>0</v>
      </c>
      <c r="E89" s="129">
        <v>0</v>
      </c>
      <c r="F89" s="130">
        <v>0</v>
      </c>
      <c r="G89"/>
      <c r="H89"/>
      <c r="I89"/>
      <c r="J89"/>
      <c r="K89"/>
      <c r="L89" s="62"/>
      <c r="M89" s="62"/>
      <c r="N89" s="62"/>
      <c r="O89" s="62"/>
      <c r="P89" s="62"/>
      <c r="Q89" s="62"/>
      <c r="R89" s="62"/>
      <c r="S89" s="62"/>
      <c r="T89" s="62"/>
      <c r="U89" s="62"/>
      <c r="V89" s="62"/>
      <c r="W89" s="62"/>
      <c r="X89" s="62"/>
      <c r="Y89" s="62"/>
      <c r="Z89" s="62"/>
      <c r="AA89" s="62"/>
      <c r="AB89" s="62"/>
      <c r="AC89" s="62"/>
    </row>
    <row r="90" spans="1:29" x14ac:dyDescent="0.3">
      <c r="A90" s="124" t="s">
        <v>1863</v>
      </c>
      <c r="B90" s="112">
        <v>0</v>
      </c>
      <c r="C90" s="112">
        <v>0</v>
      </c>
      <c r="D90" s="112">
        <v>0</v>
      </c>
      <c r="E90" s="112">
        <v>0</v>
      </c>
      <c r="F90" s="113">
        <v>0</v>
      </c>
      <c r="G90"/>
      <c r="H90"/>
      <c r="I90"/>
      <c r="J90"/>
      <c r="K90"/>
      <c r="L90" s="62"/>
      <c r="M90" s="62"/>
      <c r="N90" s="62"/>
      <c r="O90" s="62"/>
      <c r="P90" s="62"/>
      <c r="Q90" s="62"/>
      <c r="R90" s="62"/>
      <c r="S90" s="62"/>
      <c r="T90" s="62"/>
      <c r="U90" s="62"/>
      <c r="V90" s="62"/>
      <c r="W90" s="62"/>
      <c r="X90" s="62"/>
      <c r="Y90" s="62"/>
      <c r="Z90" s="62"/>
      <c r="AA90" s="62"/>
      <c r="AB90" s="62"/>
      <c r="AC90" s="62"/>
    </row>
    <row r="91" spans="1:29" x14ac:dyDescent="0.3">
      <c r="A91" s="124" t="s">
        <v>1864</v>
      </c>
      <c r="B91" s="112">
        <v>0</v>
      </c>
      <c r="C91" s="112">
        <v>0</v>
      </c>
      <c r="D91" s="112">
        <v>0</v>
      </c>
      <c r="E91" s="112">
        <v>0</v>
      </c>
      <c r="F91" s="113">
        <v>0</v>
      </c>
      <c r="G91"/>
      <c r="H91"/>
      <c r="I91"/>
      <c r="J91"/>
      <c r="K91"/>
      <c r="L91" s="62"/>
      <c r="M91" s="62"/>
      <c r="N91" s="62"/>
      <c r="O91" s="62"/>
      <c r="P91" s="62"/>
      <c r="Q91" s="62"/>
      <c r="R91" s="62"/>
      <c r="S91" s="62"/>
      <c r="T91" s="62"/>
      <c r="U91" s="62"/>
      <c r="V91" s="62"/>
      <c r="W91" s="62"/>
      <c r="X91" s="62"/>
      <c r="Y91" s="62"/>
      <c r="Z91" s="62"/>
      <c r="AA91" s="62"/>
      <c r="AB91" s="62"/>
      <c r="AC91" s="62"/>
    </row>
    <row r="92" spans="1:29" x14ac:dyDescent="0.3">
      <c r="A92" s="124" t="s">
        <v>1865</v>
      </c>
      <c r="B92" s="112">
        <v>0</v>
      </c>
      <c r="C92" s="112">
        <v>0</v>
      </c>
      <c r="D92" s="112">
        <v>0</v>
      </c>
      <c r="E92" s="112">
        <v>0</v>
      </c>
      <c r="F92" s="113">
        <v>0</v>
      </c>
      <c r="G92"/>
      <c r="H92"/>
      <c r="I92"/>
      <c r="J92"/>
      <c r="K92"/>
      <c r="L92" s="62"/>
      <c r="M92" s="62"/>
      <c r="N92" s="62"/>
      <c r="O92" s="62"/>
      <c r="P92" s="62"/>
      <c r="Q92" s="62"/>
      <c r="R92" s="62"/>
      <c r="S92" s="62"/>
      <c r="T92" s="62"/>
      <c r="U92" s="62"/>
      <c r="V92" s="62"/>
      <c r="W92" s="62"/>
      <c r="X92" s="62"/>
      <c r="Y92" s="62"/>
      <c r="Z92" s="62"/>
      <c r="AA92" s="62"/>
      <c r="AB92" s="62"/>
      <c r="AC92" s="62"/>
    </row>
    <row r="93" spans="1:29" x14ac:dyDescent="0.3">
      <c r="A93" s="124" t="s">
        <v>1866</v>
      </c>
      <c r="B93" s="112">
        <v>0</v>
      </c>
      <c r="C93" s="112">
        <v>0</v>
      </c>
      <c r="D93" s="112">
        <v>0</v>
      </c>
      <c r="E93" s="112">
        <v>0</v>
      </c>
      <c r="F93" s="113">
        <v>0</v>
      </c>
      <c r="G93"/>
      <c r="H93"/>
      <c r="I93"/>
      <c r="J93"/>
      <c r="K93"/>
      <c r="L93" s="62"/>
      <c r="M93" s="62"/>
      <c r="N93" s="62"/>
      <c r="O93" s="62"/>
      <c r="P93" s="62"/>
      <c r="Q93" s="62"/>
      <c r="R93" s="62"/>
      <c r="S93" s="62"/>
      <c r="T93" s="62"/>
      <c r="U93" s="62"/>
      <c r="V93" s="62"/>
      <c r="W93" s="62"/>
      <c r="X93" s="62"/>
      <c r="Y93" s="62"/>
      <c r="Z93" s="62"/>
      <c r="AA93" s="62"/>
      <c r="AB93" s="62"/>
      <c r="AC93" s="62"/>
    </row>
    <row r="94" spans="1:29" x14ac:dyDescent="0.3">
      <c r="A94" s="124" t="s">
        <v>1867</v>
      </c>
      <c r="B94" s="112">
        <v>0</v>
      </c>
      <c r="C94" s="112">
        <v>0</v>
      </c>
      <c r="D94" s="112">
        <v>0</v>
      </c>
      <c r="E94" s="112">
        <v>0</v>
      </c>
      <c r="F94" s="113">
        <v>0</v>
      </c>
      <c r="G94"/>
      <c r="H94"/>
      <c r="I94"/>
      <c r="J94"/>
      <c r="K94"/>
      <c r="L94" s="62"/>
      <c r="M94" s="62"/>
      <c r="N94" s="62"/>
      <c r="O94" s="62"/>
      <c r="P94" s="62"/>
      <c r="Q94" s="62"/>
      <c r="R94" s="62"/>
      <c r="S94" s="62"/>
      <c r="T94" s="62"/>
      <c r="U94" s="62"/>
      <c r="V94" s="62"/>
      <c r="W94" s="62"/>
      <c r="X94" s="62"/>
      <c r="Y94" s="62"/>
      <c r="Z94" s="62"/>
      <c r="AA94" s="62"/>
      <c r="AB94" s="62"/>
      <c r="AC94" s="62"/>
    </row>
    <row r="95" spans="1:29" s="53" customFormat="1" x14ac:dyDescent="0.3">
      <c r="A95" s="119" t="s">
        <v>1874</v>
      </c>
      <c r="B95" s="129">
        <v>0</v>
      </c>
      <c r="C95" s="129">
        <v>0</v>
      </c>
      <c r="D95" s="129">
        <v>0</v>
      </c>
      <c r="E95" s="129">
        <v>0</v>
      </c>
      <c r="F95" s="130">
        <v>0</v>
      </c>
      <c r="G95"/>
      <c r="H95"/>
      <c r="I95"/>
      <c r="J95"/>
      <c r="K95"/>
      <c r="L95" s="62"/>
      <c r="M95" s="62"/>
      <c r="N95" s="62"/>
      <c r="O95" s="62"/>
      <c r="P95" s="62"/>
      <c r="Q95" s="62"/>
      <c r="R95" s="62"/>
      <c r="S95" s="62"/>
      <c r="T95" s="62"/>
      <c r="U95" s="62"/>
      <c r="V95" s="62"/>
      <c r="W95" s="62"/>
      <c r="X95" s="62"/>
      <c r="Y95" s="62"/>
      <c r="Z95" s="62"/>
      <c r="AA95" s="62"/>
      <c r="AB95" s="62"/>
      <c r="AC95" s="62"/>
    </row>
    <row r="96" spans="1:29" x14ac:dyDescent="0.3">
      <c r="A96" s="124" t="s">
        <v>1869</v>
      </c>
      <c r="B96" s="112">
        <v>0</v>
      </c>
      <c r="C96" s="112">
        <v>0</v>
      </c>
      <c r="D96" s="112">
        <v>0</v>
      </c>
      <c r="E96" s="112">
        <v>0</v>
      </c>
      <c r="F96" s="113">
        <v>0</v>
      </c>
      <c r="G96"/>
      <c r="H96"/>
      <c r="I96"/>
      <c r="J96"/>
      <c r="K96"/>
      <c r="L96" s="62"/>
      <c r="M96" s="62"/>
      <c r="N96" s="62"/>
      <c r="O96" s="62"/>
      <c r="P96" s="62"/>
      <c r="Q96" s="62"/>
      <c r="R96" s="62"/>
      <c r="S96" s="62"/>
      <c r="T96" s="62"/>
      <c r="U96" s="62"/>
      <c r="V96" s="62"/>
      <c r="W96" s="62"/>
      <c r="X96" s="62"/>
      <c r="Y96" s="62"/>
      <c r="Z96" s="62"/>
      <c r="AA96" s="62"/>
      <c r="AB96" s="62"/>
      <c r="AC96" s="62"/>
    </row>
    <row r="97" spans="1:29" x14ac:dyDescent="0.3">
      <c r="A97" s="124" t="s">
        <v>1870</v>
      </c>
      <c r="B97" s="112">
        <v>0</v>
      </c>
      <c r="C97" s="112">
        <v>0</v>
      </c>
      <c r="D97" s="112">
        <v>0</v>
      </c>
      <c r="E97" s="112">
        <v>0</v>
      </c>
      <c r="F97" s="113">
        <v>0</v>
      </c>
      <c r="G97"/>
      <c r="H97"/>
      <c r="I97"/>
      <c r="J97"/>
      <c r="K97"/>
      <c r="L97" s="62"/>
      <c r="M97" s="62"/>
      <c r="N97" s="62"/>
      <c r="O97" s="62"/>
      <c r="P97" s="62"/>
      <c r="Q97" s="62"/>
      <c r="R97" s="62"/>
      <c r="S97" s="62"/>
      <c r="T97" s="62"/>
      <c r="U97" s="62"/>
      <c r="V97" s="62"/>
      <c r="W97" s="62"/>
      <c r="X97" s="62"/>
      <c r="Y97" s="62"/>
      <c r="Z97" s="62"/>
      <c r="AA97" s="62"/>
      <c r="AB97" s="62"/>
      <c r="AC97" s="62"/>
    </row>
    <row r="98" spans="1:29" x14ac:dyDescent="0.3">
      <c r="A98" s="124" t="s">
        <v>1871</v>
      </c>
      <c r="B98" s="112">
        <v>0</v>
      </c>
      <c r="C98" s="112">
        <v>0</v>
      </c>
      <c r="D98" s="112">
        <v>0</v>
      </c>
      <c r="E98" s="112">
        <v>0</v>
      </c>
      <c r="F98" s="113">
        <v>0</v>
      </c>
      <c r="G98"/>
      <c r="H98"/>
      <c r="I98"/>
      <c r="J98"/>
      <c r="K98"/>
      <c r="L98" s="62"/>
      <c r="M98" s="62"/>
      <c r="N98" s="62"/>
      <c r="O98" s="62"/>
      <c r="P98" s="62"/>
      <c r="Q98" s="62"/>
      <c r="R98" s="62"/>
      <c r="S98" s="62"/>
      <c r="T98" s="62"/>
      <c r="U98" s="62"/>
      <c r="V98" s="62"/>
      <c r="W98" s="62"/>
      <c r="X98" s="62"/>
      <c r="Y98" s="62"/>
      <c r="Z98" s="62"/>
      <c r="AA98" s="62"/>
      <c r="AB98" s="62"/>
      <c r="AC98" s="62"/>
    </row>
    <row r="99" spans="1:29" x14ac:dyDescent="0.3">
      <c r="A99" s="124" t="s">
        <v>1872</v>
      </c>
      <c r="B99" s="112">
        <v>0</v>
      </c>
      <c r="C99" s="112">
        <v>0</v>
      </c>
      <c r="D99" s="112">
        <v>0</v>
      </c>
      <c r="E99" s="112">
        <v>0</v>
      </c>
      <c r="F99" s="113">
        <v>0</v>
      </c>
      <c r="G99"/>
      <c r="H99"/>
      <c r="I99"/>
      <c r="J99"/>
      <c r="K99"/>
      <c r="L99" s="62"/>
      <c r="M99" s="62"/>
      <c r="N99" s="62"/>
      <c r="O99" s="62"/>
      <c r="P99" s="62"/>
      <c r="Q99" s="62"/>
      <c r="R99" s="62"/>
      <c r="S99" s="62"/>
      <c r="T99" s="62"/>
      <c r="U99" s="62"/>
      <c r="V99" s="62"/>
      <c r="W99" s="62"/>
      <c r="X99" s="62"/>
      <c r="Y99" s="62"/>
      <c r="Z99" s="62"/>
      <c r="AA99" s="62"/>
      <c r="AB99" s="62"/>
      <c r="AC99" s="62"/>
    </row>
    <row r="100" spans="1:29" x14ac:dyDescent="0.3">
      <c r="A100" s="124" t="s">
        <v>1873</v>
      </c>
      <c r="B100" s="112">
        <v>0</v>
      </c>
      <c r="C100" s="112">
        <v>0</v>
      </c>
      <c r="D100" s="112">
        <v>0</v>
      </c>
      <c r="E100" s="112">
        <v>0</v>
      </c>
      <c r="F100" s="113">
        <v>0</v>
      </c>
      <c r="G100"/>
      <c r="H100"/>
      <c r="I100"/>
      <c r="J100"/>
      <c r="K100"/>
      <c r="L100" s="62"/>
      <c r="M100" s="62"/>
      <c r="N100" s="62"/>
      <c r="O100" s="62"/>
      <c r="P100" s="62"/>
      <c r="Q100" s="62"/>
      <c r="R100" s="62"/>
      <c r="S100" s="62"/>
      <c r="T100" s="62"/>
      <c r="U100" s="62"/>
      <c r="V100" s="62"/>
      <c r="W100" s="62"/>
      <c r="X100" s="62"/>
      <c r="Y100" s="62"/>
      <c r="Z100" s="62"/>
      <c r="AA100" s="62"/>
      <c r="AB100" s="62"/>
      <c r="AC100" s="62"/>
    </row>
    <row r="101" spans="1:29" s="53" customFormat="1" x14ac:dyDescent="0.3">
      <c r="A101" s="119" t="s">
        <v>1886</v>
      </c>
      <c r="B101" s="129">
        <v>0</v>
      </c>
      <c r="C101" s="129">
        <v>99798.080000000002</v>
      </c>
      <c r="D101" s="129">
        <v>0</v>
      </c>
      <c r="E101" s="129">
        <v>261003.27000000002</v>
      </c>
      <c r="F101" s="130">
        <v>360801.35</v>
      </c>
      <c r="G101"/>
      <c r="H101"/>
      <c r="I101"/>
      <c r="J101"/>
      <c r="K101"/>
      <c r="L101" s="62"/>
      <c r="M101" s="62"/>
      <c r="N101" s="62"/>
      <c r="O101" s="62"/>
      <c r="P101" s="62"/>
      <c r="Q101" s="62"/>
      <c r="R101" s="62"/>
      <c r="S101" s="62"/>
      <c r="T101" s="62"/>
      <c r="U101" s="62"/>
      <c r="V101" s="62"/>
      <c r="W101" s="62"/>
      <c r="X101" s="62"/>
      <c r="Y101" s="62"/>
      <c r="Z101" s="62"/>
      <c r="AA101" s="62"/>
      <c r="AB101" s="62"/>
      <c r="AC101" s="62"/>
    </row>
    <row r="102" spans="1:29" x14ac:dyDescent="0.3">
      <c r="A102" s="124" t="s">
        <v>1881</v>
      </c>
      <c r="B102" s="112">
        <v>0</v>
      </c>
      <c r="C102" s="112">
        <v>7459.87</v>
      </c>
      <c r="D102" s="112">
        <v>0</v>
      </c>
      <c r="E102" s="112">
        <v>12592.44</v>
      </c>
      <c r="F102" s="113">
        <v>20052.310000000001</v>
      </c>
      <c r="G102"/>
      <c r="H102"/>
      <c r="I102"/>
      <c r="J102"/>
      <c r="K102"/>
      <c r="L102" s="62"/>
      <c r="M102" s="62"/>
      <c r="N102" s="62"/>
      <c r="O102" s="62"/>
      <c r="P102" s="62"/>
      <c r="Q102" s="62"/>
      <c r="R102" s="62"/>
      <c r="S102" s="62"/>
      <c r="T102" s="62"/>
      <c r="U102" s="62"/>
      <c r="V102" s="62"/>
      <c r="W102" s="62"/>
      <c r="X102" s="62"/>
      <c r="Y102" s="62"/>
      <c r="Z102" s="62"/>
      <c r="AA102" s="62"/>
      <c r="AB102" s="62"/>
      <c r="AC102" s="62"/>
    </row>
    <row r="103" spans="1:29" x14ac:dyDescent="0.3">
      <c r="A103" s="124" t="s">
        <v>1882</v>
      </c>
      <c r="B103" s="112">
        <v>0</v>
      </c>
      <c r="C103" s="112">
        <v>6685.87</v>
      </c>
      <c r="D103" s="112">
        <v>0</v>
      </c>
      <c r="E103" s="112">
        <v>13209.68</v>
      </c>
      <c r="F103" s="113">
        <v>19895.55</v>
      </c>
      <c r="G103"/>
      <c r="H103"/>
      <c r="I103"/>
      <c r="J103"/>
      <c r="K103"/>
      <c r="L103" s="62"/>
      <c r="M103" s="62"/>
      <c r="N103" s="62"/>
      <c r="O103" s="62"/>
      <c r="P103" s="62"/>
      <c r="Q103" s="62"/>
      <c r="R103" s="62"/>
      <c r="S103" s="62"/>
      <c r="T103" s="62"/>
      <c r="U103" s="62"/>
      <c r="V103" s="62"/>
      <c r="W103" s="62"/>
      <c r="X103" s="62"/>
      <c r="Y103" s="62"/>
      <c r="Z103" s="62"/>
      <c r="AA103" s="62"/>
      <c r="AB103" s="62"/>
      <c r="AC103" s="62"/>
    </row>
    <row r="104" spans="1:29" x14ac:dyDescent="0.3">
      <c r="A104" s="124" t="s">
        <v>1883</v>
      </c>
      <c r="B104" s="112">
        <v>0</v>
      </c>
      <c r="C104" s="112">
        <v>10442.51</v>
      </c>
      <c r="D104" s="112">
        <v>0</v>
      </c>
      <c r="E104" s="112">
        <v>20185.71</v>
      </c>
      <c r="F104" s="113">
        <v>30628.22</v>
      </c>
      <c r="G104"/>
      <c r="H104"/>
      <c r="I104"/>
      <c r="J104"/>
      <c r="K104"/>
      <c r="L104" s="62"/>
      <c r="M104" s="62"/>
      <c r="N104" s="62"/>
      <c r="O104" s="62"/>
      <c r="P104" s="62"/>
      <c r="Q104" s="62"/>
      <c r="R104" s="62"/>
      <c r="S104" s="62"/>
      <c r="T104" s="62"/>
      <c r="U104" s="62"/>
      <c r="V104" s="62"/>
      <c r="W104" s="62"/>
      <c r="X104" s="62"/>
      <c r="Y104" s="62"/>
      <c r="Z104" s="62"/>
      <c r="AA104" s="62"/>
      <c r="AB104" s="62"/>
      <c r="AC104" s="62"/>
    </row>
    <row r="105" spans="1:29" x14ac:dyDescent="0.3">
      <c r="A105" s="124" t="s">
        <v>1884</v>
      </c>
      <c r="B105" s="112">
        <v>0</v>
      </c>
      <c r="C105" s="112">
        <v>20715.75</v>
      </c>
      <c r="D105" s="112">
        <v>0</v>
      </c>
      <c r="E105" s="112">
        <v>42391.27</v>
      </c>
      <c r="F105" s="113">
        <v>63107.02</v>
      </c>
      <c r="G105"/>
      <c r="H105"/>
      <c r="I105"/>
      <c r="J105"/>
      <c r="K105"/>
      <c r="L105" s="62"/>
      <c r="M105" s="62"/>
      <c r="N105" s="62"/>
      <c r="O105" s="62"/>
      <c r="P105" s="62"/>
      <c r="Q105" s="62"/>
      <c r="R105" s="62"/>
      <c r="S105" s="62"/>
      <c r="T105" s="62"/>
      <c r="U105" s="62"/>
      <c r="V105" s="62"/>
      <c r="W105" s="62"/>
      <c r="X105" s="62"/>
      <c r="Y105" s="62"/>
      <c r="Z105" s="62"/>
      <c r="AA105" s="62"/>
      <c r="AB105" s="62"/>
      <c r="AC105" s="62"/>
    </row>
    <row r="106" spans="1:29" x14ac:dyDescent="0.3">
      <c r="A106" s="124" t="s">
        <v>1885</v>
      </c>
      <c r="B106" s="112">
        <v>0</v>
      </c>
      <c r="C106" s="112">
        <v>54494.080000000002</v>
      </c>
      <c r="D106" s="112">
        <v>0</v>
      </c>
      <c r="E106" s="112">
        <v>172624.17</v>
      </c>
      <c r="F106" s="113">
        <v>227118.25</v>
      </c>
      <c r="G106"/>
      <c r="H106"/>
      <c r="I106"/>
      <c r="J106"/>
      <c r="K106"/>
      <c r="L106" s="62"/>
      <c r="M106" s="62"/>
      <c r="N106" s="62"/>
      <c r="O106" s="62"/>
      <c r="P106" s="62"/>
      <c r="Q106" s="62"/>
      <c r="R106" s="62"/>
      <c r="S106" s="62"/>
      <c r="T106" s="62"/>
      <c r="U106" s="62"/>
      <c r="V106" s="62"/>
      <c r="W106" s="62"/>
      <c r="X106" s="62"/>
      <c r="Y106" s="62"/>
      <c r="Z106" s="62"/>
      <c r="AA106" s="62"/>
      <c r="AB106" s="62"/>
      <c r="AC106" s="62"/>
    </row>
    <row r="107" spans="1:29" s="53" customFormat="1" x14ac:dyDescent="0.3">
      <c r="A107" s="119" t="s">
        <v>1890</v>
      </c>
      <c r="B107" s="129">
        <v>0</v>
      </c>
      <c r="C107" s="129">
        <v>0</v>
      </c>
      <c r="D107" s="129">
        <v>0</v>
      </c>
      <c r="E107" s="129">
        <v>192655.97</v>
      </c>
      <c r="F107" s="130">
        <v>192655.97</v>
      </c>
      <c r="G107"/>
      <c r="H107"/>
      <c r="I107"/>
      <c r="J107"/>
      <c r="K107"/>
      <c r="L107" s="62"/>
      <c r="M107" s="62"/>
      <c r="N107" s="62"/>
      <c r="O107" s="62"/>
      <c r="P107" s="62"/>
      <c r="Q107" s="62"/>
      <c r="R107" s="62"/>
      <c r="S107" s="62"/>
      <c r="T107" s="62"/>
      <c r="U107" s="62"/>
      <c r="V107" s="62"/>
      <c r="W107" s="62"/>
      <c r="X107" s="62"/>
      <c r="Y107" s="62"/>
      <c r="Z107" s="62"/>
      <c r="AA107" s="62"/>
      <c r="AB107" s="62"/>
      <c r="AC107" s="62"/>
    </row>
    <row r="108" spans="1:29" x14ac:dyDescent="0.3">
      <c r="A108" s="124" t="s">
        <v>1887</v>
      </c>
      <c r="B108" s="112">
        <v>0</v>
      </c>
      <c r="C108" s="112">
        <v>0</v>
      </c>
      <c r="D108" s="112">
        <v>0</v>
      </c>
      <c r="E108" s="112">
        <v>3499.89</v>
      </c>
      <c r="F108" s="113">
        <v>3499.89</v>
      </c>
      <c r="G108"/>
      <c r="H108"/>
      <c r="I108"/>
      <c r="J108"/>
      <c r="K108"/>
      <c r="L108" s="62"/>
      <c r="M108" s="62"/>
      <c r="N108" s="62"/>
      <c r="O108" s="62"/>
      <c r="P108" s="62"/>
      <c r="Q108" s="62"/>
      <c r="R108" s="62"/>
      <c r="S108" s="62"/>
      <c r="T108" s="62"/>
      <c r="U108" s="62"/>
      <c r="V108" s="62"/>
      <c r="W108" s="62"/>
      <c r="X108" s="62"/>
      <c r="Y108" s="62"/>
      <c r="Z108" s="62"/>
      <c r="AA108" s="62"/>
      <c r="AB108" s="62"/>
      <c r="AC108" s="62"/>
    </row>
    <row r="109" spans="1:29" x14ac:dyDescent="0.3">
      <c r="A109" s="124" t="s">
        <v>1888</v>
      </c>
      <c r="B109" s="112">
        <v>0</v>
      </c>
      <c r="C109" s="112">
        <v>0</v>
      </c>
      <c r="D109" s="112">
        <v>0</v>
      </c>
      <c r="E109" s="112">
        <v>2277.9899999999998</v>
      </c>
      <c r="F109" s="113">
        <v>2277.9899999999998</v>
      </c>
      <c r="G109"/>
      <c r="H109"/>
      <c r="I109"/>
      <c r="J109"/>
      <c r="K109"/>
      <c r="L109" s="62"/>
      <c r="M109" s="62"/>
      <c r="N109" s="62"/>
      <c r="O109" s="62"/>
      <c r="P109" s="62"/>
      <c r="Q109" s="62"/>
      <c r="R109" s="62"/>
      <c r="S109" s="62"/>
      <c r="T109" s="62"/>
      <c r="U109" s="62"/>
      <c r="V109" s="62"/>
      <c r="W109" s="62"/>
      <c r="X109" s="62"/>
      <c r="Y109" s="62"/>
      <c r="Z109" s="62"/>
      <c r="AA109" s="62"/>
      <c r="AB109" s="62"/>
      <c r="AC109" s="62"/>
    </row>
    <row r="110" spans="1:29" x14ac:dyDescent="0.3">
      <c r="A110" s="124" t="s">
        <v>1926</v>
      </c>
      <c r="B110" s="112">
        <v>0</v>
      </c>
      <c r="C110" s="112">
        <v>0</v>
      </c>
      <c r="D110" s="112">
        <v>0</v>
      </c>
      <c r="E110" s="112">
        <v>10447.65</v>
      </c>
      <c r="F110" s="113">
        <v>10447.65</v>
      </c>
      <c r="G110"/>
      <c r="H110"/>
      <c r="I110"/>
      <c r="J110"/>
      <c r="K110"/>
      <c r="L110" s="62"/>
      <c r="M110" s="62"/>
      <c r="N110" s="62"/>
      <c r="O110" s="62"/>
      <c r="P110" s="62"/>
      <c r="Q110" s="62"/>
      <c r="R110" s="62"/>
      <c r="S110" s="62"/>
      <c r="T110" s="62"/>
      <c r="U110" s="62"/>
      <c r="V110" s="62"/>
      <c r="W110" s="62"/>
      <c r="X110" s="62"/>
      <c r="Y110" s="62"/>
      <c r="Z110" s="62"/>
      <c r="AA110" s="62"/>
      <c r="AB110" s="62"/>
      <c r="AC110" s="62"/>
    </row>
    <row r="111" spans="1:29" x14ac:dyDescent="0.3">
      <c r="A111" s="124" t="s">
        <v>1889</v>
      </c>
      <c r="B111" s="112">
        <v>0</v>
      </c>
      <c r="C111" s="112">
        <v>0</v>
      </c>
      <c r="D111" s="112">
        <v>0</v>
      </c>
      <c r="E111" s="112">
        <v>176430.44</v>
      </c>
      <c r="F111" s="113">
        <v>176430.44</v>
      </c>
      <c r="G111"/>
      <c r="H111"/>
      <c r="I111"/>
      <c r="J111"/>
      <c r="K111"/>
      <c r="L111" s="62"/>
      <c r="M111" s="62"/>
      <c r="N111" s="62"/>
      <c r="O111" s="62"/>
      <c r="P111" s="62"/>
      <c r="Q111" s="62"/>
      <c r="R111" s="62"/>
      <c r="S111" s="62"/>
      <c r="T111" s="62"/>
      <c r="U111" s="62"/>
      <c r="V111" s="62"/>
      <c r="W111" s="62"/>
      <c r="X111" s="62"/>
      <c r="Y111" s="62"/>
      <c r="Z111" s="62"/>
      <c r="AA111" s="62"/>
      <c r="AB111" s="62"/>
      <c r="AC111" s="62"/>
    </row>
    <row r="112" spans="1:29" s="53" customFormat="1" x14ac:dyDescent="0.3">
      <c r="A112" s="119" t="s">
        <v>1894</v>
      </c>
      <c r="B112" s="129">
        <v>0</v>
      </c>
      <c r="C112" s="129">
        <v>0</v>
      </c>
      <c r="D112" s="129">
        <v>0</v>
      </c>
      <c r="E112" s="129">
        <v>0</v>
      </c>
      <c r="F112" s="130">
        <v>0</v>
      </c>
      <c r="G112"/>
      <c r="H112"/>
      <c r="I112"/>
      <c r="J112"/>
      <c r="K112"/>
      <c r="L112" s="62"/>
      <c r="M112" s="62"/>
      <c r="N112" s="62"/>
      <c r="O112" s="62"/>
      <c r="P112" s="62"/>
      <c r="Q112" s="62"/>
      <c r="R112" s="62"/>
      <c r="S112" s="62"/>
      <c r="T112" s="62"/>
      <c r="U112" s="62"/>
      <c r="V112" s="62"/>
      <c r="W112" s="62"/>
      <c r="X112" s="62"/>
      <c r="Y112" s="62"/>
      <c r="Z112" s="62"/>
      <c r="AA112" s="62"/>
      <c r="AB112" s="62"/>
      <c r="AC112" s="62"/>
    </row>
    <row r="113" spans="1:29" x14ac:dyDescent="0.3">
      <c r="A113" s="124" t="s">
        <v>1891</v>
      </c>
      <c r="B113" s="112">
        <v>0</v>
      </c>
      <c r="C113" s="112">
        <v>0</v>
      </c>
      <c r="D113" s="112">
        <v>0</v>
      </c>
      <c r="E113" s="112">
        <v>0</v>
      </c>
      <c r="F113" s="113">
        <v>0</v>
      </c>
      <c r="G113"/>
      <c r="H113"/>
      <c r="I113"/>
      <c r="J113"/>
      <c r="K113"/>
      <c r="L113" s="62"/>
      <c r="M113" s="62"/>
      <c r="N113" s="62"/>
      <c r="O113" s="62"/>
      <c r="P113" s="62"/>
      <c r="Q113" s="62"/>
      <c r="R113" s="62"/>
      <c r="S113" s="62"/>
      <c r="T113" s="62"/>
      <c r="U113" s="62"/>
      <c r="V113" s="62"/>
      <c r="W113" s="62"/>
      <c r="X113" s="62"/>
      <c r="Y113" s="62"/>
      <c r="Z113" s="62"/>
      <c r="AA113" s="62"/>
      <c r="AB113" s="62"/>
      <c r="AC113" s="62"/>
    </row>
    <row r="114" spans="1:29" x14ac:dyDescent="0.3">
      <c r="A114" s="124" t="s">
        <v>1892</v>
      </c>
      <c r="B114" s="112">
        <v>0</v>
      </c>
      <c r="C114" s="112">
        <v>0</v>
      </c>
      <c r="D114" s="112">
        <v>0</v>
      </c>
      <c r="E114" s="112">
        <v>0</v>
      </c>
      <c r="F114" s="113">
        <v>0</v>
      </c>
      <c r="G114"/>
      <c r="H114"/>
      <c r="I114"/>
      <c r="J114"/>
      <c r="K114"/>
      <c r="L114" s="62"/>
      <c r="M114" s="62"/>
      <c r="N114" s="62"/>
      <c r="O114" s="62"/>
      <c r="P114" s="62"/>
      <c r="Q114" s="62"/>
      <c r="R114" s="62"/>
      <c r="S114" s="62"/>
      <c r="T114" s="62"/>
      <c r="U114" s="62"/>
      <c r="V114" s="62"/>
      <c r="W114" s="62"/>
      <c r="X114" s="62"/>
      <c r="Y114" s="62"/>
      <c r="Z114" s="62"/>
      <c r="AA114" s="62"/>
      <c r="AB114" s="62"/>
      <c r="AC114" s="62"/>
    </row>
    <row r="115" spans="1:29" x14ac:dyDescent="0.3">
      <c r="A115" s="124" t="s">
        <v>1927</v>
      </c>
      <c r="B115" s="112">
        <v>0</v>
      </c>
      <c r="C115" s="112">
        <v>0</v>
      </c>
      <c r="D115" s="112">
        <v>0</v>
      </c>
      <c r="E115" s="112">
        <v>0</v>
      </c>
      <c r="F115" s="113">
        <v>0</v>
      </c>
      <c r="G115"/>
      <c r="H115"/>
      <c r="I115"/>
      <c r="J115"/>
      <c r="K115"/>
      <c r="L115" s="62"/>
      <c r="M115" s="62"/>
      <c r="N115" s="62"/>
      <c r="O115" s="62"/>
      <c r="P115" s="62"/>
      <c r="Q115" s="62"/>
      <c r="R115" s="62"/>
      <c r="S115" s="62"/>
      <c r="T115" s="62"/>
      <c r="U115" s="62"/>
      <c r="V115" s="62"/>
      <c r="W115" s="62"/>
      <c r="X115" s="62"/>
      <c r="Y115" s="62"/>
      <c r="Z115" s="62"/>
      <c r="AA115" s="62"/>
      <c r="AB115" s="62"/>
      <c r="AC115" s="62"/>
    </row>
    <row r="116" spans="1:29" x14ac:dyDescent="0.3">
      <c r="A116" s="124" t="s">
        <v>1928</v>
      </c>
      <c r="B116" s="112">
        <v>0</v>
      </c>
      <c r="C116" s="112">
        <v>0</v>
      </c>
      <c r="D116" s="112">
        <v>0</v>
      </c>
      <c r="E116" s="112">
        <v>0</v>
      </c>
      <c r="F116" s="113">
        <v>0</v>
      </c>
      <c r="G116"/>
      <c r="H116"/>
      <c r="I116"/>
      <c r="J116"/>
      <c r="K116"/>
      <c r="L116" s="62"/>
      <c r="M116" s="62"/>
      <c r="N116" s="62"/>
      <c r="O116" s="62"/>
      <c r="P116" s="62"/>
      <c r="Q116" s="62"/>
      <c r="R116" s="62"/>
      <c r="S116" s="62"/>
      <c r="T116" s="62"/>
      <c r="U116" s="62"/>
      <c r="V116" s="62"/>
      <c r="W116" s="62"/>
      <c r="X116" s="62"/>
      <c r="Y116" s="62"/>
      <c r="Z116" s="62"/>
      <c r="AA116" s="62"/>
      <c r="AB116" s="62"/>
      <c r="AC116" s="62"/>
    </row>
    <row r="117" spans="1:29" x14ac:dyDescent="0.3">
      <c r="A117" s="124" t="s">
        <v>1893</v>
      </c>
      <c r="B117" s="112">
        <v>0</v>
      </c>
      <c r="C117" s="112">
        <v>0</v>
      </c>
      <c r="D117" s="112">
        <v>0</v>
      </c>
      <c r="E117" s="112">
        <v>0</v>
      </c>
      <c r="F117" s="113">
        <v>0</v>
      </c>
      <c r="G117"/>
      <c r="H117"/>
      <c r="I117"/>
      <c r="J117"/>
      <c r="K117"/>
      <c r="L117" s="62"/>
      <c r="M117" s="62"/>
      <c r="N117" s="62"/>
      <c r="O117" s="62"/>
      <c r="P117" s="62"/>
      <c r="Q117" s="62"/>
      <c r="R117" s="62"/>
      <c r="S117" s="62"/>
      <c r="T117" s="62"/>
      <c r="U117" s="62"/>
      <c r="V117" s="62"/>
      <c r="W117" s="62"/>
      <c r="X117" s="62"/>
      <c r="Y117" s="62"/>
      <c r="Z117" s="62"/>
      <c r="AA117" s="62"/>
      <c r="AB117" s="62"/>
      <c r="AC117" s="62"/>
    </row>
    <row r="118" spans="1:29" s="53" customFormat="1" x14ac:dyDescent="0.3">
      <c r="A118" s="125" t="s">
        <v>208</v>
      </c>
      <c r="B118" s="127">
        <v>153318.39999999999</v>
      </c>
      <c r="C118" s="127">
        <v>367790.16000000003</v>
      </c>
      <c r="D118" s="127">
        <v>356882.26000000007</v>
      </c>
      <c r="E118" s="127">
        <v>6820749.0899999999</v>
      </c>
      <c r="F118" s="128">
        <v>7698739.9100000001</v>
      </c>
      <c r="G118"/>
      <c r="H118"/>
      <c r="I118"/>
      <c r="J118"/>
      <c r="K118"/>
      <c r="L118" s="62"/>
      <c r="M118" s="62"/>
      <c r="N118" s="62"/>
      <c r="O118" s="62"/>
      <c r="P118" s="62"/>
      <c r="Q118" s="62"/>
      <c r="R118" s="62"/>
      <c r="S118" s="62"/>
      <c r="T118" s="62"/>
      <c r="U118" s="62"/>
      <c r="V118" s="62"/>
      <c r="W118" s="62"/>
      <c r="X118" s="62"/>
      <c r="Y118" s="62"/>
      <c r="Z118" s="62"/>
      <c r="AA118" s="62"/>
      <c r="AB118" s="62"/>
      <c r="AC118" s="62"/>
    </row>
    <row r="119" spans="1:29" s="53" customFormat="1" x14ac:dyDescent="0.3">
      <c r="A119" s="119" t="s">
        <v>1900</v>
      </c>
      <c r="B119" s="129">
        <v>0</v>
      </c>
      <c r="C119" s="129">
        <v>758.41</v>
      </c>
      <c r="D119" s="129">
        <v>10676.17</v>
      </c>
      <c r="E119" s="129">
        <v>466036.06</v>
      </c>
      <c r="F119" s="130">
        <v>477470.64</v>
      </c>
      <c r="G119"/>
      <c r="H119"/>
      <c r="I119"/>
      <c r="J119"/>
      <c r="K119"/>
      <c r="L119" s="62"/>
      <c r="M119" s="62"/>
      <c r="N119" s="62"/>
      <c r="O119" s="62"/>
      <c r="P119" s="62"/>
      <c r="Q119" s="62"/>
      <c r="R119" s="62"/>
      <c r="S119" s="62"/>
      <c r="T119" s="62"/>
      <c r="U119" s="62"/>
      <c r="V119" s="62"/>
      <c r="W119" s="62"/>
      <c r="X119" s="62"/>
      <c r="Y119" s="62"/>
      <c r="Z119" s="62"/>
      <c r="AA119" s="62"/>
      <c r="AB119" s="62"/>
      <c r="AC119" s="62"/>
    </row>
    <row r="120" spans="1:29" x14ac:dyDescent="0.3">
      <c r="A120" s="124" t="s">
        <v>1895</v>
      </c>
      <c r="B120" s="112">
        <v>0</v>
      </c>
      <c r="C120" s="112">
        <v>0</v>
      </c>
      <c r="D120" s="112">
        <v>0</v>
      </c>
      <c r="E120" s="112">
        <v>0</v>
      </c>
      <c r="F120" s="113">
        <v>0</v>
      </c>
      <c r="G120"/>
      <c r="H120"/>
      <c r="I120"/>
      <c r="J120"/>
      <c r="K120"/>
      <c r="L120" s="62"/>
      <c r="M120" s="62"/>
      <c r="N120" s="62"/>
      <c r="O120" s="62"/>
      <c r="P120" s="62"/>
      <c r="Q120" s="62"/>
      <c r="R120" s="62"/>
      <c r="S120" s="62"/>
      <c r="T120" s="62"/>
      <c r="U120" s="62"/>
      <c r="V120" s="62"/>
      <c r="W120" s="62"/>
      <c r="X120" s="62"/>
      <c r="Y120" s="62"/>
      <c r="Z120" s="62"/>
      <c r="AA120" s="62"/>
      <c r="AB120" s="62"/>
      <c r="AC120" s="62"/>
    </row>
    <row r="121" spans="1:29" x14ac:dyDescent="0.3">
      <c r="A121" s="124" t="s">
        <v>1896</v>
      </c>
      <c r="B121" s="112">
        <v>0</v>
      </c>
      <c r="C121" s="112">
        <v>756.41</v>
      </c>
      <c r="D121" s="112">
        <v>3023.67</v>
      </c>
      <c r="E121" s="112">
        <v>38106.559999999998</v>
      </c>
      <c r="F121" s="113">
        <v>41886.639999999999</v>
      </c>
      <c r="G121"/>
      <c r="H121"/>
      <c r="I121"/>
      <c r="J121"/>
      <c r="K121"/>
      <c r="L121" s="62"/>
      <c r="M121" s="62"/>
      <c r="N121" s="62"/>
      <c r="O121" s="62"/>
      <c r="P121" s="62"/>
      <c r="Q121" s="62"/>
      <c r="R121" s="62"/>
      <c r="S121" s="62"/>
      <c r="T121" s="62"/>
      <c r="U121" s="62"/>
      <c r="V121" s="62"/>
      <c r="W121" s="62"/>
      <c r="X121" s="62"/>
      <c r="Y121" s="62"/>
      <c r="Z121" s="62"/>
      <c r="AA121" s="62"/>
      <c r="AB121" s="62"/>
      <c r="AC121" s="62"/>
    </row>
    <row r="122" spans="1:29" x14ac:dyDescent="0.3">
      <c r="A122" s="124" t="s">
        <v>1897</v>
      </c>
      <c r="B122" s="112">
        <v>0</v>
      </c>
      <c r="C122" s="112">
        <v>0</v>
      </c>
      <c r="D122" s="112">
        <v>2062.17</v>
      </c>
      <c r="E122" s="112">
        <v>27210.17</v>
      </c>
      <c r="F122" s="113">
        <v>29272.34</v>
      </c>
      <c r="G122"/>
      <c r="H122"/>
      <c r="I122"/>
      <c r="J122"/>
      <c r="K122"/>
      <c r="L122" s="62"/>
      <c r="M122" s="62"/>
      <c r="N122" s="62"/>
      <c r="O122" s="62"/>
      <c r="P122" s="62"/>
      <c r="Q122" s="62"/>
      <c r="R122" s="62"/>
      <c r="S122" s="62"/>
      <c r="T122" s="62"/>
      <c r="U122" s="62"/>
      <c r="V122" s="62"/>
      <c r="W122" s="62"/>
      <c r="X122" s="62"/>
      <c r="Y122" s="62"/>
      <c r="Z122" s="62"/>
      <c r="AA122" s="62"/>
      <c r="AB122" s="62"/>
      <c r="AC122" s="62"/>
    </row>
    <row r="123" spans="1:29" x14ac:dyDescent="0.3">
      <c r="A123" s="124" t="s">
        <v>1898</v>
      </c>
      <c r="B123" s="112">
        <v>0</v>
      </c>
      <c r="C123" s="112">
        <v>0</v>
      </c>
      <c r="D123" s="112">
        <v>1651.51</v>
      </c>
      <c r="E123" s="112">
        <v>36147.15</v>
      </c>
      <c r="F123" s="113">
        <v>37798.660000000003</v>
      </c>
      <c r="G123"/>
      <c r="H123"/>
      <c r="I123"/>
      <c r="J123"/>
      <c r="K123"/>
      <c r="L123" s="62"/>
      <c r="M123" s="62"/>
      <c r="N123" s="62"/>
      <c r="O123" s="62"/>
      <c r="P123" s="62"/>
      <c r="Q123" s="62"/>
      <c r="R123" s="62"/>
      <c r="S123" s="62"/>
      <c r="T123" s="62"/>
      <c r="U123" s="62"/>
      <c r="V123" s="62"/>
      <c r="W123" s="62"/>
      <c r="X123" s="62"/>
      <c r="Y123" s="62"/>
      <c r="Z123" s="62"/>
      <c r="AA123" s="62"/>
      <c r="AB123" s="62"/>
      <c r="AC123" s="62"/>
    </row>
    <row r="124" spans="1:29" x14ac:dyDescent="0.3">
      <c r="A124" s="124" t="s">
        <v>1899</v>
      </c>
      <c r="B124" s="112">
        <v>0</v>
      </c>
      <c r="C124" s="112">
        <v>2</v>
      </c>
      <c r="D124" s="112">
        <v>3938.82</v>
      </c>
      <c r="E124" s="112">
        <v>364572.18</v>
      </c>
      <c r="F124" s="113">
        <v>368513</v>
      </c>
      <c r="G124"/>
      <c r="H124"/>
      <c r="I124"/>
      <c r="J124"/>
      <c r="K124"/>
      <c r="L124" s="62"/>
      <c r="M124" s="62"/>
      <c r="N124" s="62"/>
      <c r="O124" s="62"/>
      <c r="P124" s="62"/>
      <c r="Q124" s="62"/>
      <c r="R124" s="62"/>
      <c r="S124" s="62"/>
      <c r="T124" s="62"/>
      <c r="U124" s="62"/>
      <c r="V124" s="62"/>
      <c r="W124" s="62"/>
      <c r="X124" s="62"/>
      <c r="Y124" s="62"/>
      <c r="Z124" s="62"/>
      <c r="AA124" s="62"/>
      <c r="AB124" s="62"/>
      <c r="AC124" s="62"/>
    </row>
    <row r="125" spans="1:29" s="53" customFormat="1" x14ac:dyDescent="0.3">
      <c r="A125" s="119" t="s">
        <v>1904</v>
      </c>
      <c r="B125" s="129">
        <v>36271.269999999997</v>
      </c>
      <c r="C125" s="129">
        <v>245327.37</v>
      </c>
      <c r="D125" s="129">
        <v>246863.04</v>
      </c>
      <c r="E125" s="129">
        <v>3896308.73</v>
      </c>
      <c r="F125" s="130">
        <v>4424770.41</v>
      </c>
      <c r="G125"/>
      <c r="H125"/>
      <c r="I125"/>
      <c r="J125"/>
      <c r="K125"/>
      <c r="L125" s="62"/>
      <c r="M125" s="62"/>
      <c r="N125" s="62"/>
      <c r="O125" s="62"/>
      <c r="P125" s="62"/>
      <c r="Q125" s="62"/>
      <c r="R125" s="62"/>
      <c r="S125" s="62"/>
      <c r="T125" s="62"/>
      <c r="U125" s="62"/>
      <c r="V125" s="62"/>
      <c r="W125" s="62"/>
      <c r="X125" s="62"/>
      <c r="Y125" s="62"/>
      <c r="Z125" s="62"/>
      <c r="AA125" s="62"/>
      <c r="AB125" s="62"/>
      <c r="AC125" s="62"/>
    </row>
    <row r="126" spans="1:29" x14ac:dyDescent="0.3">
      <c r="A126" s="124" t="s">
        <v>1901</v>
      </c>
      <c r="B126" s="112">
        <v>0</v>
      </c>
      <c r="C126" s="112">
        <v>0</v>
      </c>
      <c r="D126" s="112">
        <v>0.04</v>
      </c>
      <c r="E126" s="112">
        <v>0</v>
      </c>
      <c r="F126" s="113">
        <v>0.04</v>
      </c>
      <c r="G126"/>
      <c r="H126"/>
      <c r="I126"/>
      <c r="J126"/>
      <c r="K126"/>
      <c r="L126" s="62"/>
      <c r="M126" s="62"/>
      <c r="N126" s="62"/>
      <c r="O126" s="62"/>
      <c r="P126" s="62"/>
      <c r="Q126" s="62"/>
      <c r="R126" s="62"/>
      <c r="S126" s="62"/>
      <c r="T126" s="62"/>
      <c r="U126" s="62"/>
      <c r="V126" s="62"/>
      <c r="W126" s="62"/>
      <c r="X126" s="62"/>
      <c r="Y126" s="62"/>
      <c r="Z126" s="62"/>
      <c r="AA126" s="62"/>
      <c r="AB126" s="62"/>
      <c r="AC126" s="62"/>
    </row>
    <row r="127" spans="1:29" x14ac:dyDescent="0.3">
      <c r="A127" s="124" t="s">
        <v>1902</v>
      </c>
      <c r="B127" s="112">
        <v>8975.93</v>
      </c>
      <c r="C127" s="112">
        <v>23787.79</v>
      </c>
      <c r="D127" s="112">
        <v>30322.11</v>
      </c>
      <c r="E127" s="112">
        <v>627156.68000000005</v>
      </c>
      <c r="F127" s="113">
        <v>690242.51</v>
      </c>
      <c r="G127"/>
      <c r="H127"/>
      <c r="I127"/>
      <c r="J127"/>
      <c r="K127"/>
      <c r="L127" s="62"/>
      <c r="M127" s="62"/>
      <c r="N127" s="62"/>
      <c r="O127" s="62"/>
      <c r="P127" s="62"/>
      <c r="Q127" s="62"/>
      <c r="R127" s="62"/>
      <c r="S127" s="62"/>
      <c r="T127" s="62"/>
      <c r="U127" s="62"/>
      <c r="V127" s="62"/>
      <c r="W127" s="62"/>
      <c r="X127" s="62"/>
      <c r="Y127" s="62"/>
      <c r="Z127" s="62"/>
      <c r="AA127" s="62"/>
      <c r="AB127" s="62"/>
      <c r="AC127" s="62"/>
    </row>
    <row r="128" spans="1:29" x14ac:dyDescent="0.3">
      <c r="A128" s="124" t="s">
        <v>1903</v>
      </c>
      <c r="B128" s="112">
        <v>8805.2000000000007</v>
      </c>
      <c r="C128" s="112">
        <v>20756.02</v>
      </c>
      <c r="D128" s="112">
        <v>28021.45</v>
      </c>
      <c r="E128" s="112">
        <v>716490.04</v>
      </c>
      <c r="F128" s="113">
        <v>774072.71</v>
      </c>
      <c r="G128"/>
      <c r="H128"/>
      <c r="I128"/>
      <c r="J128"/>
      <c r="K128"/>
      <c r="L128" s="62"/>
      <c r="M128" s="62"/>
      <c r="N128" s="62"/>
      <c r="O128" s="62"/>
      <c r="P128" s="62"/>
      <c r="Q128" s="62"/>
      <c r="R128" s="62"/>
      <c r="S128" s="62"/>
      <c r="T128" s="62"/>
      <c r="U128" s="62"/>
      <c r="V128" s="62"/>
      <c r="W128" s="62"/>
      <c r="X128" s="62"/>
      <c r="Y128" s="62"/>
      <c r="Z128" s="62"/>
      <c r="AA128" s="62"/>
      <c r="AB128" s="62"/>
      <c r="AC128" s="62"/>
    </row>
    <row r="129" spans="1:29" x14ac:dyDescent="0.3">
      <c r="A129" s="124" t="s">
        <v>1929</v>
      </c>
      <c r="B129" s="112">
        <v>18490.139999999996</v>
      </c>
      <c r="C129" s="112">
        <v>200783.56</v>
      </c>
      <c r="D129" s="112">
        <v>188519.44</v>
      </c>
      <c r="E129" s="112">
        <v>2552662.0099999998</v>
      </c>
      <c r="F129" s="113">
        <v>2960455.15</v>
      </c>
      <c r="G129"/>
      <c r="H129"/>
      <c r="I129"/>
      <c r="J129"/>
      <c r="K129"/>
      <c r="L129" s="62"/>
      <c r="M129" s="62"/>
      <c r="N129" s="62"/>
      <c r="O129" s="62"/>
      <c r="P129" s="62"/>
      <c r="Q129" s="62"/>
      <c r="R129" s="62"/>
      <c r="S129" s="62"/>
      <c r="T129" s="62"/>
      <c r="U129" s="62"/>
      <c r="V129" s="62"/>
      <c r="W129" s="62"/>
      <c r="X129" s="62"/>
      <c r="Y129" s="62"/>
      <c r="Z129" s="62"/>
      <c r="AA129" s="62"/>
      <c r="AB129" s="62"/>
      <c r="AC129" s="62"/>
    </row>
    <row r="130" spans="1:29" s="53" customFormat="1" x14ac:dyDescent="0.3">
      <c r="A130" s="119" t="s">
        <v>1905</v>
      </c>
      <c r="B130" s="129">
        <v>29090.449999999997</v>
      </c>
      <c r="C130" s="129">
        <v>91226.28</v>
      </c>
      <c r="D130" s="129">
        <v>39101.339999999997</v>
      </c>
      <c r="E130" s="129">
        <v>814898.83000000007</v>
      </c>
      <c r="F130" s="130">
        <v>974316.89999999991</v>
      </c>
      <c r="G130"/>
      <c r="H130"/>
      <c r="I130"/>
      <c r="J130"/>
      <c r="K130"/>
      <c r="L130" s="62"/>
      <c r="M130" s="62"/>
      <c r="N130" s="62"/>
      <c r="O130" s="62"/>
      <c r="P130" s="62"/>
      <c r="Q130" s="62"/>
      <c r="R130" s="62"/>
      <c r="S130" s="62"/>
      <c r="T130" s="62"/>
      <c r="U130" s="62"/>
      <c r="V130" s="62"/>
      <c r="W130" s="62"/>
      <c r="X130" s="62"/>
      <c r="Y130" s="62"/>
      <c r="Z130" s="62"/>
      <c r="AA130" s="62"/>
      <c r="AB130" s="62"/>
      <c r="AC130" s="62"/>
    </row>
    <row r="131" spans="1:29" x14ac:dyDescent="0.3">
      <c r="A131" s="124" t="s">
        <v>1930</v>
      </c>
      <c r="B131" s="112">
        <v>0</v>
      </c>
      <c r="C131" s="112">
        <v>0</v>
      </c>
      <c r="D131" s="112">
        <v>0</v>
      </c>
      <c r="E131" s="112">
        <v>0</v>
      </c>
      <c r="F131" s="113">
        <v>0</v>
      </c>
      <c r="G131"/>
      <c r="H131"/>
      <c r="I131"/>
      <c r="J131"/>
      <c r="K131"/>
      <c r="L131" s="62"/>
      <c r="M131" s="62"/>
      <c r="N131" s="62"/>
      <c r="O131" s="62"/>
      <c r="P131" s="62"/>
      <c r="Q131" s="62"/>
      <c r="R131" s="62"/>
      <c r="S131" s="62"/>
      <c r="T131" s="62"/>
      <c r="U131" s="62"/>
      <c r="V131" s="62"/>
      <c r="W131" s="62"/>
      <c r="X131" s="62"/>
      <c r="Y131" s="62"/>
      <c r="Z131" s="62"/>
      <c r="AA131" s="62"/>
      <c r="AB131" s="62"/>
      <c r="AC131" s="62"/>
    </row>
    <row r="132" spans="1:29" x14ac:dyDescent="0.3">
      <c r="A132" s="124" t="s">
        <v>1931</v>
      </c>
      <c r="B132" s="112">
        <v>2706.1600000000003</v>
      </c>
      <c r="C132" s="112">
        <v>18318.18</v>
      </c>
      <c r="D132" s="112">
        <v>4220.7</v>
      </c>
      <c r="E132" s="112">
        <v>45260.38</v>
      </c>
      <c r="F132" s="113">
        <v>70505.42</v>
      </c>
      <c r="G132"/>
      <c r="H132"/>
      <c r="I132"/>
      <c r="J132"/>
      <c r="K132"/>
      <c r="L132" s="62"/>
      <c r="M132" s="62"/>
      <c r="N132" s="62"/>
      <c r="O132" s="62"/>
      <c r="P132" s="62"/>
      <c r="Q132" s="62"/>
      <c r="R132" s="62"/>
      <c r="S132" s="62"/>
      <c r="T132" s="62"/>
      <c r="U132" s="62"/>
      <c r="V132" s="62"/>
      <c r="W132" s="62"/>
      <c r="X132" s="62"/>
      <c r="Y132" s="62"/>
      <c r="Z132" s="62"/>
      <c r="AA132" s="62"/>
      <c r="AB132" s="62"/>
      <c r="AC132" s="62"/>
    </row>
    <row r="133" spans="1:29" x14ac:dyDescent="0.3">
      <c r="A133" s="124" t="s">
        <v>1932</v>
      </c>
      <c r="B133" s="112">
        <v>19323.87</v>
      </c>
      <c r="C133" s="112">
        <v>55690.64</v>
      </c>
      <c r="D133" s="112">
        <v>19382.03</v>
      </c>
      <c r="E133" s="112">
        <v>368488.45</v>
      </c>
      <c r="F133" s="113">
        <v>462884.98999999993</v>
      </c>
      <c r="G133"/>
      <c r="H133"/>
      <c r="I133"/>
      <c r="J133"/>
      <c r="K133"/>
      <c r="L133" s="62"/>
      <c r="M133" s="62"/>
      <c r="N133" s="62"/>
      <c r="O133" s="62"/>
      <c r="P133" s="62"/>
      <c r="Q133" s="62"/>
      <c r="R133" s="62"/>
      <c r="S133" s="62"/>
      <c r="T133" s="62"/>
      <c r="U133" s="62"/>
      <c r="V133" s="62"/>
      <c r="W133" s="62"/>
      <c r="X133" s="62"/>
      <c r="Y133" s="62"/>
      <c r="Z133" s="62"/>
      <c r="AA133" s="62"/>
      <c r="AB133" s="62"/>
      <c r="AC133" s="62"/>
    </row>
    <row r="134" spans="1:29" x14ac:dyDescent="0.3">
      <c r="A134" s="124" t="s">
        <v>1933</v>
      </c>
      <c r="B134" s="112">
        <v>7060.42</v>
      </c>
      <c r="C134" s="112">
        <v>17217.46</v>
      </c>
      <c r="D134" s="112">
        <v>15498.61</v>
      </c>
      <c r="E134" s="112">
        <v>401150</v>
      </c>
      <c r="F134" s="113">
        <v>440926.49</v>
      </c>
      <c r="G134"/>
      <c r="H134"/>
      <c r="I134"/>
      <c r="J134"/>
      <c r="K134"/>
      <c r="L134" s="62"/>
      <c r="M134" s="62"/>
      <c r="N134" s="62"/>
      <c r="O134" s="62"/>
      <c r="P134" s="62"/>
      <c r="Q134" s="62"/>
      <c r="R134" s="62"/>
      <c r="S134" s="62"/>
      <c r="T134" s="62"/>
      <c r="U134" s="62"/>
      <c r="V134" s="62"/>
      <c r="W134" s="62"/>
      <c r="X134" s="62"/>
      <c r="Y134" s="62"/>
      <c r="Z134" s="62"/>
      <c r="AA134" s="62"/>
      <c r="AB134" s="62"/>
      <c r="AC134" s="62"/>
    </row>
    <row r="135" spans="1:29" s="53" customFormat="1" x14ac:dyDescent="0.3">
      <c r="A135" s="119" t="s">
        <v>1906</v>
      </c>
      <c r="B135" s="129">
        <v>87956.68</v>
      </c>
      <c r="C135" s="129">
        <v>17479.509999999998</v>
      </c>
      <c r="D135" s="129">
        <v>60241.710000000006</v>
      </c>
      <c r="E135" s="129">
        <v>1622516.71</v>
      </c>
      <c r="F135" s="130">
        <v>1788194.6100000003</v>
      </c>
      <c r="G135"/>
      <c r="H135"/>
      <c r="I135"/>
      <c r="J135"/>
      <c r="K135"/>
      <c r="L135" s="62"/>
      <c r="M135" s="62"/>
      <c r="N135" s="62"/>
      <c r="O135" s="62"/>
      <c r="P135" s="62"/>
      <c r="Q135" s="62"/>
      <c r="R135" s="62"/>
      <c r="S135" s="62"/>
      <c r="T135" s="62"/>
      <c r="U135" s="62"/>
      <c r="V135" s="62"/>
      <c r="W135" s="62"/>
      <c r="X135" s="62"/>
      <c r="Y135" s="62"/>
      <c r="Z135" s="62"/>
      <c r="AA135" s="62"/>
      <c r="AB135" s="62"/>
      <c r="AC135" s="62"/>
    </row>
    <row r="136" spans="1:29" x14ac:dyDescent="0.3">
      <c r="A136" s="124" t="s">
        <v>1934</v>
      </c>
      <c r="B136" s="112">
        <v>0</v>
      </c>
      <c r="C136" s="112">
        <v>0</v>
      </c>
      <c r="D136" s="112">
        <v>0.03</v>
      </c>
      <c r="E136" s="112">
        <v>0</v>
      </c>
      <c r="F136" s="113">
        <v>0.03</v>
      </c>
      <c r="G136"/>
      <c r="H136"/>
      <c r="I136"/>
      <c r="J136"/>
      <c r="K136"/>
      <c r="L136" s="62"/>
      <c r="M136" s="62"/>
      <c r="N136" s="62"/>
      <c r="O136" s="62"/>
      <c r="P136" s="62"/>
      <c r="Q136" s="62"/>
      <c r="R136" s="62"/>
      <c r="S136" s="62"/>
      <c r="T136" s="62"/>
      <c r="U136" s="62"/>
      <c r="V136" s="62"/>
      <c r="W136" s="62"/>
      <c r="X136" s="62"/>
      <c r="Y136" s="62"/>
      <c r="Z136" s="62"/>
      <c r="AA136" s="62"/>
      <c r="AB136" s="62"/>
      <c r="AC136" s="62"/>
    </row>
    <row r="137" spans="1:29" x14ac:dyDescent="0.3">
      <c r="A137" s="124" t="s">
        <v>1935</v>
      </c>
      <c r="B137" s="112">
        <v>17318.53</v>
      </c>
      <c r="C137" s="112">
        <v>3263.76</v>
      </c>
      <c r="D137" s="112">
        <v>13415.51</v>
      </c>
      <c r="E137" s="112">
        <v>49887.86</v>
      </c>
      <c r="F137" s="113">
        <v>83885.66</v>
      </c>
      <c r="G137"/>
      <c r="H137"/>
      <c r="I137"/>
      <c r="J137"/>
      <c r="K137"/>
      <c r="L137" s="62"/>
      <c r="M137" s="62"/>
      <c r="N137" s="62"/>
      <c r="O137" s="62"/>
      <c r="P137" s="62"/>
      <c r="Q137" s="62"/>
      <c r="R137" s="62"/>
      <c r="S137" s="62"/>
      <c r="T137" s="62"/>
      <c r="U137" s="62"/>
      <c r="V137" s="62"/>
      <c r="W137" s="62"/>
      <c r="X137" s="62"/>
      <c r="Y137" s="62"/>
      <c r="Z137" s="62"/>
      <c r="AA137" s="62"/>
      <c r="AB137" s="62"/>
      <c r="AC137" s="62"/>
    </row>
    <row r="138" spans="1:29" x14ac:dyDescent="0.3">
      <c r="A138" s="124" t="s">
        <v>1936</v>
      </c>
      <c r="B138" s="112">
        <v>12099.33</v>
      </c>
      <c r="C138" s="112">
        <v>2810.56</v>
      </c>
      <c r="D138" s="112">
        <v>13968.64</v>
      </c>
      <c r="E138" s="112">
        <v>52377.760000000002</v>
      </c>
      <c r="F138" s="113">
        <v>81256.290000000008</v>
      </c>
      <c r="G138"/>
      <c r="H138"/>
      <c r="I138"/>
      <c r="J138"/>
      <c r="K138"/>
      <c r="L138" s="62"/>
      <c r="M138" s="62"/>
      <c r="N138" s="62"/>
      <c r="O138" s="62"/>
      <c r="P138" s="62"/>
      <c r="Q138" s="62"/>
      <c r="R138" s="62"/>
      <c r="S138" s="62"/>
      <c r="T138" s="62"/>
      <c r="U138" s="62"/>
      <c r="V138" s="62"/>
      <c r="W138" s="62"/>
      <c r="X138" s="62"/>
      <c r="Y138" s="62"/>
      <c r="Z138" s="62"/>
      <c r="AA138" s="62"/>
      <c r="AB138" s="62"/>
      <c r="AC138" s="62"/>
    </row>
    <row r="139" spans="1:29" x14ac:dyDescent="0.3">
      <c r="A139" s="124" t="s">
        <v>1937</v>
      </c>
      <c r="B139" s="112">
        <v>16608.759999999998</v>
      </c>
      <c r="C139" s="112">
        <v>3911.74</v>
      </c>
      <c r="D139" s="112">
        <v>12023.97</v>
      </c>
      <c r="E139" s="112">
        <v>136121.24</v>
      </c>
      <c r="F139" s="113">
        <v>168665.71000000002</v>
      </c>
      <c r="G139"/>
      <c r="H139"/>
      <c r="I139"/>
      <c r="J139"/>
      <c r="K139"/>
      <c r="L139" s="62"/>
      <c r="M139" s="62"/>
      <c r="N139" s="62"/>
      <c r="O139" s="62"/>
      <c r="P139" s="62"/>
      <c r="Q139" s="62"/>
      <c r="R139" s="62"/>
      <c r="S139" s="62"/>
      <c r="T139" s="62"/>
      <c r="U139" s="62"/>
      <c r="V139" s="62"/>
      <c r="W139" s="62"/>
      <c r="X139" s="62"/>
      <c r="Y139" s="62"/>
      <c r="Z139" s="62"/>
      <c r="AA139" s="62"/>
      <c r="AB139" s="62"/>
      <c r="AC139" s="62"/>
    </row>
    <row r="140" spans="1:29" x14ac:dyDescent="0.3">
      <c r="A140" s="124" t="s">
        <v>1938</v>
      </c>
      <c r="B140" s="112">
        <v>41930.06</v>
      </c>
      <c r="C140" s="112">
        <v>7493.45</v>
      </c>
      <c r="D140" s="112">
        <v>20833.560000000001</v>
      </c>
      <c r="E140" s="112">
        <v>1384129.85</v>
      </c>
      <c r="F140" s="113">
        <v>1454386.9200000002</v>
      </c>
      <c r="G140"/>
      <c r="H140"/>
      <c r="I140"/>
      <c r="J140"/>
      <c r="K140"/>
      <c r="L140" s="62"/>
      <c r="M140" s="62"/>
      <c r="N140" s="62"/>
      <c r="O140" s="62"/>
      <c r="P140" s="62"/>
      <c r="Q140" s="62"/>
      <c r="R140" s="62"/>
      <c r="S140" s="62"/>
      <c r="T140" s="62"/>
      <c r="U140" s="62"/>
      <c r="V140" s="62"/>
      <c r="W140" s="62"/>
      <c r="X140" s="62"/>
      <c r="Y140" s="62"/>
      <c r="Z140" s="62"/>
      <c r="AA140" s="62"/>
      <c r="AB140" s="62"/>
      <c r="AC140" s="62"/>
    </row>
    <row r="141" spans="1:29" s="53" customFormat="1" x14ac:dyDescent="0.3">
      <c r="A141" s="119" t="s">
        <v>1912</v>
      </c>
      <c r="B141" s="129">
        <v>0</v>
      </c>
      <c r="C141" s="129">
        <v>0</v>
      </c>
      <c r="D141" s="129">
        <v>0</v>
      </c>
      <c r="E141" s="129">
        <v>0</v>
      </c>
      <c r="F141" s="130">
        <v>0</v>
      </c>
      <c r="G141"/>
      <c r="H141"/>
      <c r="I141"/>
      <c r="J141"/>
      <c r="K141"/>
      <c r="L141" s="62"/>
      <c r="M141" s="62"/>
      <c r="N141" s="62"/>
      <c r="O141" s="62"/>
      <c r="P141" s="62"/>
      <c r="Q141" s="62"/>
      <c r="R141" s="62"/>
      <c r="S141" s="62"/>
      <c r="T141" s="62"/>
      <c r="U141" s="62"/>
      <c r="V141" s="62"/>
      <c r="W141" s="62"/>
      <c r="X141" s="62"/>
      <c r="Y141" s="62"/>
      <c r="Z141" s="62"/>
      <c r="AA141" s="62"/>
      <c r="AB141" s="62"/>
      <c r="AC141" s="62"/>
    </row>
    <row r="142" spans="1:29" x14ac:dyDescent="0.3">
      <c r="A142" s="124" t="s">
        <v>1907</v>
      </c>
      <c r="B142" s="112">
        <v>0</v>
      </c>
      <c r="C142" s="112">
        <v>0</v>
      </c>
      <c r="D142" s="112">
        <v>0</v>
      </c>
      <c r="E142" s="112">
        <v>0</v>
      </c>
      <c r="F142" s="113">
        <v>0</v>
      </c>
      <c r="G142"/>
      <c r="H142"/>
      <c r="I142"/>
      <c r="J142"/>
      <c r="K142"/>
      <c r="L142" s="62"/>
      <c r="M142" s="62"/>
      <c r="N142" s="62"/>
      <c r="O142" s="62"/>
      <c r="P142" s="62"/>
      <c r="Q142" s="62"/>
      <c r="R142" s="62"/>
      <c r="S142" s="62"/>
      <c r="T142" s="62"/>
      <c r="U142" s="62"/>
      <c r="V142" s="62"/>
      <c r="W142" s="62"/>
      <c r="X142" s="62"/>
      <c r="Y142" s="62"/>
      <c r="Z142" s="62"/>
      <c r="AA142" s="62"/>
      <c r="AB142" s="62"/>
      <c r="AC142" s="62"/>
    </row>
    <row r="143" spans="1:29" x14ac:dyDescent="0.3">
      <c r="A143" s="124" t="s">
        <v>1908</v>
      </c>
      <c r="B143" s="112">
        <v>0</v>
      </c>
      <c r="C143" s="112">
        <v>0</v>
      </c>
      <c r="D143" s="112">
        <v>0</v>
      </c>
      <c r="E143" s="112">
        <v>0</v>
      </c>
      <c r="F143" s="113">
        <v>0</v>
      </c>
      <c r="G143"/>
      <c r="H143"/>
      <c r="I143"/>
      <c r="J143"/>
      <c r="K143"/>
      <c r="L143" s="62"/>
      <c r="M143" s="62"/>
      <c r="N143" s="62"/>
      <c r="O143" s="62"/>
      <c r="P143" s="62"/>
      <c r="Q143" s="62"/>
      <c r="R143" s="62"/>
      <c r="S143" s="62"/>
      <c r="T143" s="62"/>
      <c r="U143" s="62"/>
      <c r="V143" s="62"/>
      <c r="W143" s="62"/>
      <c r="X143" s="62"/>
      <c r="Y143" s="62"/>
      <c r="Z143" s="62"/>
      <c r="AA143" s="62"/>
      <c r="AB143" s="62"/>
      <c r="AC143" s="62"/>
    </row>
    <row r="144" spans="1:29" x14ac:dyDescent="0.3">
      <c r="A144" s="124" t="s">
        <v>1909</v>
      </c>
      <c r="B144" s="112">
        <v>0</v>
      </c>
      <c r="C144" s="112">
        <v>0</v>
      </c>
      <c r="D144" s="112">
        <v>0</v>
      </c>
      <c r="E144" s="112">
        <v>0</v>
      </c>
      <c r="F144" s="113">
        <v>0</v>
      </c>
      <c r="G144"/>
      <c r="H144"/>
      <c r="I144"/>
      <c r="J144"/>
      <c r="K144"/>
      <c r="L144" s="62"/>
      <c r="M144" s="62"/>
      <c r="N144" s="62"/>
      <c r="O144" s="62"/>
      <c r="P144" s="62"/>
      <c r="Q144" s="62"/>
      <c r="R144" s="62"/>
      <c r="S144" s="62"/>
      <c r="T144" s="62"/>
      <c r="U144" s="62"/>
      <c r="V144" s="62"/>
      <c r="W144" s="62"/>
      <c r="X144" s="62"/>
      <c r="Y144" s="62"/>
      <c r="Z144" s="62"/>
      <c r="AA144" s="62"/>
      <c r="AB144" s="62"/>
      <c r="AC144" s="62"/>
    </row>
    <row r="145" spans="1:29" x14ac:dyDescent="0.3">
      <c r="A145" s="124" t="s">
        <v>1910</v>
      </c>
      <c r="B145" s="112">
        <v>0</v>
      </c>
      <c r="C145" s="112">
        <v>0</v>
      </c>
      <c r="D145" s="112">
        <v>0</v>
      </c>
      <c r="E145" s="112">
        <v>0</v>
      </c>
      <c r="F145" s="113">
        <v>0</v>
      </c>
      <c r="G145"/>
      <c r="H145"/>
      <c r="I145"/>
      <c r="J145"/>
      <c r="K145"/>
      <c r="L145" s="62"/>
      <c r="M145" s="62"/>
      <c r="N145" s="62"/>
      <c r="O145" s="62"/>
      <c r="P145" s="62"/>
      <c r="Q145" s="62"/>
      <c r="R145" s="62"/>
      <c r="S145" s="62"/>
      <c r="T145" s="62"/>
      <c r="U145" s="62"/>
      <c r="V145" s="62"/>
      <c r="W145" s="62"/>
      <c r="X145" s="62"/>
      <c r="Y145" s="62"/>
      <c r="Z145" s="62"/>
      <c r="AA145" s="62"/>
      <c r="AB145" s="62"/>
      <c r="AC145" s="62"/>
    </row>
    <row r="146" spans="1:29" x14ac:dyDescent="0.3">
      <c r="A146" s="124" t="s">
        <v>1911</v>
      </c>
      <c r="B146" s="112">
        <v>0</v>
      </c>
      <c r="C146" s="112">
        <v>0</v>
      </c>
      <c r="D146" s="112">
        <v>0</v>
      </c>
      <c r="E146" s="112">
        <v>0</v>
      </c>
      <c r="F146" s="113">
        <v>0</v>
      </c>
      <c r="G146"/>
      <c r="H146"/>
      <c r="I146"/>
      <c r="J146"/>
      <c r="K146"/>
      <c r="L146" s="62"/>
      <c r="M146" s="62"/>
      <c r="N146" s="62"/>
      <c r="O146" s="62"/>
      <c r="P146" s="62"/>
      <c r="Q146" s="62"/>
      <c r="R146" s="62"/>
      <c r="S146" s="62"/>
      <c r="T146" s="62"/>
      <c r="U146" s="62"/>
      <c r="V146" s="62"/>
      <c r="W146" s="62"/>
      <c r="X146" s="62"/>
      <c r="Y146" s="62"/>
      <c r="Z146" s="62"/>
      <c r="AA146" s="62"/>
      <c r="AB146" s="62"/>
      <c r="AC146" s="62"/>
    </row>
    <row r="147" spans="1:29" s="53" customFormat="1" x14ac:dyDescent="0.3">
      <c r="A147" s="119" t="s">
        <v>1918</v>
      </c>
      <c r="B147" s="129">
        <v>0</v>
      </c>
      <c r="C147" s="129">
        <v>0</v>
      </c>
      <c r="D147" s="129">
        <v>0</v>
      </c>
      <c r="E147" s="129">
        <v>0</v>
      </c>
      <c r="F147" s="130">
        <v>0</v>
      </c>
      <c r="G147"/>
      <c r="H147"/>
      <c r="I147"/>
      <c r="J147"/>
      <c r="K147"/>
      <c r="L147" s="62"/>
      <c r="M147" s="62"/>
      <c r="N147" s="62"/>
      <c r="O147" s="62"/>
      <c r="P147" s="62"/>
      <c r="Q147" s="62"/>
      <c r="R147" s="62"/>
      <c r="S147" s="62"/>
      <c r="T147" s="62"/>
      <c r="U147" s="62"/>
      <c r="V147" s="62"/>
      <c r="W147" s="62"/>
      <c r="X147" s="62"/>
      <c r="Y147" s="62"/>
      <c r="Z147" s="62"/>
      <c r="AA147" s="62"/>
      <c r="AB147" s="62"/>
      <c r="AC147" s="62"/>
    </row>
    <row r="148" spans="1:29" x14ac:dyDescent="0.3">
      <c r="A148" s="124" t="s">
        <v>1913</v>
      </c>
      <c r="B148" s="112">
        <v>0</v>
      </c>
      <c r="C148" s="112">
        <v>0</v>
      </c>
      <c r="D148" s="112">
        <v>0</v>
      </c>
      <c r="E148" s="112">
        <v>0</v>
      </c>
      <c r="F148" s="113">
        <v>0</v>
      </c>
      <c r="G148"/>
      <c r="H148"/>
      <c r="I148"/>
      <c r="J148"/>
      <c r="K148"/>
      <c r="L148" s="62"/>
      <c r="M148" s="62"/>
      <c r="N148" s="62"/>
      <c r="O148" s="62"/>
      <c r="P148" s="62"/>
      <c r="Q148" s="62"/>
      <c r="R148" s="62"/>
      <c r="S148" s="62"/>
      <c r="T148" s="62"/>
      <c r="U148" s="62"/>
      <c r="V148" s="62"/>
      <c r="W148" s="62"/>
      <c r="X148" s="62"/>
      <c r="Y148" s="62"/>
      <c r="Z148" s="62"/>
      <c r="AA148" s="62"/>
      <c r="AB148" s="62"/>
      <c r="AC148" s="62"/>
    </row>
    <row r="149" spans="1:29" x14ac:dyDescent="0.3">
      <c r="A149" s="124" t="s">
        <v>1914</v>
      </c>
      <c r="B149" s="112">
        <v>0</v>
      </c>
      <c r="C149" s="112">
        <v>0</v>
      </c>
      <c r="D149" s="112">
        <v>0</v>
      </c>
      <c r="E149" s="112">
        <v>0</v>
      </c>
      <c r="F149" s="113">
        <v>0</v>
      </c>
      <c r="G149"/>
      <c r="H149"/>
      <c r="I149"/>
      <c r="J149"/>
      <c r="K149"/>
      <c r="L149" s="62"/>
      <c r="M149" s="62"/>
      <c r="N149" s="62"/>
      <c r="O149" s="62"/>
      <c r="P149" s="62"/>
      <c r="Q149" s="62"/>
      <c r="R149" s="62"/>
      <c r="S149" s="62"/>
      <c r="T149" s="62"/>
      <c r="U149" s="62"/>
      <c r="V149" s="62"/>
      <c r="W149" s="62"/>
      <c r="X149" s="62"/>
      <c r="Y149" s="62"/>
      <c r="Z149" s="62"/>
      <c r="AA149" s="62"/>
      <c r="AB149" s="62"/>
      <c r="AC149" s="62"/>
    </row>
    <row r="150" spans="1:29" x14ac:dyDescent="0.3">
      <c r="A150" s="124" t="s">
        <v>1915</v>
      </c>
      <c r="B150" s="112">
        <v>0</v>
      </c>
      <c r="C150" s="112">
        <v>0</v>
      </c>
      <c r="D150" s="112">
        <v>0</v>
      </c>
      <c r="E150" s="112">
        <v>0</v>
      </c>
      <c r="F150" s="113">
        <v>0</v>
      </c>
      <c r="G150"/>
      <c r="H150"/>
      <c r="I150"/>
      <c r="J150"/>
      <c r="K150"/>
      <c r="L150" s="62"/>
      <c r="M150" s="62"/>
      <c r="N150" s="62"/>
      <c r="O150" s="62"/>
      <c r="P150" s="62"/>
      <c r="Q150" s="62"/>
      <c r="R150" s="62"/>
      <c r="S150" s="62"/>
      <c r="T150" s="62"/>
      <c r="U150" s="62"/>
      <c r="V150" s="62"/>
      <c r="W150" s="62"/>
      <c r="X150" s="62"/>
      <c r="Y150" s="62"/>
      <c r="Z150" s="62"/>
      <c r="AA150" s="62"/>
      <c r="AB150" s="62"/>
      <c r="AC150" s="62"/>
    </row>
    <row r="151" spans="1:29" x14ac:dyDescent="0.3">
      <c r="A151" s="124" t="s">
        <v>1916</v>
      </c>
      <c r="B151" s="112">
        <v>0</v>
      </c>
      <c r="C151" s="112">
        <v>0</v>
      </c>
      <c r="D151" s="112">
        <v>0</v>
      </c>
      <c r="E151" s="112">
        <v>0</v>
      </c>
      <c r="F151" s="113">
        <v>0</v>
      </c>
      <c r="G151"/>
      <c r="H151"/>
      <c r="I151"/>
      <c r="J151"/>
      <c r="K151"/>
      <c r="L151" s="62"/>
      <c r="M151" s="62"/>
      <c r="N151" s="62"/>
      <c r="O151" s="62"/>
      <c r="P151" s="62"/>
      <c r="Q151" s="62"/>
      <c r="R151" s="62"/>
      <c r="S151" s="62"/>
      <c r="T151" s="62"/>
      <c r="U151" s="62"/>
      <c r="V151" s="62"/>
      <c r="W151" s="62"/>
      <c r="X151" s="62"/>
      <c r="Y151" s="62"/>
      <c r="Z151" s="62"/>
      <c r="AA151" s="62"/>
      <c r="AB151" s="62"/>
      <c r="AC151" s="62"/>
    </row>
    <row r="152" spans="1:29" x14ac:dyDescent="0.3">
      <c r="A152" s="124" t="s">
        <v>1917</v>
      </c>
      <c r="B152" s="112">
        <v>0</v>
      </c>
      <c r="C152" s="112">
        <v>0</v>
      </c>
      <c r="D152" s="112">
        <v>0</v>
      </c>
      <c r="E152" s="112">
        <v>0</v>
      </c>
      <c r="F152" s="113">
        <v>0</v>
      </c>
      <c r="G152"/>
      <c r="H152"/>
      <c r="I152"/>
      <c r="J152"/>
      <c r="K152"/>
      <c r="L152" s="62"/>
      <c r="M152" s="62"/>
      <c r="N152" s="62"/>
      <c r="O152" s="62"/>
      <c r="P152" s="62"/>
      <c r="Q152" s="62"/>
      <c r="R152" s="62"/>
      <c r="S152" s="62"/>
      <c r="T152" s="62"/>
      <c r="U152" s="62"/>
      <c r="V152" s="62"/>
      <c r="W152" s="62"/>
      <c r="X152" s="62"/>
      <c r="Y152" s="62"/>
      <c r="Z152" s="62"/>
      <c r="AA152" s="62"/>
      <c r="AB152" s="62"/>
      <c r="AC152" s="62"/>
    </row>
    <row r="153" spans="1:29" s="53" customFormat="1" x14ac:dyDescent="0.3">
      <c r="A153" s="119" t="s">
        <v>1924</v>
      </c>
      <c r="B153" s="129">
        <v>0</v>
      </c>
      <c r="C153" s="129">
        <v>12998.589999999998</v>
      </c>
      <c r="D153" s="129">
        <v>0</v>
      </c>
      <c r="E153" s="129">
        <v>14203.55</v>
      </c>
      <c r="F153" s="130">
        <v>27202.14</v>
      </c>
      <c r="G153"/>
      <c r="H153"/>
      <c r="I153"/>
      <c r="J153"/>
      <c r="K153"/>
      <c r="L153" s="62"/>
      <c r="M153" s="62"/>
      <c r="N153" s="62"/>
      <c r="O153" s="62"/>
      <c r="P153" s="62"/>
      <c r="Q153" s="62"/>
      <c r="R153" s="62"/>
      <c r="S153" s="62"/>
      <c r="T153" s="62"/>
      <c r="U153" s="62"/>
      <c r="V153" s="62"/>
      <c r="W153" s="62"/>
      <c r="X153" s="62"/>
      <c r="Y153" s="62"/>
      <c r="Z153" s="62"/>
      <c r="AA153" s="62"/>
      <c r="AB153" s="62"/>
      <c r="AC153" s="62"/>
    </row>
    <row r="154" spans="1:29" x14ac:dyDescent="0.3">
      <c r="A154" s="124" t="s">
        <v>1919</v>
      </c>
      <c r="B154" s="112">
        <v>0</v>
      </c>
      <c r="C154" s="112">
        <v>0</v>
      </c>
      <c r="D154" s="112">
        <v>0</v>
      </c>
      <c r="E154" s="112">
        <v>0</v>
      </c>
      <c r="F154" s="113">
        <v>0</v>
      </c>
      <c r="G154"/>
      <c r="H154"/>
      <c r="I154"/>
      <c r="J154"/>
      <c r="K154"/>
      <c r="L154" s="62"/>
      <c r="M154" s="62"/>
      <c r="N154" s="62"/>
      <c r="O154" s="62"/>
      <c r="P154" s="62"/>
      <c r="Q154" s="62"/>
      <c r="R154" s="62"/>
      <c r="S154" s="62"/>
      <c r="T154" s="62"/>
      <c r="U154" s="62"/>
      <c r="V154" s="62"/>
      <c r="W154" s="62"/>
      <c r="X154" s="62"/>
      <c r="Y154" s="62"/>
      <c r="Z154" s="62"/>
      <c r="AA154" s="62"/>
      <c r="AB154" s="62"/>
      <c r="AC154" s="62"/>
    </row>
    <row r="155" spans="1:29" x14ac:dyDescent="0.3">
      <c r="A155" s="124" t="s">
        <v>1920</v>
      </c>
      <c r="B155" s="112">
        <v>0</v>
      </c>
      <c r="C155" s="112">
        <v>4739.91</v>
      </c>
      <c r="D155" s="112">
        <v>0</v>
      </c>
      <c r="E155" s="112">
        <v>7003.22</v>
      </c>
      <c r="F155" s="113">
        <v>11743.13</v>
      </c>
      <c r="G155"/>
      <c r="H155"/>
      <c r="I155"/>
      <c r="J155"/>
      <c r="K155"/>
      <c r="L155" s="62"/>
      <c r="M155" s="62"/>
      <c r="N155" s="62"/>
      <c r="O155" s="62"/>
      <c r="P155" s="62"/>
      <c r="Q155" s="62"/>
      <c r="R155" s="62"/>
      <c r="S155" s="62"/>
      <c r="T155" s="62"/>
      <c r="U155" s="62"/>
      <c r="V155" s="62"/>
      <c r="W155" s="62"/>
      <c r="X155" s="62"/>
      <c r="Y155" s="62"/>
      <c r="Z155" s="62"/>
      <c r="AA155" s="62"/>
      <c r="AB155" s="62"/>
      <c r="AC155" s="62"/>
    </row>
    <row r="156" spans="1:29" x14ac:dyDescent="0.3">
      <c r="A156" s="124" t="s">
        <v>1921</v>
      </c>
      <c r="B156" s="112">
        <v>0</v>
      </c>
      <c r="C156" s="112">
        <v>4149.37</v>
      </c>
      <c r="D156" s="112">
        <v>0</v>
      </c>
      <c r="E156" s="112">
        <v>3610.83</v>
      </c>
      <c r="F156" s="113">
        <v>7760.2</v>
      </c>
      <c r="G156"/>
      <c r="H156"/>
      <c r="I156"/>
      <c r="J156"/>
      <c r="K156"/>
      <c r="L156" s="62"/>
      <c r="M156" s="62"/>
      <c r="N156" s="62"/>
      <c r="O156" s="62"/>
      <c r="P156" s="62"/>
      <c r="Q156" s="62"/>
      <c r="R156" s="62"/>
      <c r="S156" s="62"/>
      <c r="T156" s="62"/>
      <c r="U156" s="62"/>
      <c r="V156" s="62"/>
      <c r="W156" s="62"/>
      <c r="X156" s="62"/>
      <c r="Y156" s="62"/>
      <c r="Z156" s="62"/>
      <c r="AA156" s="62"/>
      <c r="AB156" s="62"/>
      <c r="AC156" s="62"/>
    </row>
    <row r="157" spans="1:29" x14ac:dyDescent="0.3">
      <c r="A157" s="124" t="s">
        <v>1922</v>
      </c>
      <c r="B157" s="112">
        <v>0</v>
      </c>
      <c r="C157" s="112">
        <v>2287.8200000000002</v>
      </c>
      <c r="D157" s="112">
        <v>0</v>
      </c>
      <c r="E157" s="112">
        <v>2379.02</v>
      </c>
      <c r="F157" s="113">
        <v>4666.84</v>
      </c>
      <c r="G157"/>
      <c r="H157"/>
      <c r="I157"/>
      <c r="J157"/>
      <c r="K157"/>
      <c r="L157" s="62"/>
      <c r="M157" s="62"/>
      <c r="N157" s="62"/>
      <c r="O157" s="62"/>
      <c r="P157" s="62"/>
      <c r="Q157" s="62"/>
      <c r="R157" s="62"/>
      <c r="S157" s="62"/>
      <c r="T157" s="62"/>
      <c r="U157" s="62"/>
      <c r="V157" s="62"/>
      <c r="W157" s="62"/>
      <c r="X157" s="62"/>
      <c r="Y157" s="62"/>
      <c r="Z157" s="62"/>
      <c r="AA157" s="62"/>
      <c r="AB157" s="62"/>
      <c r="AC157" s="62"/>
    </row>
    <row r="158" spans="1:29" x14ac:dyDescent="0.3">
      <c r="A158" s="124" t="s">
        <v>1923</v>
      </c>
      <c r="B158" s="112">
        <v>0</v>
      </c>
      <c r="C158" s="112">
        <v>1821.49</v>
      </c>
      <c r="D158" s="112">
        <v>0</v>
      </c>
      <c r="E158" s="112">
        <v>1210.48</v>
      </c>
      <c r="F158" s="113">
        <v>3031.97</v>
      </c>
      <c r="G158"/>
      <c r="H158"/>
      <c r="I158"/>
      <c r="J158"/>
      <c r="K158"/>
      <c r="L158" s="62"/>
      <c r="M158" s="62"/>
      <c r="N158" s="62"/>
      <c r="O158" s="62"/>
      <c r="P158" s="62"/>
      <c r="Q158" s="62"/>
      <c r="R158" s="62"/>
      <c r="S158" s="62"/>
      <c r="T158" s="62"/>
      <c r="U158" s="62"/>
      <c r="V158" s="62"/>
      <c r="W158" s="62"/>
      <c r="X158" s="62"/>
      <c r="Y158" s="62"/>
      <c r="Z158" s="62"/>
      <c r="AA158" s="62"/>
      <c r="AB158" s="62"/>
      <c r="AC158" s="62"/>
    </row>
    <row r="159" spans="1:29" s="53" customFormat="1" x14ac:dyDescent="0.3">
      <c r="A159" s="119" t="s">
        <v>1925</v>
      </c>
      <c r="B159" s="129">
        <v>0</v>
      </c>
      <c r="C159" s="129">
        <v>0</v>
      </c>
      <c r="D159" s="129">
        <v>0</v>
      </c>
      <c r="E159" s="129">
        <v>6785.21</v>
      </c>
      <c r="F159" s="130">
        <v>6785.21</v>
      </c>
      <c r="G159"/>
      <c r="H159"/>
      <c r="I159"/>
      <c r="J159"/>
      <c r="K159"/>
      <c r="L159" s="62"/>
      <c r="M159" s="62"/>
      <c r="N159" s="62"/>
      <c r="O159" s="62"/>
      <c r="P159" s="62"/>
      <c r="Q159" s="62"/>
      <c r="R159" s="62"/>
      <c r="S159" s="62"/>
      <c r="T159" s="62"/>
      <c r="U159" s="62"/>
      <c r="V159" s="62"/>
      <c r="W159" s="62"/>
      <c r="X159" s="62"/>
      <c r="Y159" s="62"/>
      <c r="Z159" s="62"/>
      <c r="AA159" s="62"/>
      <c r="AB159" s="62"/>
      <c r="AC159" s="62"/>
    </row>
    <row r="160" spans="1:29" x14ac:dyDescent="0.3">
      <c r="A160" s="124" t="s">
        <v>1939</v>
      </c>
      <c r="B160" s="112">
        <v>0</v>
      </c>
      <c r="C160" s="112">
        <v>0</v>
      </c>
      <c r="D160" s="112">
        <v>0</v>
      </c>
      <c r="E160" s="112">
        <v>0</v>
      </c>
      <c r="F160" s="113">
        <v>0</v>
      </c>
      <c r="G160"/>
      <c r="H160"/>
      <c r="I160"/>
      <c r="J160"/>
      <c r="K160"/>
      <c r="L160" s="62"/>
      <c r="M160" s="62"/>
      <c r="N160" s="62"/>
      <c r="O160" s="62"/>
      <c r="P160" s="62"/>
      <c r="Q160" s="62"/>
      <c r="R160" s="62"/>
      <c r="S160" s="62"/>
      <c r="T160" s="62"/>
      <c r="U160" s="62"/>
      <c r="V160" s="62"/>
      <c r="W160" s="62"/>
      <c r="X160" s="62"/>
      <c r="Y160" s="62"/>
      <c r="Z160" s="62"/>
      <c r="AA160" s="62"/>
      <c r="AB160" s="62"/>
      <c r="AC160" s="62"/>
    </row>
    <row r="161" spans="1:29" x14ac:dyDescent="0.3">
      <c r="A161" s="124" t="s">
        <v>1940</v>
      </c>
      <c r="B161" s="112">
        <v>0</v>
      </c>
      <c r="C161" s="112">
        <v>0</v>
      </c>
      <c r="D161" s="112">
        <v>0</v>
      </c>
      <c r="E161" s="112">
        <v>1017.47</v>
      </c>
      <c r="F161" s="113">
        <v>1017.47</v>
      </c>
      <c r="G161"/>
      <c r="H161"/>
      <c r="I161"/>
      <c r="J161"/>
      <c r="K161"/>
      <c r="L161" s="62"/>
      <c r="M161" s="62"/>
      <c r="N161" s="62"/>
      <c r="O161" s="62"/>
      <c r="P161" s="62"/>
      <c r="Q161" s="62"/>
      <c r="R161" s="62"/>
      <c r="S161" s="62"/>
      <c r="T161" s="62"/>
      <c r="U161" s="62"/>
      <c r="V161" s="62"/>
      <c r="W161" s="62"/>
      <c r="X161" s="62"/>
      <c r="Y161" s="62"/>
      <c r="Z161" s="62"/>
      <c r="AA161" s="62"/>
      <c r="AB161" s="62"/>
      <c r="AC161" s="62"/>
    </row>
    <row r="162" spans="1:29" x14ac:dyDescent="0.3">
      <c r="A162" s="124" t="s">
        <v>1941</v>
      </c>
      <c r="B162" s="112">
        <v>0</v>
      </c>
      <c r="C162" s="112">
        <v>0</v>
      </c>
      <c r="D162" s="112">
        <v>0</v>
      </c>
      <c r="E162" s="112">
        <v>3851.2799999999997</v>
      </c>
      <c r="F162" s="113">
        <v>3851.2799999999997</v>
      </c>
      <c r="G162"/>
      <c r="H162"/>
      <c r="I162"/>
      <c r="J162"/>
      <c r="K162"/>
      <c r="L162" s="62"/>
      <c r="M162" s="62"/>
      <c r="N162" s="62"/>
      <c r="O162" s="62"/>
      <c r="P162" s="62"/>
      <c r="Q162" s="62"/>
      <c r="R162" s="62"/>
      <c r="S162" s="62"/>
      <c r="T162" s="62"/>
      <c r="U162" s="62"/>
      <c r="V162" s="62"/>
      <c r="W162" s="62"/>
      <c r="X162" s="62"/>
      <c r="Y162" s="62"/>
      <c r="Z162" s="62"/>
      <c r="AA162" s="62"/>
      <c r="AB162" s="62"/>
      <c r="AC162" s="62"/>
    </row>
    <row r="163" spans="1:29" x14ac:dyDescent="0.3">
      <c r="A163" s="124" t="s">
        <v>1942</v>
      </c>
      <c r="B163" s="112">
        <v>0</v>
      </c>
      <c r="C163" s="112">
        <v>0</v>
      </c>
      <c r="D163" s="112">
        <v>0</v>
      </c>
      <c r="E163" s="112">
        <v>1916.4599999999998</v>
      </c>
      <c r="F163" s="113">
        <v>1916.4599999999998</v>
      </c>
      <c r="G163"/>
      <c r="H163"/>
      <c r="I163"/>
      <c r="J163"/>
      <c r="K163"/>
      <c r="L163" s="62"/>
      <c r="M163" s="62"/>
      <c r="N163" s="62"/>
      <c r="O163" s="62"/>
      <c r="P163" s="62"/>
      <c r="Q163" s="62"/>
      <c r="R163" s="62"/>
      <c r="S163" s="62"/>
      <c r="T163" s="62"/>
      <c r="U163" s="62"/>
      <c r="V163" s="62"/>
      <c r="W163" s="62"/>
      <c r="X163" s="62"/>
      <c r="Y163" s="62"/>
      <c r="Z163" s="62"/>
      <c r="AA163" s="62"/>
      <c r="AB163" s="62"/>
      <c r="AC163" s="62"/>
    </row>
    <row r="164" spans="1:29" s="53" customFormat="1" x14ac:dyDescent="0.3">
      <c r="A164" s="119" t="s">
        <v>1948</v>
      </c>
      <c r="B164" s="129">
        <v>0</v>
      </c>
      <c r="C164" s="129">
        <v>0</v>
      </c>
      <c r="D164" s="129">
        <v>0</v>
      </c>
      <c r="E164" s="129">
        <v>0</v>
      </c>
      <c r="F164" s="130">
        <v>0</v>
      </c>
      <c r="G164"/>
      <c r="H164"/>
      <c r="I164"/>
      <c r="J164"/>
      <c r="K164"/>
      <c r="L164" s="62"/>
      <c r="M164" s="62"/>
      <c r="N164" s="62"/>
      <c r="O164" s="62"/>
      <c r="P164" s="62"/>
      <c r="Q164" s="62"/>
      <c r="R164" s="62"/>
      <c r="S164" s="62"/>
      <c r="T164" s="62"/>
      <c r="U164" s="62"/>
      <c r="V164" s="62"/>
      <c r="W164" s="62"/>
      <c r="X164" s="62"/>
      <c r="Y164" s="62"/>
      <c r="Z164" s="62"/>
      <c r="AA164" s="62"/>
      <c r="AB164" s="62"/>
      <c r="AC164" s="62"/>
    </row>
    <row r="165" spans="1:29" x14ac:dyDescent="0.3">
      <c r="A165" s="124" t="s">
        <v>1943</v>
      </c>
      <c r="B165" s="112">
        <v>0</v>
      </c>
      <c r="C165" s="112">
        <v>0</v>
      </c>
      <c r="D165" s="112">
        <v>0</v>
      </c>
      <c r="E165" s="112">
        <v>0</v>
      </c>
      <c r="F165" s="113">
        <v>0</v>
      </c>
      <c r="G165"/>
      <c r="H165"/>
      <c r="I165"/>
      <c r="J165"/>
      <c r="K165"/>
      <c r="L165" s="62"/>
      <c r="M165" s="62"/>
      <c r="N165" s="62"/>
      <c r="O165" s="62"/>
      <c r="P165" s="62"/>
      <c r="Q165" s="62"/>
      <c r="R165" s="62"/>
      <c r="S165" s="62"/>
      <c r="T165" s="62"/>
      <c r="U165" s="62"/>
      <c r="V165" s="62"/>
      <c r="W165" s="62"/>
      <c r="X165" s="62"/>
      <c r="Y165" s="62"/>
      <c r="Z165" s="62"/>
      <c r="AA165" s="62"/>
      <c r="AB165" s="62"/>
      <c r="AC165" s="62"/>
    </row>
    <row r="166" spans="1:29" x14ac:dyDescent="0.3">
      <c r="A166" s="124" t="s">
        <v>1944</v>
      </c>
      <c r="B166" s="112">
        <v>0</v>
      </c>
      <c r="C166" s="112">
        <v>0</v>
      </c>
      <c r="D166" s="112">
        <v>0</v>
      </c>
      <c r="E166" s="112">
        <v>0</v>
      </c>
      <c r="F166" s="113">
        <v>0</v>
      </c>
      <c r="G166"/>
      <c r="H166"/>
      <c r="I166"/>
      <c r="J166"/>
      <c r="K166"/>
      <c r="L166" s="62"/>
      <c r="M166" s="62"/>
      <c r="N166" s="62"/>
      <c r="O166" s="62"/>
      <c r="P166" s="62"/>
      <c r="Q166" s="62"/>
      <c r="R166" s="62"/>
      <c r="S166" s="62"/>
      <c r="T166" s="62"/>
      <c r="U166" s="62"/>
      <c r="V166" s="62"/>
      <c r="W166" s="62"/>
      <c r="X166" s="62"/>
      <c r="Y166" s="62"/>
      <c r="Z166" s="62"/>
      <c r="AA166" s="62"/>
      <c r="AB166" s="62"/>
      <c r="AC166" s="62"/>
    </row>
    <row r="167" spans="1:29" x14ac:dyDescent="0.3">
      <c r="A167" s="124" t="s">
        <v>1945</v>
      </c>
      <c r="B167" s="112">
        <v>0</v>
      </c>
      <c r="C167" s="112">
        <v>0</v>
      </c>
      <c r="D167" s="112">
        <v>0</v>
      </c>
      <c r="E167" s="112">
        <v>0</v>
      </c>
      <c r="F167" s="113">
        <v>0</v>
      </c>
      <c r="G167"/>
      <c r="H167"/>
      <c r="I167"/>
      <c r="J167"/>
      <c r="K167"/>
      <c r="L167" s="62"/>
      <c r="M167" s="62"/>
      <c r="N167" s="62"/>
      <c r="O167" s="62"/>
      <c r="P167" s="62"/>
      <c r="Q167" s="62"/>
      <c r="R167" s="62"/>
      <c r="S167" s="62"/>
      <c r="T167" s="62"/>
      <c r="U167" s="62"/>
      <c r="V167" s="62"/>
      <c r="W167" s="62"/>
      <c r="X167" s="62"/>
      <c r="Y167" s="62"/>
      <c r="Z167" s="62"/>
      <c r="AA167" s="62"/>
      <c r="AB167" s="62"/>
      <c r="AC167" s="62"/>
    </row>
    <row r="168" spans="1:29" x14ac:dyDescent="0.3">
      <c r="A168" s="124" t="s">
        <v>1946</v>
      </c>
      <c r="B168" s="112">
        <v>0</v>
      </c>
      <c r="C168" s="112">
        <v>0</v>
      </c>
      <c r="D168" s="112">
        <v>0</v>
      </c>
      <c r="E168" s="112">
        <v>0</v>
      </c>
      <c r="F168" s="113">
        <v>0</v>
      </c>
      <c r="G168"/>
      <c r="H168"/>
      <c r="I168"/>
      <c r="J168"/>
      <c r="K168"/>
      <c r="L168" s="62"/>
      <c r="M168" s="62"/>
      <c r="N168" s="62"/>
      <c r="O168" s="62"/>
      <c r="P168" s="62"/>
      <c r="Q168" s="62"/>
      <c r="R168" s="62"/>
      <c r="S168" s="62"/>
      <c r="T168" s="62"/>
      <c r="U168" s="62"/>
      <c r="V168" s="62"/>
      <c r="W168" s="62"/>
      <c r="X168" s="62"/>
      <c r="Y168" s="62"/>
      <c r="Z168" s="62"/>
      <c r="AA168" s="62"/>
      <c r="AB168" s="62"/>
      <c r="AC168" s="62"/>
    </row>
    <row r="169" spans="1:29" x14ac:dyDescent="0.3">
      <c r="A169" s="124" t="s">
        <v>1947</v>
      </c>
      <c r="B169" s="112">
        <v>0</v>
      </c>
      <c r="C169" s="112">
        <v>0</v>
      </c>
      <c r="D169" s="112">
        <v>0</v>
      </c>
      <c r="E169" s="112">
        <v>0</v>
      </c>
      <c r="F169" s="113">
        <v>0</v>
      </c>
      <c r="G169"/>
      <c r="H169"/>
      <c r="I169"/>
      <c r="J169"/>
      <c r="K169"/>
      <c r="L169" s="62"/>
      <c r="M169" s="62"/>
      <c r="N169" s="62"/>
      <c r="O169" s="62"/>
      <c r="P169" s="62"/>
      <c r="Q169" s="62"/>
      <c r="R169" s="62"/>
      <c r="S169" s="62"/>
      <c r="T169" s="62"/>
      <c r="U169" s="62"/>
      <c r="V169" s="62"/>
      <c r="W169" s="62"/>
      <c r="X169" s="62"/>
      <c r="Y169" s="62"/>
      <c r="Z169" s="62"/>
      <c r="AA169" s="62"/>
      <c r="AB169" s="62"/>
      <c r="AC169" s="62"/>
    </row>
    <row r="170" spans="1:29" s="53" customFormat="1" x14ac:dyDescent="0.3">
      <c r="A170" s="126" t="s">
        <v>1949</v>
      </c>
      <c r="B170" s="131">
        <v>1516715.3199999998</v>
      </c>
      <c r="C170" s="131">
        <v>3672897.5499999993</v>
      </c>
      <c r="D170" s="131">
        <v>1393655.42</v>
      </c>
      <c r="E170" s="131">
        <v>19090371.359999999</v>
      </c>
      <c r="F170" s="132">
        <v>25673639.649999999</v>
      </c>
      <c r="G170"/>
      <c r="H170"/>
      <c r="I170"/>
      <c r="J170"/>
      <c r="K170"/>
      <c r="L170" s="62"/>
      <c r="M170" s="62"/>
      <c r="N170" s="62"/>
      <c r="O170" s="62"/>
      <c r="P170" s="62"/>
      <c r="Q170" s="62"/>
      <c r="R170" s="62"/>
      <c r="S170" s="62"/>
      <c r="T170" s="62"/>
      <c r="U170" s="62"/>
      <c r="V170" s="62"/>
      <c r="W170" s="62"/>
      <c r="X170" s="62"/>
      <c r="Y170" s="62"/>
      <c r="Z170" s="62"/>
      <c r="AA170" s="62"/>
      <c r="AB170" s="62"/>
      <c r="AC170" s="62"/>
    </row>
    <row r="171" spans="1:29" s="53" customFormat="1" x14ac:dyDescent="0.3">
      <c r="A171" s="119" t="s">
        <v>1950</v>
      </c>
      <c r="B171" s="129">
        <v>19520536.050000001</v>
      </c>
      <c r="C171" s="129">
        <v>147070641.35999998</v>
      </c>
      <c r="D171" s="129">
        <v>41472953.300000004</v>
      </c>
      <c r="E171" s="129">
        <v>395290372.17000002</v>
      </c>
      <c r="F171" s="130">
        <v>603354502.87999988</v>
      </c>
      <c r="G171"/>
      <c r="H171"/>
      <c r="I171"/>
      <c r="J171"/>
      <c r="K171"/>
      <c r="L171" s="62"/>
      <c r="M171" s="62"/>
      <c r="N171" s="62"/>
      <c r="O171" s="62"/>
      <c r="P171" s="62"/>
      <c r="Q171" s="62"/>
      <c r="R171" s="62"/>
      <c r="S171" s="62"/>
      <c r="T171" s="62"/>
      <c r="U171" s="62"/>
      <c r="V171" s="62"/>
      <c r="W171" s="62"/>
      <c r="X171" s="62"/>
      <c r="Y171" s="62"/>
      <c r="Z171" s="62"/>
      <c r="AA171" s="62"/>
      <c r="AB171" s="62"/>
      <c r="AC171" s="62"/>
    </row>
    <row r="172" spans="1:29" s="53" customFormat="1" x14ac:dyDescent="0.3">
      <c r="A172" s="119" t="s">
        <v>286</v>
      </c>
      <c r="B172" s="129">
        <v>-954257.55</v>
      </c>
      <c r="C172" s="129">
        <v>-3081786.19</v>
      </c>
      <c r="D172" s="129">
        <v>-1390291.53</v>
      </c>
      <c r="E172" s="129">
        <v>-13734483.039999999</v>
      </c>
      <c r="F172" s="130">
        <v>-19160818.309999999</v>
      </c>
      <c r="G172"/>
      <c r="H172"/>
      <c r="I172"/>
      <c r="J172"/>
      <c r="K172"/>
      <c r="L172" s="62"/>
      <c r="M172" s="62"/>
      <c r="N172" s="62"/>
      <c r="O172" s="62"/>
      <c r="P172" s="62"/>
      <c r="Q172" s="62"/>
      <c r="R172" s="62"/>
      <c r="S172" s="62"/>
      <c r="T172" s="62"/>
      <c r="U172" s="62"/>
      <c r="V172" s="62"/>
      <c r="W172" s="62"/>
      <c r="X172" s="62"/>
      <c r="Y172" s="62"/>
      <c r="Z172" s="62"/>
      <c r="AA172" s="62"/>
      <c r="AB172" s="62"/>
      <c r="AC172" s="62"/>
    </row>
    <row r="173" spans="1:29" s="53" customFormat="1" x14ac:dyDescent="0.3">
      <c r="A173" s="120" t="s">
        <v>1951</v>
      </c>
      <c r="B173" s="133">
        <v>18566278.5</v>
      </c>
      <c r="C173" s="133">
        <v>143988855.16999999</v>
      </c>
      <c r="D173" s="133">
        <v>40082661.770000003</v>
      </c>
      <c r="E173" s="133">
        <v>381555889.13</v>
      </c>
      <c r="F173" s="134">
        <v>584193684.56999993</v>
      </c>
      <c r="G173"/>
      <c r="H173"/>
      <c r="I173"/>
      <c r="J173"/>
      <c r="K173"/>
      <c r="L173" s="62"/>
      <c r="M173" s="62"/>
      <c r="N173" s="62"/>
      <c r="O173" s="62"/>
      <c r="P173" s="62"/>
      <c r="Q173" s="62"/>
      <c r="R173" s="62"/>
      <c r="S173" s="62"/>
      <c r="T173" s="62"/>
      <c r="U173" s="62"/>
      <c r="V173" s="62"/>
      <c r="W173" s="62"/>
      <c r="X173" s="62"/>
      <c r="Y173" s="62"/>
      <c r="Z173" s="62"/>
      <c r="AA173" s="62"/>
      <c r="AB173" s="62"/>
      <c r="AC173" s="62"/>
    </row>
    <row r="174" spans="1:29" x14ac:dyDescent="0.3">
      <c r="B174" s="62"/>
      <c r="C174" s="62"/>
      <c r="D174" s="62"/>
      <c r="E174" s="62"/>
      <c r="F174" s="62"/>
      <c r="G174" s="62"/>
      <c r="H174" s="62"/>
      <c r="I174" s="62"/>
      <c r="J174" s="62"/>
      <c r="K174" s="62"/>
      <c r="L174" s="62"/>
      <c r="M174" s="62"/>
      <c r="N174" s="62"/>
      <c r="O174" s="62"/>
      <c r="P174" s="62"/>
      <c r="Q174" s="62"/>
      <c r="R174" s="62"/>
      <c r="S174" s="62"/>
      <c r="T174" s="62"/>
      <c r="U174" s="62"/>
      <c r="V174" s="62"/>
      <c r="W174" s="62"/>
      <c r="X174" s="62"/>
      <c r="Y174" s="62"/>
      <c r="Z174" s="62"/>
      <c r="AA174" s="62"/>
      <c r="AB174" s="62"/>
      <c r="AC174" s="62"/>
    </row>
  </sheetData>
  <sheetProtection pivotTables="0"/>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5:H18"/>
  <sheetViews>
    <sheetView showGridLines="0" zoomScale="60" zoomScaleNormal="60" workbookViewId="0"/>
  </sheetViews>
  <sheetFormatPr baseColWidth="10" defaultColWidth="11.44140625" defaultRowHeight="14.4" x14ac:dyDescent="0.3"/>
  <cols>
    <col min="1" max="1" width="5.109375" style="62" customWidth="1"/>
    <col min="2" max="2" width="24.21875" style="62" customWidth="1"/>
    <col min="3" max="3" width="20.88671875" style="86" customWidth="1"/>
    <col min="4" max="4" width="22.109375" style="62" customWidth="1"/>
    <col min="5" max="16384" width="11.44140625" style="62"/>
  </cols>
  <sheetData>
    <row r="5" spans="1:8" x14ac:dyDescent="0.3">
      <c r="B5" s="76" t="s">
        <v>277</v>
      </c>
    </row>
    <row r="6" spans="1:8" x14ac:dyDescent="0.3">
      <c r="B6" s="81" t="s">
        <v>1957</v>
      </c>
    </row>
    <row r="7" spans="1:8" x14ac:dyDescent="0.3">
      <c r="B7" s="74" t="str">
        <f>'ESTADO FINANCIERO'!A7</f>
        <v>PERIODO DEL 1 ENERO DEL 2019 AL 31 DE ENERO DEL 2019</v>
      </c>
    </row>
    <row r="8" spans="1:8" x14ac:dyDescent="0.3">
      <c r="B8" s="74" t="s">
        <v>269</v>
      </c>
      <c r="D8" s="76" t="s">
        <v>291</v>
      </c>
      <c r="H8" s="76" t="s">
        <v>427</v>
      </c>
    </row>
    <row r="9" spans="1:8" x14ac:dyDescent="0.3">
      <c r="B9" s="74"/>
      <c r="D9" s="76"/>
      <c r="H9" s="76"/>
    </row>
    <row r="11" spans="1:8" ht="15.6" x14ac:dyDescent="0.3">
      <c r="A11" s="75"/>
      <c r="B11" s="87" t="s">
        <v>278</v>
      </c>
      <c r="C11" s="87" t="s">
        <v>279</v>
      </c>
      <c r="D11" s="88" t="s">
        <v>280</v>
      </c>
    </row>
    <row r="12" spans="1:8" ht="30.75" hidden="1" customHeight="1" x14ac:dyDescent="0.3">
      <c r="A12"/>
      <c r="B12" s="1" t="s">
        <v>276</v>
      </c>
      <c r="C12" s="27" t="s">
        <v>2004</v>
      </c>
      <c r="D12" s="24" t="s">
        <v>2661</v>
      </c>
    </row>
    <row r="13" spans="1:8" ht="30.75" customHeight="1" x14ac:dyDescent="0.3">
      <c r="A13"/>
      <c r="B13" s="93" t="s">
        <v>2665</v>
      </c>
      <c r="C13" s="90">
        <v>110273765.04000001</v>
      </c>
      <c r="D13" s="91">
        <v>0.82256796396538512</v>
      </c>
    </row>
    <row r="14" spans="1:8" ht="30.75" customHeight="1" x14ac:dyDescent="0.3">
      <c r="A14"/>
      <c r="B14" s="93" t="s">
        <v>1958</v>
      </c>
      <c r="C14" s="89">
        <v>16461515.789999999</v>
      </c>
      <c r="D14" s="92">
        <v>0.12279181292352415</v>
      </c>
    </row>
    <row r="15" spans="1:8" ht="30.75" customHeight="1" x14ac:dyDescent="0.3">
      <c r="A15"/>
      <c r="B15" s="93" t="s">
        <v>1959</v>
      </c>
      <c r="C15" s="89">
        <v>4047225.87</v>
      </c>
      <c r="D15" s="92">
        <v>3.0189577207111334E-2</v>
      </c>
    </row>
    <row r="16" spans="1:8" x14ac:dyDescent="0.3">
      <c r="A16"/>
      <c r="B16" s="93" t="s">
        <v>1960</v>
      </c>
      <c r="C16" s="89">
        <v>3277862.62</v>
      </c>
      <c r="D16" s="92">
        <v>2.4450645903979221E-2</v>
      </c>
    </row>
    <row r="17" spans="2:4" x14ac:dyDescent="0.3">
      <c r="B17" s="94" t="s">
        <v>75</v>
      </c>
      <c r="C17" s="89">
        <v>134060369.32000002</v>
      </c>
      <c r="D17" s="92">
        <v>1</v>
      </c>
    </row>
    <row r="18" spans="2:4" x14ac:dyDescent="0.3">
      <c r="B18"/>
      <c r="C18"/>
      <c r="D18"/>
    </row>
  </sheetData>
  <conditionalFormatting sqref="D11">
    <cfRule type="dataBar" priority="3">
      <dataBar>
        <cfvo type="min"/>
        <cfvo type="max"/>
        <color theme="5" tint="0.39997558519241921"/>
      </dataBar>
      <extLst>
        <ext xmlns:x14="http://schemas.microsoft.com/office/spreadsheetml/2009/9/main" uri="{B025F937-C7B1-47D3-B67F-A62EFF666E3E}">
          <x14:id>{50C13ED1-D653-44CA-904C-FD8B9DDF214B}</x14:id>
        </ext>
      </extLst>
    </cfRule>
  </conditionalFormatting>
  <conditionalFormatting pivot="1" sqref="D13:D17">
    <cfRule type="dataBar" priority="1">
      <dataBar>
        <cfvo type="min"/>
        <cfvo type="max"/>
        <color theme="5"/>
      </dataBar>
      <extLst>
        <ext xmlns:x14="http://schemas.microsoft.com/office/spreadsheetml/2009/9/main" uri="{B025F937-C7B1-47D3-B67F-A62EFF666E3E}">
          <x14:id>{D6806332-5BAA-403F-96A7-0383B3075970}</x14:id>
        </ext>
      </extLst>
    </cfRule>
  </conditionalFormatting>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50C13ED1-D653-44CA-904C-FD8B9DDF214B}">
            <x14:dataBar minLength="0" maxLength="100" border="1" gradient="0" direction="rightToLeft" negativeBarBorderColorSameAsPositive="0">
              <x14:cfvo type="autoMin"/>
              <x14:cfvo type="autoMax"/>
              <x14:borderColor theme="0"/>
              <x14:negativeFillColor rgb="FFFF0000"/>
              <x14:negativeBorderColor rgb="FFFF0000"/>
              <x14:axisColor rgb="FF000000"/>
            </x14:dataBar>
          </x14:cfRule>
          <xm:sqref>D11</xm:sqref>
        </x14:conditionalFormatting>
        <x14:conditionalFormatting xmlns:xm="http://schemas.microsoft.com/office/excel/2006/main" pivot="1">
          <x14:cfRule type="dataBar" id="{D6806332-5BAA-403F-96A7-0383B3075970}">
            <x14:dataBar minLength="0" maxLength="100" border="1" direction="rightToLeft" negativeBarBorderColorSameAsPositive="0">
              <x14:cfvo type="autoMin"/>
              <x14:cfvo type="autoMax"/>
              <x14:borderColor theme="5" tint="0.59999389629810485"/>
              <x14:negativeFillColor rgb="FFFF0000"/>
              <x14:negativeBorderColor rgb="FFFF0000"/>
              <x14:axisColor rgb="FF000000"/>
            </x14:dataBar>
          </x14:cfRule>
          <xm:sqref>D13:D17</xm:sqref>
        </x14:conditionalFormatting>
      </x14:conditionalFormattings>
    </ext>
    <ext xmlns:x14="http://schemas.microsoft.com/office/spreadsheetml/2009/9/main" uri="{A8765BA9-456A-4dab-B4F3-ACF838C121DE}">
      <x14:slicerList>
        <x14:slicer r:id="rId4"/>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B5:AD135"/>
  <sheetViews>
    <sheetView showGridLines="0" tabSelected="1" zoomScale="80" zoomScaleNormal="80" workbookViewId="0"/>
  </sheetViews>
  <sheetFormatPr baseColWidth="10" defaultColWidth="25.6640625" defaultRowHeight="14.4" x14ac:dyDescent="0.3"/>
  <cols>
    <col min="1" max="1" width="3.6640625" style="62" customWidth="1"/>
    <col min="2" max="2" width="90.6640625" style="62" customWidth="1"/>
    <col min="3" max="30" width="25.6640625" style="62" customWidth="1"/>
    <col min="31" max="16384" width="25.6640625" style="62"/>
  </cols>
  <sheetData>
    <row r="5" spans="2:30" x14ac:dyDescent="0.3">
      <c r="B5" s="81" t="s">
        <v>267</v>
      </c>
      <c r="C5" s="81"/>
    </row>
    <row r="6" spans="2:30" x14ac:dyDescent="0.3">
      <c r="B6" s="81" t="s">
        <v>1957</v>
      </c>
      <c r="C6" s="81"/>
    </row>
    <row r="7" spans="2:30" x14ac:dyDescent="0.3">
      <c r="B7" s="74" t="str">
        <f>'ESTADO FINANCIERO'!A7</f>
        <v>PERIODO DEL 1 ENERO DEL 2019 AL 31 DE ENERO DEL 2019</v>
      </c>
      <c r="C7" s="74"/>
    </row>
    <row r="8" spans="2:30" x14ac:dyDescent="0.3">
      <c r="B8" s="81" t="s">
        <v>268</v>
      </c>
      <c r="C8" s="76"/>
    </row>
    <row r="11" spans="2:30" x14ac:dyDescent="0.3">
      <c r="B11" s="121"/>
      <c r="C11" s="99" t="s">
        <v>1953</v>
      </c>
      <c r="D11" s="98"/>
      <c r="E11" s="98"/>
      <c r="F11" s="98"/>
      <c r="G11" s="100"/>
      <c r="H11"/>
      <c r="I11"/>
      <c r="J11"/>
      <c r="K11"/>
      <c r="L11"/>
    </row>
    <row r="12" spans="2:30" x14ac:dyDescent="0.3">
      <c r="B12" s="101"/>
      <c r="C12" s="122">
        <v>43496</v>
      </c>
      <c r="D12" s="102"/>
      <c r="E12" s="102"/>
      <c r="F12" s="102"/>
      <c r="G12" s="104"/>
      <c r="H12"/>
      <c r="I12"/>
      <c r="J12"/>
      <c r="K12"/>
      <c r="L12"/>
    </row>
    <row r="13" spans="2:30" s="77" customFormat="1" x14ac:dyDescent="0.3">
      <c r="B13" s="105" t="s">
        <v>1956</v>
      </c>
      <c r="C13" s="102" t="s">
        <v>1960</v>
      </c>
      <c r="D13" s="102" t="s">
        <v>1958</v>
      </c>
      <c r="E13" s="102" t="s">
        <v>2665</v>
      </c>
      <c r="F13" s="102" t="s">
        <v>1959</v>
      </c>
      <c r="G13" s="104" t="s">
        <v>2666</v>
      </c>
      <c r="H13"/>
      <c r="I13"/>
      <c r="J13"/>
      <c r="K13"/>
      <c r="L13"/>
      <c r="M13" s="62"/>
      <c r="N13" s="62"/>
      <c r="O13" s="62"/>
      <c r="P13" s="62"/>
      <c r="Q13" s="62"/>
      <c r="R13" s="62"/>
      <c r="S13" s="62"/>
      <c r="T13" s="62"/>
      <c r="U13" s="62"/>
      <c r="V13" s="62"/>
      <c r="W13" s="62"/>
      <c r="X13" s="62"/>
      <c r="Y13" s="62"/>
      <c r="Z13" s="62"/>
      <c r="AA13" s="62"/>
      <c r="AB13" s="62"/>
      <c r="AC13" s="62"/>
      <c r="AD13" s="62"/>
    </row>
    <row r="14" spans="2:30" x14ac:dyDescent="0.3">
      <c r="B14" s="140" t="s">
        <v>2005</v>
      </c>
      <c r="C14" s="141"/>
      <c r="D14" s="141"/>
      <c r="E14" s="141"/>
      <c r="F14" s="141"/>
      <c r="G14" s="142"/>
      <c r="H14"/>
      <c r="I14"/>
      <c r="J14"/>
      <c r="K14"/>
      <c r="L14"/>
    </row>
    <row r="15" spans="2:30" x14ac:dyDescent="0.3">
      <c r="B15" s="139" t="s">
        <v>210</v>
      </c>
      <c r="C15" s="141">
        <v>0.80877681043808647</v>
      </c>
      <c r="D15" s="141">
        <v>0.94109650843988557</v>
      </c>
      <c r="E15" s="141">
        <v>0.8328174365522174</v>
      </c>
      <c r="F15" s="141">
        <v>0.90587049704731992</v>
      </c>
      <c r="G15" s="142">
        <v>0.85667703047094046</v>
      </c>
      <c r="H15"/>
      <c r="I15"/>
      <c r="J15"/>
      <c r="K15"/>
      <c r="L15"/>
    </row>
    <row r="16" spans="2:30" x14ac:dyDescent="0.3">
      <c r="B16" s="140" t="s">
        <v>2006</v>
      </c>
      <c r="C16" s="141"/>
      <c r="D16" s="141"/>
      <c r="E16" s="141"/>
      <c r="F16" s="141"/>
      <c r="G16" s="142"/>
      <c r="H16"/>
      <c r="I16"/>
      <c r="J16"/>
      <c r="K16"/>
      <c r="L16"/>
    </row>
    <row r="17" spans="2:12" x14ac:dyDescent="0.3">
      <c r="B17" s="139" t="s">
        <v>1793</v>
      </c>
      <c r="C17" s="141">
        <v>0.4783020566797781</v>
      </c>
      <c r="D17" s="141">
        <v>4.4004529578920515</v>
      </c>
      <c r="E17" s="141">
        <v>0.54467354331898565</v>
      </c>
      <c r="F17" s="141">
        <v>1.4910229646661521</v>
      </c>
      <c r="G17" s="142">
        <v>0.72991099047636898</v>
      </c>
      <c r="H17"/>
      <c r="I17"/>
      <c r="J17"/>
      <c r="K17"/>
      <c r="L17"/>
    </row>
    <row r="18" spans="2:12" x14ac:dyDescent="0.3">
      <c r="B18" s="139" t="s">
        <v>209</v>
      </c>
      <c r="C18" s="141">
        <v>0.19122318956191367</v>
      </c>
      <c r="D18" s="141">
        <v>5.8903491560114311E-2</v>
      </c>
      <c r="E18" s="141">
        <v>0.16718256344778268</v>
      </c>
      <c r="F18" s="141">
        <v>9.4129502952680147E-2</v>
      </c>
      <c r="G18" s="142">
        <v>0.14332296952905987</v>
      </c>
      <c r="H18"/>
      <c r="I18"/>
      <c r="J18"/>
      <c r="K18"/>
      <c r="L18"/>
    </row>
    <row r="19" spans="2:12" x14ac:dyDescent="0.3">
      <c r="B19" s="139" t="s">
        <v>211</v>
      </c>
      <c r="C19" s="141">
        <v>0.91721971169469552</v>
      </c>
      <c r="D19" s="141">
        <v>1.097031717700178</v>
      </c>
      <c r="E19" s="141">
        <v>0.93137659639032822</v>
      </c>
      <c r="F19" s="141">
        <v>1.0243393430166845</v>
      </c>
      <c r="G19" s="142">
        <v>0.96649178045197748</v>
      </c>
      <c r="H19"/>
      <c r="I19"/>
      <c r="J19"/>
      <c r="K19"/>
      <c r="L19"/>
    </row>
    <row r="20" spans="2:12" x14ac:dyDescent="0.3">
      <c r="B20" s="140" t="s">
        <v>1794</v>
      </c>
      <c r="C20" s="141"/>
      <c r="D20" s="141"/>
      <c r="E20" s="141"/>
      <c r="F20" s="141"/>
      <c r="G20" s="142"/>
      <c r="H20"/>
      <c r="I20"/>
      <c r="J20"/>
      <c r="K20"/>
      <c r="L20"/>
    </row>
    <row r="21" spans="2:12" x14ac:dyDescent="0.3">
      <c r="B21" s="139" t="s">
        <v>212</v>
      </c>
      <c r="C21" s="141">
        <v>0</v>
      </c>
      <c r="D21" s="141">
        <v>3.4001395755811077E-2</v>
      </c>
      <c r="E21" s="141">
        <v>1.7399882195511619E-2</v>
      </c>
      <c r="F21" s="141">
        <v>0.14970390188727598</v>
      </c>
      <c r="G21" s="142">
        <v>1.9382792825551231E-2</v>
      </c>
      <c r="H21"/>
      <c r="I21"/>
      <c r="J21"/>
      <c r="K21"/>
      <c r="L21"/>
    </row>
    <row r="22" spans="2:12" x14ac:dyDescent="0.3">
      <c r="B22" s="139" t="s">
        <v>1792</v>
      </c>
      <c r="C22" s="141">
        <v>5.6882455107968272E-2</v>
      </c>
      <c r="D22" s="141">
        <v>3.7994162917565327E-2</v>
      </c>
      <c r="E22" s="141">
        <v>9.9515788906902089E-2</v>
      </c>
      <c r="F22" s="141">
        <v>3.5662509526376632E-2</v>
      </c>
      <c r="G22" s="142">
        <v>7.9125693057964269E-2</v>
      </c>
      <c r="H22"/>
      <c r="I22"/>
      <c r="J22"/>
      <c r="K22"/>
      <c r="L22"/>
    </row>
    <row r="23" spans="2:12" x14ac:dyDescent="0.3">
      <c r="B23" s="139" t="s">
        <v>213</v>
      </c>
      <c r="C23" s="141">
        <v>6.6655171540353955E-2</v>
      </c>
      <c r="D23" s="141">
        <v>2.4543905449750721E-2</v>
      </c>
      <c r="E23" s="141">
        <v>4.3993468927501791E-2</v>
      </c>
      <c r="F23" s="141">
        <v>2.636890736916488E-2</v>
      </c>
      <c r="G23" s="142">
        <v>3.6244123275664043E-2</v>
      </c>
      <c r="H23"/>
      <c r="I23"/>
      <c r="J23"/>
      <c r="K23"/>
      <c r="L23"/>
    </row>
    <row r="24" spans="2:12" x14ac:dyDescent="0.3">
      <c r="B24" s="139" t="s">
        <v>214</v>
      </c>
      <c r="C24" s="141">
        <v>0.1041235339692124</v>
      </c>
      <c r="D24" s="141">
        <v>0.10866220771700394</v>
      </c>
      <c r="E24" s="141">
        <v>4.9381305884424208E-2</v>
      </c>
      <c r="F24" s="141">
        <v>3.6499825326037363E-2</v>
      </c>
      <c r="G24" s="142">
        <v>5.538631894246579E-2</v>
      </c>
      <c r="H24"/>
      <c r="I24"/>
      <c r="J24"/>
      <c r="K24"/>
      <c r="L24"/>
    </row>
    <row r="25" spans="2:12" x14ac:dyDescent="0.3">
      <c r="B25" s="139" t="s">
        <v>215</v>
      </c>
      <c r="C25" s="141">
        <v>0</v>
      </c>
      <c r="D25" s="141">
        <v>0</v>
      </c>
      <c r="E25" s="141">
        <v>0</v>
      </c>
      <c r="F25" s="141">
        <v>0</v>
      </c>
      <c r="G25" s="142">
        <v>0</v>
      </c>
      <c r="H25"/>
      <c r="I25"/>
      <c r="J25"/>
      <c r="K25"/>
      <c r="L25"/>
    </row>
    <row r="26" spans="2:12" x14ac:dyDescent="0.3">
      <c r="B26" s="139" t="s">
        <v>216</v>
      </c>
      <c r="C26" s="141">
        <v>0</v>
      </c>
      <c r="D26" s="141">
        <v>0</v>
      </c>
      <c r="E26" s="141">
        <v>0</v>
      </c>
      <c r="F26" s="141">
        <v>0</v>
      </c>
      <c r="G26" s="142">
        <v>0</v>
      </c>
      <c r="H26"/>
      <c r="I26"/>
      <c r="J26"/>
      <c r="K26"/>
      <c r="L26"/>
    </row>
    <row r="27" spans="2:12" x14ac:dyDescent="0.3">
      <c r="B27" s="139" t="s">
        <v>217</v>
      </c>
      <c r="C27" s="141">
        <v>0</v>
      </c>
      <c r="D27" s="141">
        <v>7.7325685803809902E-3</v>
      </c>
      <c r="E27" s="141">
        <v>9.1915056997557507E-3</v>
      </c>
      <c r="F27" s="141">
        <v>0</v>
      </c>
      <c r="G27" s="142">
        <v>8.7135699030742204E-3</v>
      </c>
      <c r="H27"/>
      <c r="I27"/>
      <c r="J27"/>
      <c r="K27"/>
      <c r="L27"/>
    </row>
    <row r="28" spans="2:12" x14ac:dyDescent="0.3">
      <c r="B28" s="139" t="s">
        <v>218</v>
      </c>
      <c r="C28" s="141">
        <v>0</v>
      </c>
      <c r="D28" s="141">
        <v>0</v>
      </c>
      <c r="E28" s="141">
        <v>1.9419203812972768E-2</v>
      </c>
      <c r="F28" s="141">
        <v>0</v>
      </c>
      <c r="G28" s="142">
        <v>1.9419203812972768E-2</v>
      </c>
      <c r="H28"/>
      <c r="I28"/>
      <c r="J28"/>
      <c r="K28"/>
      <c r="L28"/>
    </row>
    <row r="29" spans="2:12" x14ac:dyDescent="0.3">
      <c r="B29" s="139" t="s">
        <v>219</v>
      </c>
      <c r="C29" s="141">
        <v>0</v>
      </c>
      <c r="D29" s="141">
        <v>0</v>
      </c>
      <c r="E29" s="141">
        <v>0</v>
      </c>
      <c r="F29" s="141">
        <v>0</v>
      </c>
      <c r="G29" s="142">
        <v>0</v>
      </c>
      <c r="H29"/>
      <c r="I29"/>
      <c r="J29"/>
      <c r="K29"/>
      <c r="L29"/>
    </row>
    <row r="30" spans="2:12" x14ac:dyDescent="0.3">
      <c r="B30" s="139" t="s">
        <v>220</v>
      </c>
      <c r="C30" s="141">
        <v>7.7698446196102278E-2</v>
      </c>
      <c r="D30" s="141">
        <v>2.4973696422588312E-2</v>
      </c>
      <c r="E30" s="141">
        <v>4.8294551813141372E-2</v>
      </c>
      <c r="F30" s="141">
        <v>3.3603958944491183E-2</v>
      </c>
      <c r="G30" s="142">
        <v>4.2551500863011182E-2</v>
      </c>
      <c r="H30"/>
      <c r="I30"/>
      <c r="J30"/>
      <c r="K30"/>
      <c r="L30"/>
    </row>
    <row r="31" spans="2:12" x14ac:dyDescent="0.3">
      <c r="B31" s="140" t="s">
        <v>2007</v>
      </c>
      <c r="C31" s="141"/>
      <c r="D31" s="141"/>
      <c r="E31" s="141"/>
      <c r="F31" s="141"/>
      <c r="G31" s="142"/>
      <c r="H31"/>
      <c r="I31"/>
      <c r="J31"/>
      <c r="K31"/>
      <c r="L31"/>
    </row>
    <row r="32" spans="2:12" x14ac:dyDescent="0.3">
      <c r="B32" s="139" t="s">
        <v>221</v>
      </c>
      <c r="C32" s="141">
        <v>0</v>
      </c>
      <c r="D32" s="144">
        <v>0.28992446004227257</v>
      </c>
      <c r="E32" s="141">
        <v>0.78414486526421789</v>
      </c>
      <c r="F32" s="141">
        <v>0.44374576444632408</v>
      </c>
      <c r="G32" s="142">
        <v>0.70895837240600179</v>
      </c>
      <c r="H32"/>
      <c r="I32"/>
      <c r="J32"/>
      <c r="K32"/>
      <c r="L32"/>
    </row>
    <row r="33" spans="2:12" x14ac:dyDescent="0.3">
      <c r="B33" s="139" t="s">
        <v>222</v>
      </c>
      <c r="C33" s="141">
        <v>0.8161948453381016</v>
      </c>
      <c r="D33" s="141">
        <v>0.96119018124161115</v>
      </c>
      <c r="E33" s="141">
        <v>0.73122813829879185</v>
      </c>
      <c r="F33" s="141">
        <v>1.0756077922907301</v>
      </c>
      <c r="G33" s="142">
        <v>0.77337601993098293</v>
      </c>
      <c r="H33"/>
      <c r="I33"/>
      <c r="J33"/>
      <c r="K33"/>
      <c r="L33"/>
    </row>
    <row r="34" spans="2:12" x14ac:dyDescent="0.3">
      <c r="B34" s="139" t="s">
        <v>223</v>
      </c>
      <c r="C34" s="141">
        <v>0.50253333611744577</v>
      </c>
      <c r="D34" s="141">
        <v>0.82392663122893384</v>
      </c>
      <c r="E34" s="141">
        <v>0.64648811985009136</v>
      </c>
      <c r="F34" s="141">
        <v>0.74459849724465133</v>
      </c>
      <c r="G34" s="142">
        <v>0.68982643062243298</v>
      </c>
      <c r="H34"/>
      <c r="I34"/>
      <c r="J34"/>
      <c r="K34"/>
      <c r="L34"/>
    </row>
    <row r="35" spans="2:12" x14ac:dyDescent="0.3">
      <c r="B35" s="139" t="s">
        <v>224</v>
      </c>
      <c r="C35" s="141">
        <v>0.61109885531215391</v>
      </c>
      <c r="D35" s="141">
        <v>0.72250178814029176</v>
      </c>
      <c r="E35" s="141">
        <v>0.88378070404020026</v>
      </c>
      <c r="F35" s="141">
        <v>1.3859571525690995</v>
      </c>
      <c r="G35" s="142">
        <v>0.85192907057583711</v>
      </c>
      <c r="H35"/>
      <c r="I35"/>
      <c r="J35"/>
      <c r="K35"/>
      <c r="L35"/>
    </row>
    <row r="36" spans="2:12" x14ac:dyDescent="0.3">
      <c r="B36" s="139" t="s">
        <v>225</v>
      </c>
      <c r="C36" s="141">
        <v>0</v>
      </c>
      <c r="D36" s="141">
        <v>0</v>
      </c>
      <c r="E36" s="141">
        <v>0</v>
      </c>
      <c r="F36" s="141">
        <v>0</v>
      </c>
      <c r="G36" s="142">
        <v>0</v>
      </c>
      <c r="H36"/>
      <c r="I36"/>
      <c r="J36"/>
      <c r="K36"/>
      <c r="L36"/>
    </row>
    <row r="37" spans="2:12" x14ac:dyDescent="0.3">
      <c r="B37" s="139" t="s">
        <v>226</v>
      </c>
      <c r="C37" s="141">
        <v>0</v>
      </c>
      <c r="D37" s="141">
        <v>0</v>
      </c>
      <c r="E37" s="141">
        <v>0</v>
      </c>
      <c r="F37" s="141">
        <v>0</v>
      </c>
      <c r="G37" s="142">
        <v>0</v>
      </c>
      <c r="H37"/>
      <c r="I37"/>
      <c r="J37"/>
      <c r="K37"/>
      <c r="L37"/>
    </row>
    <row r="38" spans="2:12" x14ac:dyDescent="0.3">
      <c r="B38" s="139" t="s">
        <v>227</v>
      </c>
      <c r="C38" s="141">
        <v>0</v>
      </c>
      <c r="D38" s="141">
        <v>1.3325588423842656</v>
      </c>
      <c r="E38" s="141">
        <v>0.85036232023610459</v>
      </c>
      <c r="F38" s="141">
        <v>0</v>
      </c>
      <c r="G38" s="142">
        <v>0.99054188919795549</v>
      </c>
      <c r="H38"/>
      <c r="I38"/>
      <c r="J38"/>
      <c r="K38"/>
      <c r="L38"/>
    </row>
    <row r="39" spans="2:12" x14ac:dyDescent="0.3">
      <c r="B39" s="139" t="s">
        <v>228</v>
      </c>
      <c r="C39" s="141">
        <v>0</v>
      </c>
      <c r="D39" s="141">
        <v>0</v>
      </c>
      <c r="E39" s="141">
        <v>0.48985891479382543</v>
      </c>
      <c r="F39" s="141">
        <v>0</v>
      </c>
      <c r="G39" s="142">
        <v>0.48985891479382543</v>
      </c>
      <c r="H39"/>
      <c r="I39"/>
      <c r="J39"/>
      <c r="K39"/>
      <c r="L39"/>
    </row>
    <row r="40" spans="2:12" x14ac:dyDescent="0.3">
      <c r="B40" s="139" t="s">
        <v>229</v>
      </c>
      <c r="C40" s="141">
        <v>0</v>
      </c>
      <c r="D40" s="141">
        <v>0</v>
      </c>
      <c r="E40" s="141">
        <v>0</v>
      </c>
      <c r="F40" s="141">
        <v>0</v>
      </c>
      <c r="G40" s="142">
        <v>0</v>
      </c>
      <c r="H40"/>
      <c r="I40"/>
      <c r="J40"/>
      <c r="K40"/>
      <c r="L40"/>
    </row>
    <row r="41" spans="2:12" x14ac:dyDescent="0.3">
      <c r="B41" s="139" t="s">
        <v>230</v>
      </c>
      <c r="C41" s="141">
        <v>0.62916061927824407</v>
      </c>
      <c r="D41" s="141">
        <v>0.83906129916419814</v>
      </c>
      <c r="E41" s="141">
        <v>0.719445566615735</v>
      </c>
      <c r="F41" s="141">
        <v>0.99758628284170858</v>
      </c>
      <c r="G41" s="142">
        <v>0.74632263174263258</v>
      </c>
      <c r="H41"/>
      <c r="I41"/>
      <c r="J41"/>
      <c r="K41"/>
      <c r="L41"/>
    </row>
    <row r="42" spans="2:12" x14ac:dyDescent="0.3">
      <c r="B42" s="140" t="s">
        <v>2008</v>
      </c>
      <c r="C42" s="141"/>
      <c r="D42" s="141"/>
      <c r="E42" s="141"/>
      <c r="F42" s="141"/>
      <c r="G42" s="142"/>
      <c r="H42"/>
      <c r="I42"/>
      <c r="J42"/>
      <c r="K42"/>
      <c r="L42"/>
    </row>
    <row r="43" spans="2:12" x14ac:dyDescent="0.3">
      <c r="B43" s="143" t="s">
        <v>231</v>
      </c>
      <c r="C43" s="144">
        <v>4.5818798698475938E-2</v>
      </c>
      <c r="D43" s="144">
        <v>3.4145853118829811E-2</v>
      </c>
      <c r="E43" s="144">
        <v>4.7315645670479523E-2</v>
      </c>
      <c r="F43" s="144">
        <v>4.1334712056658417E-2</v>
      </c>
      <c r="G43" s="145">
        <v>4.4447723993117333E-2</v>
      </c>
      <c r="H43"/>
      <c r="I43"/>
      <c r="J43"/>
      <c r="K43"/>
      <c r="L43"/>
    </row>
    <row r="44" spans="2:12" x14ac:dyDescent="0.3">
      <c r="B44" s="139" t="s">
        <v>232</v>
      </c>
      <c r="C44" s="141">
        <v>2.8322733212653808</v>
      </c>
      <c r="D44" s="141">
        <v>0.65742362567512658</v>
      </c>
      <c r="E44" s="141">
        <v>1.3065586447256163</v>
      </c>
      <c r="F44" s="141">
        <v>0.88119425236320559</v>
      </c>
      <c r="G44" s="142">
        <v>1.1335852415909335</v>
      </c>
      <c r="H44"/>
      <c r="I44"/>
      <c r="J44"/>
      <c r="K44"/>
      <c r="L44"/>
    </row>
    <row r="45" spans="2:12" x14ac:dyDescent="0.3">
      <c r="B45" s="139" t="s">
        <v>233</v>
      </c>
      <c r="C45" s="141">
        <v>2.0195350355929741E-2</v>
      </c>
      <c r="D45" s="141">
        <v>1.64787935925996E-2</v>
      </c>
      <c r="E45" s="141">
        <v>1.74130856514371E-2</v>
      </c>
      <c r="F45" s="141">
        <v>1.805468930361569E-2</v>
      </c>
      <c r="G45" s="142">
        <v>1.7349422816154689E-2</v>
      </c>
      <c r="H45"/>
      <c r="I45"/>
      <c r="J45"/>
      <c r="K45"/>
      <c r="L45"/>
    </row>
    <row r="46" spans="2:12" x14ac:dyDescent="0.3">
      <c r="B46" s="140" t="s">
        <v>2009</v>
      </c>
      <c r="C46" s="141"/>
      <c r="D46" s="141"/>
      <c r="E46" s="141"/>
      <c r="F46" s="141"/>
      <c r="G46" s="142"/>
      <c r="H46"/>
      <c r="I46"/>
      <c r="J46"/>
      <c r="K46"/>
      <c r="L46"/>
    </row>
    <row r="47" spans="2:12" x14ac:dyDescent="0.3">
      <c r="B47" s="139" t="s">
        <v>234</v>
      </c>
      <c r="C47" s="141">
        <v>-0.31560720737223785</v>
      </c>
      <c r="D47" s="141">
        <v>0.14869649459006715</v>
      </c>
      <c r="E47" s="141">
        <v>4.0582394233586082E-2</v>
      </c>
      <c r="F47" s="141">
        <v>0.10829118800695141</v>
      </c>
      <c r="G47" s="142">
        <v>6.1823147611373329E-2</v>
      </c>
      <c r="H47"/>
      <c r="I47"/>
      <c r="J47"/>
      <c r="K47"/>
      <c r="L47"/>
    </row>
    <row r="48" spans="2:12" x14ac:dyDescent="0.3">
      <c r="B48" s="139" t="s">
        <v>235</v>
      </c>
      <c r="C48" s="141">
        <v>-2.5896931475584129E-2</v>
      </c>
      <c r="D48" s="141">
        <v>1.680193546302676E-2</v>
      </c>
      <c r="E48" s="141">
        <v>3.17726326822585E-3</v>
      </c>
      <c r="F48" s="141">
        <v>9.7241033970748396E-3</v>
      </c>
      <c r="G48" s="142">
        <v>5.2928916812848403E-3</v>
      </c>
      <c r="H48"/>
      <c r="I48"/>
      <c r="J48"/>
      <c r="K48"/>
      <c r="L48"/>
    </row>
    <row r="49" spans="2:12" x14ac:dyDescent="0.3">
      <c r="B49" s="140" t="s">
        <v>2010</v>
      </c>
      <c r="C49" s="141"/>
      <c r="D49" s="141"/>
      <c r="E49" s="141"/>
      <c r="F49" s="141"/>
      <c r="G49" s="142"/>
      <c r="H49"/>
      <c r="I49"/>
      <c r="J49"/>
      <c r="K49"/>
      <c r="L49"/>
    </row>
    <row r="50" spans="2:12" x14ac:dyDescent="0.3">
      <c r="B50" s="139" t="s">
        <v>236</v>
      </c>
      <c r="C50" s="141">
        <v>0.85909933796348636</v>
      </c>
      <c r="D50" s="141">
        <v>0.92846397633271327</v>
      </c>
      <c r="E50" s="141">
        <v>0.67341179738345136</v>
      </c>
      <c r="F50" s="141">
        <v>0.95974426382055433</v>
      </c>
      <c r="G50" s="142">
        <v>0.74365809415480033</v>
      </c>
      <c r="H50"/>
      <c r="I50"/>
      <c r="J50"/>
      <c r="K50"/>
      <c r="L50"/>
    </row>
    <row r="51" spans="2:12" x14ac:dyDescent="0.3">
      <c r="B51" s="140" t="s">
        <v>2011</v>
      </c>
      <c r="C51" s="141"/>
      <c r="D51" s="141"/>
      <c r="E51" s="141"/>
      <c r="F51" s="141"/>
      <c r="G51" s="142"/>
      <c r="H51"/>
      <c r="I51"/>
      <c r="J51"/>
      <c r="K51"/>
      <c r="L51"/>
    </row>
    <row r="52" spans="2:12" x14ac:dyDescent="0.3">
      <c r="B52" s="139" t="s">
        <v>237</v>
      </c>
      <c r="C52" s="141">
        <v>-0.36124130278137778</v>
      </c>
      <c r="D52" s="141">
        <v>0.15746770124748577</v>
      </c>
      <c r="E52" s="141">
        <v>-0.14179923700564731</v>
      </c>
      <c r="F52" s="141">
        <v>6.2061785015192029E-2</v>
      </c>
      <c r="G52" s="142">
        <v>-6.118034626864334E-2</v>
      </c>
      <c r="H52"/>
      <c r="I52"/>
      <c r="J52"/>
      <c r="K52"/>
      <c r="L52"/>
    </row>
    <row r="53" spans="2:12" x14ac:dyDescent="0.3">
      <c r="B53" s="139" t="s">
        <v>238</v>
      </c>
      <c r="C53" s="141">
        <v>-2.9641405664245269E-2</v>
      </c>
      <c r="D53" s="141">
        <v>1.779303648795073E-2</v>
      </c>
      <c r="E53" s="141">
        <v>-1.110169854955558E-2</v>
      </c>
      <c r="F53" s="141">
        <v>5.5728931005542002E-3</v>
      </c>
      <c r="G53" s="142">
        <v>-5.2378592539319103E-3</v>
      </c>
      <c r="H53"/>
      <c r="I53"/>
      <c r="J53"/>
      <c r="K53"/>
      <c r="L53"/>
    </row>
    <row r="54" spans="2:12" x14ac:dyDescent="0.3">
      <c r="B54" s="140" t="s">
        <v>2012</v>
      </c>
      <c r="C54" s="141"/>
      <c r="D54" s="141"/>
      <c r="E54" s="141"/>
      <c r="F54" s="141"/>
      <c r="G54" s="142"/>
      <c r="H54"/>
      <c r="I54"/>
      <c r="J54"/>
      <c r="K54"/>
      <c r="L54"/>
    </row>
    <row r="55" spans="2:12" x14ac:dyDescent="0.3">
      <c r="B55" s="139" t="s">
        <v>239</v>
      </c>
      <c r="C55" s="141">
        <v>0</v>
      </c>
      <c r="D55" s="141">
        <v>0.10904887257777129</v>
      </c>
      <c r="E55" s="141">
        <v>9.9777431556923368E-2</v>
      </c>
      <c r="F55" s="141">
        <v>0.12529554697112061</v>
      </c>
      <c r="G55" s="142">
        <v>0.10052880543851185</v>
      </c>
      <c r="H55"/>
      <c r="I55"/>
      <c r="J55"/>
      <c r="K55"/>
      <c r="L55"/>
    </row>
    <row r="56" spans="2:12" x14ac:dyDescent="0.3">
      <c r="B56" s="139" t="s">
        <v>240</v>
      </c>
      <c r="C56" s="141">
        <v>0.13840050144136545</v>
      </c>
      <c r="D56" s="141">
        <v>0.14958062619860549</v>
      </c>
      <c r="E56" s="141">
        <v>0.1343141233857903</v>
      </c>
      <c r="F56" s="141">
        <v>0.15259496139375922</v>
      </c>
      <c r="G56" s="142">
        <v>0.13963426542964</v>
      </c>
      <c r="H56"/>
      <c r="I56"/>
      <c r="J56"/>
      <c r="K56"/>
      <c r="L56"/>
    </row>
    <row r="57" spans="2:12" x14ac:dyDescent="0.3">
      <c r="B57" s="139" t="s">
        <v>241</v>
      </c>
      <c r="C57" s="141">
        <v>0.10126197970097578</v>
      </c>
      <c r="D57" s="141">
        <v>0.10715077075652943</v>
      </c>
      <c r="E57" s="141">
        <v>0.10902016939390714</v>
      </c>
      <c r="F57" s="141">
        <v>0.10470548150899522</v>
      </c>
      <c r="G57" s="142">
        <v>0.10792714378933979</v>
      </c>
      <c r="H57"/>
      <c r="I57"/>
      <c r="J57"/>
      <c r="K57"/>
      <c r="L57"/>
    </row>
    <row r="58" spans="2:12" x14ac:dyDescent="0.3">
      <c r="B58" s="139" t="s">
        <v>242</v>
      </c>
      <c r="C58" s="141">
        <v>0.16386158912371454</v>
      </c>
      <c r="D58" s="141">
        <v>0.1693921054094335</v>
      </c>
      <c r="E58" s="141">
        <v>0.19774484924613103</v>
      </c>
      <c r="F58" s="141">
        <v>0.1934392597023189</v>
      </c>
      <c r="G58" s="142">
        <v>0.19286268036764947</v>
      </c>
      <c r="H58"/>
      <c r="I58"/>
      <c r="J58"/>
      <c r="K58"/>
      <c r="L58"/>
    </row>
    <row r="59" spans="2:12" x14ac:dyDescent="0.3">
      <c r="B59" s="139" t="s">
        <v>243</v>
      </c>
      <c r="C59" s="141">
        <v>0</v>
      </c>
      <c r="D59" s="141">
        <v>0</v>
      </c>
      <c r="E59" s="141">
        <v>0</v>
      </c>
      <c r="F59" s="141">
        <v>0</v>
      </c>
      <c r="G59" s="142">
        <v>0</v>
      </c>
      <c r="H59"/>
      <c r="I59"/>
      <c r="J59"/>
      <c r="K59"/>
      <c r="L59"/>
    </row>
    <row r="60" spans="2:12" x14ac:dyDescent="0.3">
      <c r="B60" s="139" t="s">
        <v>244</v>
      </c>
      <c r="C60" s="141">
        <v>0</v>
      </c>
      <c r="D60" s="141">
        <v>0</v>
      </c>
      <c r="E60" s="141">
        <v>4.6853380848014332E-2</v>
      </c>
      <c r="F60" s="141">
        <v>0</v>
      </c>
      <c r="G60" s="142">
        <v>4.6853380848014332E-2</v>
      </c>
      <c r="H60"/>
      <c r="I60"/>
      <c r="J60"/>
      <c r="K60"/>
      <c r="L60"/>
    </row>
    <row r="61" spans="2:12" x14ac:dyDescent="0.3">
      <c r="B61" s="139" t="s">
        <v>245</v>
      </c>
      <c r="C61" s="141">
        <v>0</v>
      </c>
      <c r="D61" s="141">
        <v>0</v>
      </c>
      <c r="E61" s="141">
        <v>0</v>
      </c>
      <c r="F61" s="141">
        <v>0</v>
      </c>
      <c r="G61" s="142">
        <v>0</v>
      </c>
      <c r="H61"/>
      <c r="I61"/>
      <c r="J61"/>
      <c r="K61"/>
      <c r="L61"/>
    </row>
    <row r="62" spans="2:12" x14ac:dyDescent="0.3">
      <c r="B62" s="139" t="s">
        <v>246</v>
      </c>
      <c r="C62" s="141">
        <v>0.16577675928983482</v>
      </c>
      <c r="D62" s="141">
        <v>0</v>
      </c>
      <c r="E62" s="141">
        <v>0.51115058402145663</v>
      </c>
      <c r="F62" s="141">
        <v>0.35462022600632548</v>
      </c>
      <c r="G62" s="142">
        <v>0.20208268851453604</v>
      </c>
      <c r="H62"/>
      <c r="I62"/>
      <c r="J62"/>
      <c r="K62"/>
      <c r="L62"/>
    </row>
    <row r="63" spans="2:12" x14ac:dyDescent="0.3">
      <c r="B63" s="139" t="s">
        <v>247</v>
      </c>
      <c r="C63" s="141">
        <v>0</v>
      </c>
      <c r="D63" s="141">
        <v>0</v>
      </c>
      <c r="E63" s="141">
        <v>0</v>
      </c>
      <c r="F63" s="149">
        <v>0.12368025987647435</v>
      </c>
      <c r="G63" s="142">
        <v>3.7927766751938798E-3</v>
      </c>
      <c r="H63"/>
      <c r="I63"/>
      <c r="J63"/>
      <c r="K63"/>
      <c r="L63"/>
    </row>
    <row r="64" spans="2:12" x14ac:dyDescent="0.3">
      <c r="B64" s="139" t="s">
        <v>248</v>
      </c>
      <c r="C64" s="141">
        <v>0.15781001836813269</v>
      </c>
      <c r="D64" s="141">
        <v>0.11767226221164173</v>
      </c>
      <c r="E64" s="141">
        <v>0.12669312325059709</v>
      </c>
      <c r="F64" s="141">
        <v>0.14155074172161175</v>
      </c>
      <c r="G64" s="142">
        <v>0.1264631369675841</v>
      </c>
      <c r="H64"/>
      <c r="I64"/>
      <c r="J64"/>
      <c r="K64"/>
      <c r="L64"/>
    </row>
    <row r="65" spans="2:12" x14ac:dyDescent="0.3">
      <c r="B65" s="140" t="s">
        <v>2664</v>
      </c>
      <c r="C65" s="141"/>
      <c r="D65" s="141"/>
      <c r="E65" s="141"/>
      <c r="F65" s="141"/>
      <c r="G65" s="142"/>
      <c r="H65"/>
      <c r="I65"/>
      <c r="J65"/>
      <c r="K65"/>
      <c r="L65"/>
    </row>
    <row r="66" spans="2:12" x14ac:dyDescent="0.3">
      <c r="B66" s="139" t="s">
        <v>1795</v>
      </c>
      <c r="C66" s="141">
        <v>0.11277396211178056</v>
      </c>
      <c r="D66" s="141">
        <v>9.1311804030949559E-2</v>
      </c>
      <c r="E66" s="141">
        <v>7.7034098179454974E-2</v>
      </c>
      <c r="F66" s="141">
        <v>0.15875926271075996</v>
      </c>
      <c r="G66" s="142">
        <v>8.4020706690368388E-2</v>
      </c>
      <c r="H66"/>
      <c r="I66"/>
      <c r="J66"/>
      <c r="K66"/>
      <c r="L66"/>
    </row>
    <row r="67" spans="2:12" x14ac:dyDescent="0.3">
      <c r="B67" s="140" t="s">
        <v>2659</v>
      </c>
      <c r="C67" s="141"/>
      <c r="D67" s="141"/>
      <c r="E67" s="141"/>
      <c r="F67" s="141"/>
      <c r="G67" s="142"/>
      <c r="H67"/>
      <c r="I67"/>
      <c r="J67"/>
      <c r="K67"/>
      <c r="L67"/>
    </row>
    <row r="68" spans="2:12" x14ac:dyDescent="0.3">
      <c r="B68" s="139" t="s">
        <v>2660</v>
      </c>
      <c r="C68" s="141">
        <v>0.10361804683865333</v>
      </c>
      <c r="D68" s="141">
        <v>0.18688014372358003</v>
      </c>
      <c r="E68" s="141">
        <v>0.11242416202986785</v>
      </c>
      <c r="F68" s="141">
        <v>0.12429843452159663</v>
      </c>
      <c r="G68" s="142">
        <v>0.12544241205918247</v>
      </c>
      <c r="H68"/>
      <c r="I68"/>
      <c r="J68"/>
      <c r="K68"/>
      <c r="L68"/>
    </row>
    <row r="69" spans="2:12" x14ac:dyDescent="0.3">
      <c r="B69" s="140" t="s">
        <v>2013</v>
      </c>
      <c r="C69" s="141"/>
      <c r="D69" s="141"/>
      <c r="E69" s="141"/>
      <c r="F69" s="141"/>
      <c r="G69" s="142"/>
      <c r="H69"/>
      <c r="I69"/>
      <c r="J69"/>
      <c r="K69"/>
      <c r="L69"/>
    </row>
    <row r="70" spans="2:12" x14ac:dyDescent="0.3">
      <c r="B70" s="139" t="s">
        <v>1796</v>
      </c>
      <c r="C70" s="141">
        <v>0.25246204434058289</v>
      </c>
      <c r="D70" s="141">
        <v>2.7803347923375962E-2</v>
      </c>
      <c r="E70" s="141">
        <v>9.5791798144701873E-2</v>
      </c>
      <c r="F70" s="141">
        <v>7.0001283371080001E-4</v>
      </c>
      <c r="G70" s="142">
        <v>7.7344314150502413E-2</v>
      </c>
      <c r="H70"/>
      <c r="I70"/>
      <c r="J70"/>
      <c r="K70"/>
      <c r="L70"/>
    </row>
    <row r="71" spans="2:12" x14ac:dyDescent="0.3">
      <c r="B71" s="139" t="s">
        <v>1797</v>
      </c>
      <c r="C71" s="141">
        <v>0.66292101210927257</v>
      </c>
      <c r="D71" s="141">
        <v>0.1748980790514359</v>
      </c>
      <c r="E71" s="141">
        <v>0.34259217287333504</v>
      </c>
      <c r="F71" s="141">
        <v>0.29262581140775801</v>
      </c>
      <c r="G71" s="142">
        <v>0.30646293756917209</v>
      </c>
      <c r="H71"/>
      <c r="I71"/>
      <c r="J71"/>
      <c r="K71"/>
      <c r="L71"/>
    </row>
    <row r="72" spans="2:12" x14ac:dyDescent="0.3">
      <c r="B72" s="139" t="s">
        <v>249</v>
      </c>
      <c r="C72" s="141">
        <v>7.904663722074233E-2</v>
      </c>
      <c r="D72" s="141">
        <v>0.11352421752088149</v>
      </c>
      <c r="E72" s="141">
        <v>7.7734045464275356E-2</v>
      </c>
      <c r="F72" s="141">
        <v>9.0598736181346395E-2</v>
      </c>
      <c r="G72" s="142">
        <v>8.5279158132227556E-2</v>
      </c>
      <c r="H72"/>
      <c r="I72"/>
      <c r="J72"/>
      <c r="K72"/>
      <c r="L72"/>
    </row>
    <row r="73" spans="2:12" x14ac:dyDescent="0.3">
      <c r="B73" s="139" t="s">
        <v>250</v>
      </c>
      <c r="C73" s="141">
        <v>1.2017140165937308</v>
      </c>
      <c r="D73" s="141">
        <v>1.06947246082734</v>
      </c>
      <c r="E73" s="141">
        <v>1.2377303412306158</v>
      </c>
      <c r="F73" s="141">
        <v>1.1104570775078451</v>
      </c>
      <c r="G73" s="142">
        <v>1.1978146177359479</v>
      </c>
      <c r="H73"/>
      <c r="I73"/>
      <c r="J73"/>
      <c r="K73"/>
      <c r="L73"/>
    </row>
    <row r="74" spans="2:12" x14ac:dyDescent="0.3">
      <c r="B74" s="146" t="s">
        <v>251</v>
      </c>
      <c r="C74" s="147">
        <v>6.5778243516540436E-2</v>
      </c>
      <c r="D74" s="147">
        <v>0.10614973426530269</v>
      </c>
      <c r="E74" s="147">
        <v>6.280370034961584E-2</v>
      </c>
      <c r="F74" s="147">
        <v>8.1586887072369843E-2</v>
      </c>
      <c r="G74" s="148">
        <v>7.1195623153621351E-2</v>
      </c>
      <c r="H74"/>
      <c r="I74"/>
      <c r="J74"/>
      <c r="K74"/>
      <c r="L74"/>
    </row>
    <row r="75" spans="2:12" x14ac:dyDescent="0.3">
      <c r="B75"/>
      <c r="C75"/>
      <c r="D75"/>
      <c r="E75"/>
      <c r="F75"/>
      <c r="G75"/>
    </row>
    <row r="76" spans="2:12" x14ac:dyDescent="0.3">
      <c r="B76"/>
      <c r="C76"/>
      <c r="D76"/>
      <c r="E76"/>
      <c r="F76"/>
      <c r="G76"/>
    </row>
    <row r="77" spans="2:12" x14ac:dyDescent="0.3">
      <c r="B77"/>
      <c r="C77"/>
      <c r="D77"/>
      <c r="E77"/>
      <c r="F77"/>
      <c r="G77"/>
    </row>
    <row r="78" spans="2:12" x14ac:dyDescent="0.3">
      <c r="B78"/>
      <c r="C78"/>
      <c r="D78"/>
      <c r="E78"/>
      <c r="F78"/>
      <c r="G78"/>
    </row>
    <row r="79" spans="2:12" x14ac:dyDescent="0.3">
      <c r="B79"/>
      <c r="C79"/>
      <c r="D79"/>
      <c r="E79"/>
      <c r="F79"/>
      <c r="G79"/>
    </row>
    <row r="80" spans="2:12" x14ac:dyDescent="0.3">
      <c r="B80"/>
      <c r="C80"/>
      <c r="D80"/>
      <c r="E80"/>
      <c r="F80"/>
      <c r="G80"/>
    </row>
    <row r="81" spans="2:7" x14ac:dyDescent="0.3">
      <c r="B81"/>
      <c r="C81"/>
      <c r="D81"/>
      <c r="E81"/>
      <c r="F81"/>
      <c r="G81"/>
    </row>
    <row r="82" spans="2:7" x14ac:dyDescent="0.3">
      <c r="B82"/>
      <c r="C82"/>
      <c r="D82"/>
      <c r="E82"/>
      <c r="F82"/>
      <c r="G82"/>
    </row>
    <row r="83" spans="2:7" x14ac:dyDescent="0.3">
      <c r="B83"/>
      <c r="C83"/>
      <c r="D83"/>
      <c r="E83"/>
      <c r="F83"/>
      <c r="G83"/>
    </row>
    <row r="84" spans="2:7" x14ac:dyDescent="0.3">
      <c r="B84"/>
      <c r="C84"/>
      <c r="D84"/>
      <c r="E84"/>
      <c r="F84"/>
      <c r="G84"/>
    </row>
    <row r="85" spans="2:7" x14ac:dyDescent="0.3">
      <c r="B85"/>
      <c r="C85"/>
      <c r="D85"/>
      <c r="E85"/>
      <c r="F85"/>
      <c r="G85"/>
    </row>
    <row r="86" spans="2:7" x14ac:dyDescent="0.3">
      <c r="B86"/>
      <c r="C86"/>
      <c r="D86"/>
      <c r="E86"/>
      <c r="F86"/>
      <c r="G86"/>
    </row>
    <row r="87" spans="2:7" x14ac:dyDescent="0.3">
      <c r="B87"/>
      <c r="C87"/>
      <c r="D87"/>
      <c r="E87"/>
      <c r="F87"/>
      <c r="G87"/>
    </row>
    <row r="88" spans="2:7" x14ac:dyDescent="0.3">
      <c r="B88"/>
      <c r="C88"/>
      <c r="D88"/>
      <c r="E88"/>
      <c r="F88"/>
      <c r="G88"/>
    </row>
    <row r="89" spans="2:7" x14ac:dyDescent="0.3">
      <c r="B89"/>
      <c r="C89"/>
      <c r="D89"/>
      <c r="E89"/>
      <c r="F89"/>
      <c r="G89"/>
    </row>
    <row r="90" spans="2:7" x14ac:dyDescent="0.3">
      <c r="B90"/>
      <c r="C90"/>
      <c r="D90"/>
      <c r="E90"/>
      <c r="F90"/>
      <c r="G90"/>
    </row>
    <row r="91" spans="2:7" x14ac:dyDescent="0.3">
      <c r="B91"/>
      <c r="C91"/>
      <c r="D91"/>
      <c r="E91"/>
      <c r="F91"/>
      <c r="G91"/>
    </row>
    <row r="92" spans="2:7" x14ac:dyDescent="0.3">
      <c r="B92"/>
      <c r="C92"/>
      <c r="D92"/>
      <c r="E92"/>
      <c r="F92"/>
      <c r="G92"/>
    </row>
    <row r="93" spans="2:7" x14ac:dyDescent="0.3">
      <c r="B93"/>
      <c r="C93"/>
      <c r="D93"/>
      <c r="E93"/>
      <c r="F93"/>
      <c r="G93"/>
    </row>
    <row r="94" spans="2:7" x14ac:dyDescent="0.3">
      <c r="B94"/>
      <c r="C94"/>
      <c r="D94"/>
      <c r="E94"/>
      <c r="F94"/>
      <c r="G94"/>
    </row>
    <row r="95" spans="2:7" x14ac:dyDescent="0.3">
      <c r="B95"/>
      <c r="C95"/>
      <c r="D95"/>
      <c r="E95"/>
      <c r="F95"/>
      <c r="G95"/>
    </row>
    <row r="96" spans="2:7" x14ac:dyDescent="0.3">
      <c r="B96"/>
      <c r="C96"/>
      <c r="D96"/>
      <c r="E96"/>
      <c r="F96"/>
      <c r="G96"/>
    </row>
    <row r="97" spans="2:7" x14ac:dyDescent="0.3">
      <c r="B97"/>
      <c r="C97"/>
      <c r="D97"/>
      <c r="E97"/>
      <c r="F97"/>
      <c r="G97"/>
    </row>
    <row r="98" spans="2:7" x14ac:dyDescent="0.3">
      <c r="B98"/>
      <c r="C98"/>
      <c r="D98"/>
      <c r="E98"/>
      <c r="F98"/>
      <c r="G98"/>
    </row>
    <row r="99" spans="2:7" x14ac:dyDescent="0.3">
      <c r="B99"/>
      <c r="C99"/>
      <c r="D99"/>
      <c r="E99"/>
      <c r="F99"/>
      <c r="G99"/>
    </row>
    <row r="100" spans="2:7" x14ac:dyDescent="0.3">
      <c r="B100"/>
      <c r="C100"/>
      <c r="D100"/>
      <c r="E100"/>
      <c r="F100"/>
      <c r="G100"/>
    </row>
    <row r="101" spans="2:7" x14ac:dyDescent="0.3">
      <c r="B101"/>
      <c r="C101"/>
      <c r="D101"/>
      <c r="E101"/>
      <c r="F101"/>
      <c r="G101"/>
    </row>
    <row r="102" spans="2:7" x14ac:dyDescent="0.3">
      <c r="B102"/>
      <c r="C102"/>
      <c r="D102"/>
      <c r="E102"/>
      <c r="F102"/>
      <c r="G102"/>
    </row>
    <row r="103" spans="2:7" x14ac:dyDescent="0.3">
      <c r="B103"/>
      <c r="C103"/>
      <c r="D103"/>
      <c r="E103"/>
      <c r="F103"/>
      <c r="G103"/>
    </row>
    <row r="104" spans="2:7" x14ac:dyDescent="0.3">
      <c r="B104"/>
      <c r="C104"/>
      <c r="D104"/>
      <c r="E104"/>
      <c r="F104"/>
      <c r="G104"/>
    </row>
    <row r="105" spans="2:7" x14ac:dyDescent="0.3">
      <c r="B105"/>
      <c r="C105"/>
      <c r="D105"/>
      <c r="E105"/>
      <c r="F105"/>
      <c r="G105"/>
    </row>
    <row r="106" spans="2:7" x14ac:dyDescent="0.3">
      <c r="B106"/>
      <c r="C106"/>
      <c r="D106"/>
      <c r="E106"/>
      <c r="F106"/>
      <c r="G106"/>
    </row>
    <row r="107" spans="2:7" x14ac:dyDescent="0.3">
      <c r="B107"/>
      <c r="C107"/>
      <c r="D107"/>
      <c r="E107"/>
      <c r="F107"/>
      <c r="G107"/>
    </row>
    <row r="108" spans="2:7" x14ac:dyDescent="0.3">
      <c r="B108"/>
      <c r="C108"/>
      <c r="D108"/>
      <c r="E108"/>
      <c r="F108"/>
      <c r="G108"/>
    </row>
    <row r="109" spans="2:7" x14ac:dyDescent="0.3">
      <c r="B109"/>
      <c r="C109"/>
      <c r="D109"/>
      <c r="E109"/>
      <c r="F109"/>
      <c r="G109"/>
    </row>
    <row r="110" spans="2:7" x14ac:dyDescent="0.3">
      <c r="B110"/>
      <c r="C110"/>
      <c r="D110"/>
      <c r="E110"/>
      <c r="F110"/>
      <c r="G110"/>
    </row>
    <row r="111" spans="2:7" x14ac:dyDescent="0.3">
      <c r="B111"/>
      <c r="C111"/>
      <c r="D111"/>
      <c r="E111"/>
      <c r="F111"/>
      <c r="G111"/>
    </row>
    <row r="112" spans="2:7" x14ac:dyDescent="0.3">
      <c r="B112"/>
      <c r="C112"/>
      <c r="D112"/>
      <c r="E112"/>
      <c r="F112"/>
      <c r="G112"/>
    </row>
    <row r="113" spans="2:7" x14ac:dyDescent="0.3">
      <c r="B113"/>
      <c r="C113"/>
      <c r="D113"/>
      <c r="E113"/>
      <c r="F113"/>
      <c r="G113"/>
    </row>
    <row r="114" spans="2:7" x14ac:dyDescent="0.3">
      <c r="B114"/>
      <c r="C114"/>
      <c r="D114"/>
      <c r="E114"/>
      <c r="F114"/>
      <c r="G114"/>
    </row>
    <row r="115" spans="2:7" x14ac:dyDescent="0.3">
      <c r="B115"/>
      <c r="C115"/>
      <c r="D115"/>
      <c r="E115"/>
      <c r="F115"/>
      <c r="G115"/>
    </row>
    <row r="116" spans="2:7" x14ac:dyDescent="0.3">
      <c r="B116"/>
      <c r="C116"/>
      <c r="D116"/>
      <c r="E116"/>
      <c r="F116"/>
      <c r="G116"/>
    </row>
    <row r="117" spans="2:7" x14ac:dyDescent="0.3">
      <c r="B117"/>
      <c r="C117"/>
      <c r="D117"/>
      <c r="E117"/>
      <c r="F117"/>
      <c r="G117"/>
    </row>
    <row r="118" spans="2:7" x14ac:dyDescent="0.3">
      <c r="B118"/>
      <c r="C118"/>
      <c r="D118"/>
      <c r="E118"/>
      <c r="F118"/>
      <c r="G118"/>
    </row>
    <row r="119" spans="2:7" x14ac:dyDescent="0.3">
      <c r="B119"/>
      <c r="C119"/>
      <c r="D119"/>
      <c r="E119"/>
      <c r="F119"/>
      <c r="G119"/>
    </row>
    <row r="120" spans="2:7" x14ac:dyDescent="0.3">
      <c r="B120"/>
      <c r="C120"/>
      <c r="D120"/>
      <c r="E120"/>
      <c r="F120"/>
      <c r="G120"/>
    </row>
    <row r="121" spans="2:7" x14ac:dyDescent="0.3">
      <c r="B121"/>
      <c r="C121"/>
      <c r="D121"/>
      <c r="E121"/>
      <c r="F121"/>
      <c r="G121"/>
    </row>
    <row r="122" spans="2:7" x14ac:dyDescent="0.3">
      <c r="B122"/>
      <c r="C122"/>
      <c r="D122"/>
      <c r="E122"/>
      <c r="F122"/>
      <c r="G122"/>
    </row>
    <row r="123" spans="2:7" x14ac:dyDescent="0.3">
      <c r="B123"/>
      <c r="C123"/>
      <c r="D123"/>
      <c r="E123"/>
      <c r="F123"/>
      <c r="G123"/>
    </row>
    <row r="124" spans="2:7" x14ac:dyDescent="0.3">
      <c r="B124"/>
      <c r="C124"/>
      <c r="D124"/>
      <c r="E124"/>
      <c r="F124"/>
      <c r="G124"/>
    </row>
    <row r="125" spans="2:7" x14ac:dyDescent="0.3">
      <c r="B125"/>
      <c r="C125"/>
      <c r="D125"/>
      <c r="E125"/>
      <c r="F125"/>
      <c r="G125"/>
    </row>
    <row r="126" spans="2:7" x14ac:dyDescent="0.3">
      <c r="B126"/>
      <c r="C126"/>
      <c r="D126"/>
      <c r="E126"/>
      <c r="F126"/>
      <c r="G126"/>
    </row>
    <row r="127" spans="2:7" x14ac:dyDescent="0.3">
      <c r="B127"/>
      <c r="C127"/>
      <c r="D127"/>
      <c r="E127"/>
      <c r="F127"/>
      <c r="G127"/>
    </row>
    <row r="128" spans="2:7" x14ac:dyDescent="0.3">
      <c r="B128"/>
      <c r="C128"/>
      <c r="D128"/>
      <c r="E128"/>
      <c r="F128"/>
      <c r="G128"/>
    </row>
    <row r="129" spans="2:7" x14ac:dyDescent="0.3">
      <c r="B129"/>
      <c r="C129"/>
      <c r="D129"/>
      <c r="E129"/>
      <c r="F129"/>
      <c r="G129"/>
    </row>
    <row r="130" spans="2:7" x14ac:dyDescent="0.3">
      <c r="B130"/>
      <c r="C130"/>
      <c r="D130"/>
      <c r="E130"/>
      <c r="F130"/>
      <c r="G130"/>
    </row>
    <row r="131" spans="2:7" x14ac:dyDescent="0.3">
      <c r="B131"/>
      <c r="C131"/>
      <c r="D131"/>
      <c r="E131"/>
      <c r="F131"/>
      <c r="G131"/>
    </row>
    <row r="132" spans="2:7" x14ac:dyDescent="0.3">
      <c r="B132"/>
      <c r="C132"/>
      <c r="D132"/>
      <c r="E132"/>
      <c r="F132"/>
      <c r="G132"/>
    </row>
    <row r="133" spans="2:7" x14ac:dyDescent="0.3">
      <c r="B133"/>
      <c r="C133"/>
      <c r="D133"/>
      <c r="E133"/>
      <c r="F133"/>
      <c r="G133"/>
    </row>
    <row r="134" spans="2:7" x14ac:dyDescent="0.3">
      <c r="B134"/>
      <c r="C134"/>
      <c r="D134"/>
      <c r="E134"/>
      <c r="F134"/>
      <c r="G134"/>
    </row>
    <row r="135" spans="2:7" x14ac:dyDescent="0.3">
      <c r="B135"/>
      <c r="C135"/>
      <c r="D135"/>
      <c r="E135"/>
      <c r="F135"/>
      <c r="G135"/>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tabColor rgb="FF00B050"/>
  </sheetPr>
  <dimension ref="A1:T27"/>
  <sheetViews>
    <sheetView topLeftCell="D1" workbookViewId="0">
      <selection activeCell="B13" sqref="B13"/>
    </sheetView>
  </sheetViews>
  <sheetFormatPr baseColWidth="10" defaultRowHeight="14.4" x14ac:dyDescent="0.3"/>
  <cols>
    <col min="1" max="1" width="67.6640625" bestFit="1" customWidth="1"/>
    <col min="2" max="2" width="14" bestFit="1" customWidth="1"/>
    <col min="3" max="3" width="80.6640625" bestFit="1" customWidth="1"/>
    <col min="4" max="4" width="10" bestFit="1" customWidth="1"/>
    <col min="6" max="6" width="39.44140625" bestFit="1" customWidth="1"/>
    <col min="8" max="9" width="10" bestFit="1" customWidth="1"/>
    <col min="10" max="10" width="15.109375" bestFit="1" customWidth="1"/>
    <col min="11" max="11" width="23" bestFit="1" customWidth="1"/>
    <col min="12" max="13" width="24.109375" bestFit="1" customWidth="1"/>
    <col min="14" max="14" width="15.6640625" bestFit="1" customWidth="1"/>
    <col min="15" max="15" width="12.109375" bestFit="1" customWidth="1"/>
    <col min="16" max="16" width="12.5546875" bestFit="1" customWidth="1"/>
  </cols>
  <sheetData>
    <row r="1" spans="1:20" x14ac:dyDescent="0.3">
      <c r="A1" s="36" t="s">
        <v>28</v>
      </c>
      <c r="B1" s="36" t="s">
        <v>1</v>
      </c>
      <c r="C1" s="36" t="s">
        <v>441</v>
      </c>
      <c r="D1" s="36" t="s">
        <v>442</v>
      </c>
      <c r="E1" s="36" t="s">
        <v>443</v>
      </c>
      <c r="F1" s="36" t="s">
        <v>444</v>
      </c>
      <c r="G1" s="39" t="s">
        <v>0</v>
      </c>
      <c r="H1" s="39" t="s">
        <v>290</v>
      </c>
      <c r="I1" s="39" t="s">
        <v>552</v>
      </c>
      <c r="J1" s="39" t="s">
        <v>285</v>
      </c>
      <c r="K1" s="39" t="s">
        <v>553</v>
      </c>
      <c r="L1" s="39" t="s">
        <v>554</v>
      </c>
      <c r="M1" s="39" t="s">
        <v>555</v>
      </c>
      <c r="N1" s="51" t="s">
        <v>556</v>
      </c>
      <c r="O1" s="51" t="s">
        <v>432</v>
      </c>
      <c r="P1" s="51" t="s">
        <v>557</v>
      </c>
      <c r="Q1" s="51" t="s">
        <v>426</v>
      </c>
      <c r="R1" s="51" t="s">
        <v>433</v>
      </c>
      <c r="S1" s="51" t="s">
        <v>558</v>
      </c>
      <c r="T1" s="52" t="s">
        <v>435</v>
      </c>
    </row>
    <row r="2" spans="1:20" x14ac:dyDescent="0.3">
      <c r="A2" s="37" t="s">
        <v>41</v>
      </c>
      <c r="B2" s="38" t="s">
        <v>15</v>
      </c>
      <c r="C2" t="s">
        <v>445</v>
      </c>
      <c r="D2" s="38" t="s">
        <v>446</v>
      </c>
      <c r="E2" t="s">
        <v>447</v>
      </c>
      <c r="F2" t="s">
        <v>448</v>
      </c>
      <c r="G2">
        <v>1</v>
      </c>
    </row>
    <row r="3" spans="1:20" x14ac:dyDescent="0.3">
      <c r="A3" s="37" t="s">
        <v>45</v>
      </c>
      <c r="B3" s="38" t="s">
        <v>19</v>
      </c>
      <c r="C3" t="s">
        <v>449</v>
      </c>
      <c r="D3" s="38" t="s">
        <v>450</v>
      </c>
      <c r="E3" t="s">
        <v>451</v>
      </c>
      <c r="F3" t="s">
        <v>452</v>
      </c>
      <c r="G3">
        <v>1</v>
      </c>
    </row>
    <row r="4" spans="1:20" x14ac:dyDescent="0.3">
      <c r="A4" s="37" t="s">
        <v>44</v>
      </c>
      <c r="B4" s="38" t="s">
        <v>18</v>
      </c>
      <c r="C4" t="s">
        <v>453</v>
      </c>
      <c r="D4" s="38" t="s">
        <v>454</v>
      </c>
      <c r="E4" t="s">
        <v>455</v>
      </c>
      <c r="F4" t="s">
        <v>456</v>
      </c>
      <c r="G4">
        <v>1</v>
      </c>
    </row>
    <row r="5" spans="1:20" x14ac:dyDescent="0.3">
      <c r="A5" s="37" t="s">
        <v>42</v>
      </c>
      <c r="B5" s="38" t="s">
        <v>16</v>
      </c>
      <c r="C5" t="s">
        <v>457</v>
      </c>
      <c r="D5" s="38" t="s">
        <v>458</v>
      </c>
      <c r="E5" t="s">
        <v>459</v>
      </c>
      <c r="F5" t="s">
        <v>460</v>
      </c>
      <c r="G5">
        <v>1</v>
      </c>
    </row>
    <row r="6" spans="1:20" x14ac:dyDescent="0.3">
      <c r="A6" s="37" t="s">
        <v>38</v>
      </c>
      <c r="B6" s="38" t="s">
        <v>11</v>
      </c>
      <c r="C6" t="s">
        <v>461</v>
      </c>
      <c r="D6" s="38" t="s">
        <v>462</v>
      </c>
      <c r="E6" t="s">
        <v>463</v>
      </c>
      <c r="F6" t="s">
        <v>464</v>
      </c>
      <c r="G6">
        <v>1</v>
      </c>
    </row>
    <row r="7" spans="1:20" x14ac:dyDescent="0.3">
      <c r="A7" s="37" t="s">
        <v>47</v>
      </c>
      <c r="B7" s="38" t="s">
        <v>22</v>
      </c>
      <c r="C7" t="s">
        <v>465</v>
      </c>
      <c r="D7" s="38" t="s">
        <v>466</v>
      </c>
      <c r="E7" t="s">
        <v>467</v>
      </c>
      <c r="F7" t="s">
        <v>468</v>
      </c>
      <c r="G7">
        <v>1</v>
      </c>
    </row>
    <row r="8" spans="1:20" x14ac:dyDescent="0.3">
      <c r="A8" s="37" t="s">
        <v>51</v>
      </c>
      <c r="B8" s="38" t="s">
        <v>26</v>
      </c>
      <c r="C8" t="s">
        <v>469</v>
      </c>
      <c r="D8" s="38" t="s">
        <v>470</v>
      </c>
      <c r="E8" t="s">
        <v>471</v>
      </c>
      <c r="F8" t="s">
        <v>472</v>
      </c>
      <c r="G8">
        <v>1</v>
      </c>
    </row>
    <row r="9" spans="1:20" x14ac:dyDescent="0.3">
      <c r="A9" s="37" t="s">
        <v>43</v>
      </c>
      <c r="B9" s="38" t="s">
        <v>17</v>
      </c>
      <c r="C9" t="s">
        <v>473</v>
      </c>
      <c r="D9" s="38" t="s">
        <v>474</v>
      </c>
      <c r="E9" t="s">
        <v>475</v>
      </c>
      <c r="F9" t="s">
        <v>476</v>
      </c>
      <c r="G9">
        <v>1</v>
      </c>
    </row>
    <row r="10" spans="1:20" x14ac:dyDescent="0.3">
      <c r="A10" s="37" t="s">
        <v>32</v>
      </c>
      <c r="B10" s="38" t="s">
        <v>5</v>
      </c>
      <c r="C10" t="s">
        <v>477</v>
      </c>
      <c r="D10" s="38" t="s">
        <v>478</v>
      </c>
      <c r="E10" t="s">
        <v>479</v>
      </c>
      <c r="F10" t="s">
        <v>480</v>
      </c>
      <c r="G10">
        <v>1</v>
      </c>
    </row>
    <row r="11" spans="1:20" x14ac:dyDescent="0.3">
      <c r="A11" s="37" t="s">
        <v>35</v>
      </c>
      <c r="B11" s="38" t="s">
        <v>8</v>
      </c>
      <c r="C11" t="s">
        <v>481</v>
      </c>
      <c r="D11" s="38" t="s">
        <v>482</v>
      </c>
      <c r="E11" t="s">
        <v>483</v>
      </c>
      <c r="F11" t="s">
        <v>484</v>
      </c>
      <c r="G11">
        <v>1</v>
      </c>
    </row>
    <row r="12" spans="1:20" x14ac:dyDescent="0.3">
      <c r="A12" s="37" t="s">
        <v>40</v>
      </c>
      <c r="B12" s="38" t="s">
        <v>14</v>
      </c>
      <c r="C12" t="s">
        <v>485</v>
      </c>
      <c r="D12" s="38" t="s">
        <v>486</v>
      </c>
      <c r="E12" t="s">
        <v>487</v>
      </c>
      <c r="F12" t="s">
        <v>488</v>
      </c>
      <c r="G12">
        <v>1</v>
      </c>
    </row>
    <row r="13" spans="1:20" x14ac:dyDescent="0.3">
      <c r="A13" s="37" t="s">
        <v>489</v>
      </c>
      <c r="B13" s="38" t="s">
        <v>21</v>
      </c>
      <c r="C13" t="s">
        <v>490</v>
      </c>
      <c r="D13" s="38" t="s">
        <v>491</v>
      </c>
      <c r="E13" t="s">
        <v>492</v>
      </c>
      <c r="F13" t="s">
        <v>493</v>
      </c>
      <c r="G13">
        <v>1</v>
      </c>
    </row>
    <row r="14" spans="1:20" x14ac:dyDescent="0.3">
      <c r="A14" s="37" t="s">
        <v>50</v>
      </c>
      <c r="B14" s="38" t="s">
        <v>25</v>
      </c>
      <c r="C14" t="s">
        <v>494</v>
      </c>
      <c r="D14" s="38" t="s">
        <v>495</v>
      </c>
      <c r="E14" t="s">
        <v>496</v>
      </c>
      <c r="F14" t="s">
        <v>497</v>
      </c>
      <c r="G14">
        <v>1</v>
      </c>
    </row>
    <row r="15" spans="1:20" x14ac:dyDescent="0.3">
      <c r="A15" s="37" t="s">
        <v>30</v>
      </c>
      <c r="B15" s="38" t="s">
        <v>3</v>
      </c>
      <c r="C15" t="s">
        <v>498</v>
      </c>
      <c r="D15" s="38" t="s">
        <v>499</v>
      </c>
      <c r="E15" t="s">
        <v>500</v>
      </c>
      <c r="F15" t="s">
        <v>501</v>
      </c>
      <c r="G15">
        <v>1</v>
      </c>
    </row>
    <row r="16" spans="1:20" x14ac:dyDescent="0.3">
      <c r="A16" s="37" t="s">
        <v>29</v>
      </c>
      <c r="B16" s="38" t="s">
        <v>2</v>
      </c>
      <c r="C16" t="s">
        <v>502</v>
      </c>
      <c r="D16" s="38" t="s">
        <v>503</v>
      </c>
      <c r="E16" t="s">
        <v>504</v>
      </c>
      <c r="F16" t="s">
        <v>505</v>
      </c>
      <c r="G16">
        <v>1</v>
      </c>
    </row>
    <row r="17" spans="1:7" x14ac:dyDescent="0.3">
      <c r="A17" s="37" t="s">
        <v>52</v>
      </c>
      <c r="B17" s="38" t="s">
        <v>27</v>
      </c>
      <c r="C17" t="s">
        <v>506</v>
      </c>
      <c r="D17" s="38" t="s">
        <v>507</v>
      </c>
      <c r="E17" t="s">
        <v>508</v>
      </c>
      <c r="F17" t="s">
        <v>509</v>
      </c>
      <c r="G17">
        <v>1</v>
      </c>
    </row>
    <row r="18" spans="1:7" x14ac:dyDescent="0.3">
      <c r="A18" s="37" t="s">
        <v>48</v>
      </c>
      <c r="B18" s="38" t="s">
        <v>23</v>
      </c>
      <c r="C18" t="s">
        <v>510</v>
      </c>
      <c r="D18" s="38" t="s">
        <v>511</v>
      </c>
      <c r="E18" t="s">
        <v>512</v>
      </c>
      <c r="F18" t="s">
        <v>513</v>
      </c>
      <c r="G18">
        <v>1</v>
      </c>
    </row>
    <row r="19" spans="1:7" x14ac:dyDescent="0.3">
      <c r="A19" s="37" t="s">
        <v>33</v>
      </c>
      <c r="B19" s="38" t="s">
        <v>6</v>
      </c>
      <c r="C19" t="s">
        <v>514</v>
      </c>
      <c r="D19" s="38" t="s">
        <v>515</v>
      </c>
      <c r="E19" t="s">
        <v>516</v>
      </c>
      <c r="F19" t="s">
        <v>517</v>
      </c>
      <c r="G19">
        <v>1</v>
      </c>
    </row>
    <row r="20" spans="1:7" x14ac:dyDescent="0.3">
      <c r="A20" s="37" t="s">
        <v>39</v>
      </c>
      <c r="B20" s="38" t="s">
        <v>12</v>
      </c>
      <c r="C20" t="s">
        <v>518</v>
      </c>
      <c r="D20" s="38" t="s">
        <v>519</v>
      </c>
      <c r="E20" t="s">
        <v>520</v>
      </c>
      <c r="F20" t="s">
        <v>521</v>
      </c>
      <c r="G20">
        <v>1</v>
      </c>
    </row>
    <row r="21" spans="1:7" x14ac:dyDescent="0.3">
      <c r="A21" s="37" t="s">
        <v>46</v>
      </c>
      <c r="B21" s="38" t="s">
        <v>20</v>
      </c>
      <c r="C21" t="s">
        <v>522</v>
      </c>
      <c r="D21" s="38" t="s">
        <v>523</v>
      </c>
      <c r="E21" t="s">
        <v>524</v>
      </c>
      <c r="F21" t="s">
        <v>525</v>
      </c>
      <c r="G21">
        <v>1</v>
      </c>
    </row>
    <row r="22" spans="1:7" x14ac:dyDescent="0.3">
      <c r="A22" s="37" t="s">
        <v>36</v>
      </c>
      <c r="B22" s="38" t="s">
        <v>9</v>
      </c>
      <c r="C22" t="s">
        <v>526</v>
      </c>
      <c r="D22" s="38" t="s">
        <v>527</v>
      </c>
      <c r="E22" t="s">
        <v>528</v>
      </c>
      <c r="F22" t="s">
        <v>529</v>
      </c>
      <c r="G22">
        <v>1</v>
      </c>
    </row>
    <row r="23" spans="1:7" x14ac:dyDescent="0.3">
      <c r="A23" s="37" t="s">
        <v>49</v>
      </c>
      <c r="B23" s="38" t="s">
        <v>24</v>
      </c>
      <c r="C23" t="s">
        <v>530</v>
      </c>
      <c r="D23" s="38" t="s">
        <v>531</v>
      </c>
      <c r="E23" t="s">
        <v>532</v>
      </c>
      <c r="F23" t="s">
        <v>533</v>
      </c>
      <c r="G23">
        <v>1</v>
      </c>
    </row>
    <row r="24" spans="1:7" x14ac:dyDescent="0.3">
      <c r="A24" s="37" t="s">
        <v>31</v>
      </c>
      <c r="B24" s="38" t="s">
        <v>4</v>
      </c>
      <c r="C24" t="s">
        <v>534</v>
      </c>
      <c r="D24" s="38" t="s">
        <v>535</v>
      </c>
      <c r="E24" t="s">
        <v>536</v>
      </c>
      <c r="F24" t="s">
        <v>537</v>
      </c>
      <c r="G24">
        <v>1</v>
      </c>
    </row>
    <row r="25" spans="1:7" x14ac:dyDescent="0.3">
      <c r="A25" s="37" t="s">
        <v>37</v>
      </c>
      <c r="B25" s="38" t="s">
        <v>10</v>
      </c>
      <c r="C25" t="s">
        <v>538</v>
      </c>
      <c r="D25" s="38" t="s">
        <v>539</v>
      </c>
      <c r="E25" t="s">
        <v>540</v>
      </c>
      <c r="F25" t="s">
        <v>541</v>
      </c>
      <c r="G25">
        <v>1</v>
      </c>
    </row>
    <row r="26" spans="1:7" x14ac:dyDescent="0.3">
      <c r="A26" s="37" t="s">
        <v>34</v>
      </c>
      <c r="B26" s="38" t="s">
        <v>7</v>
      </c>
      <c r="C26" t="s">
        <v>542</v>
      </c>
      <c r="D26" s="38" t="s">
        <v>543</v>
      </c>
      <c r="E26" t="s">
        <v>544</v>
      </c>
      <c r="F26" t="s">
        <v>545</v>
      </c>
      <c r="G26">
        <v>1</v>
      </c>
    </row>
    <row r="27" spans="1:7" x14ac:dyDescent="0.3">
      <c r="A27" s="37" t="s">
        <v>546</v>
      </c>
      <c r="B27" s="38" t="s">
        <v>13</v>
      </c>
      <c r="C27" t="s">
        <v>547</v>
      </c>
      <c r="D27" s="38" t="s">
        <v>548</v>
      </c>
      <c r="E27" t="s">
        <v>549</v>
      </c>
      <c r="F27" t="s">
        <v>550</v>
      </c>
      <c r="G27">
        <v>1</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tabColor rgb="FF00B050"/>
  </sheetPr>
  <dimension ref="A4:G6"/>
  <sheetViews>
    <sheetView workbookViewId="0">
      <selection activeCell="B13" sqref="B13"/>
    </sheetView>
  </sheetViews>
  <sheetFormatPr baseColWidth="10" defaultRowHeight="14.4" x14ac:dyDescent="0.3"/>
  <cols>
    <col min="1" max="1" width="89.44140625" bestFit="1" customWidth="1"/>
    <col min="7" max="7" width="12.5546875" bestFit="1" customWidth="1"/>
  </cols>
  <sheetData>
    <row r="4" spans="1:7" x14ac:dyDescent="0.3">
      <c r="A4" s="1" t="s">
        <v>28</v>
      </c>
      <c r="B4" s="1" t="s">
        <v>1</v>
      </c>
      <c r="C4" s="1" t="s">
        <v>442</v>
      </c>
      <c r="D4" s="1" t="s">
        <v>441</v>
      </c>
      <c r="E4" s="1" t="s">
        <v>443</v>
      </c>
      <c r="F4" s="1" t="s">
        <v>444</v>
      </c>
      <c r="G4" s="1" t="s">
        <v>0</v>
      </c>
    </row>
    <row r="5" spans="1:7" x14ac:dyDescent="0.3">
      <c r="A5" t="s">
        <v>45</v>
      </c>
      <c r="B5" t="s">
        <v>19</v>
      </c>
      <c r="C5" t="s">
        <v>450</v>
      </c>
      <c r="D5" t="s">
        <v>449</v>
      </c>
      <c r="E5" t="s">
        <v>451</v>
      </c>
      <c r="F5" t="s">
        <v>452</v>
      </c>
      <c r="G5">
        <v>1</v>
      </c>
    </row>
    <row r="6" spans="1:7" x14ac:dyDescent="0.3">
      <c r="A6" t="s">
        <v>75</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tabColor rgb="FF00B050"/>
  </sheetPr>
  <dimension ref="A2:K32"/>
  <sheetViews>
    <sheetView showGridLines="0" topLeftCell="A9" zoomScale="85" zoomScaleNormal="85" workbookViewId="0">
      <selection activeCell="B13" sqref="B13"/>
    </sheetView>
  </sheetViews>
  <sheetFormatPr baseColWidth="10" defaultRowHeight="14.4" x14ac:dyDescent="0.3"/>
  <cols>
    <col min="1" max="1" width="24.5546875" bestFit="1" customWidth="1"/>
    <col min="2" max="2" width="63.33203125" bestFit="1" customWidth="1"/>
    <col min="3" max="3" width="10.88671875" customWidth="1"/>
    <col min="7" max="7" width="34.109375" bestFit="1" customWidth="1"/>
  </cols>
  <sheetData>
    <row r="2" spans="1:11" x14ac:dyDescent="0.3">
      <c r="A2" s="157" t="s">
        <v>292</v>
      </c>
      <c r="B2" s="157"/>
      <c r="C2" s="157"/>
      <c r="D2" s="157"/>
      <c r="E2" s="157"/>
      <c r="F2" s="157"/>
      <c r="G2" s="157"/>
      <c r="H2" s="157"/>
      <c r="I2" s="157"/>
      <c r="J2" s="157"/>
      <c r="K2" s="157"/>
    </row>
    <row r="3" spans="1:11" x14ac:dyDescent="0.3">
      <c r="A3" s="157"/>
      <c r="B3" s="157"/>
      <c r="C3" s="157"/>
      <c r="D3" s="157"/>
      <c r="E3" s="157"/>
      <c r="F3" s="157"/>
      <c r="G3" s="157"/>
      <c r="H3" s="157"/>
      <c r="I3" s="157"/>
      <c r="J3" s="157"/>
      <c r="K3" s="157"/>
    </row>
    <row r="4" spans="1:11" ht="25.8" x14ac:dyDescent="0.5">
      <c r="A4" s="26"/>
      <c r="B4" s="26"/>
      <c r="C4" s="26"/>
      <c r="D4" s="26"/>
      <c r="E4" s="26"/>
      <c r="F4" s="26"/>
      <c r="G4" s="26"/>
      <c r="H4" s="26"/>
      <c r="I4" s="26"/>
      <c r="J4" s="26"/>
      <c r="K4" s="26"/>
    </row>
    <row r="5" spans="1:11" ht="25.8" x14ac:dyDescent="0.5">
      <c r="A5" s="26"/>
      <c r="B5" s="26"/>
      <c r="C5" s="26"/>
      <c r="D5" s="26"/>
      <c r="E5" s="26"/>
      <c r="F5" s="26"/>
      <c r="G5" s="26"/>
      <c r="H5" s="26"/>
      <c r="I5" s="26"/>
      <c r="J5" s="26"/>
      <c r="K5" s="26"/>
    </row>
    <row r="6" spans="1:11" ht="25.8" x14ac:dyDescent="0.5">
      <c r="A6" s="26"/>
      <c r="B6" s="26"/>
      <c r="C6" s="26"/>
      <c r="D6" s="26"/>
      <c r="E6" s="26"/>
      <c r="F6" s="26"/>
      <c r="G6" s="26"/>
      <c r="H6" s="26"/>
      <c r="I6" s="26"/>
      <c r="J6" s="26"/>
      <c r="K6" s="26"/>
    </row>
    <row r="7" spans="1:11" ht="25.8" x14ac:dyDescent="0.5">
      <c r="A7" s="26"/>
      <c r="B7" s="26"/>
      <c r="C7" s="26"/>
      <c r="D7" s="26"/>
      <c r="E7" s="26"/>
      <c r="F7" s="26"/>
      <c r="G7" s="26"/>
      <c r="H7" s="26"/>
      <c r="I7" s="26"/>
      <c r="J7" s="26"/>
      <c r="K7" s="26"/>
    </row>
    <row r="9" spans="1:11" x14ac:dyDescent="0.3">
      <c r="A9" s="3" t="s">
        <v>293</v>
      </c>
      <c r="B9" s="43" t="str">
        <f>+Hoja6!A5</f>
        <v>29 DE OCTUBRE LTDA</v>
      </c>
      <c r="C9" s="40"/>
      <c r="D9" s="40"/>
      <c r="E9" s="40"/>
      <c r="F9" s="40"/>
      <c r="G9" s="40"/>
      <c r="H9" s="40"/>
      <c r="I9" s="40"/>
      <c r="J9" s="40"/>
    </row>
    <row r="10" spans="1:11" x14ac:dyDescent="0.3">
      <c r="A10" s="3" t="s">
        <v>294</v>
      </c>
      <c r="B10" s="43" t="str">
        <f>+Hoja6!B5</f>
        <v>1790567699001</v>
      </c>
      <c r="C10" s="40"/>
      <c r="D10" s="40"/>
      <c r="E10" s="40"/>
      <c r="F10" s="40"/>
      <c r="G10" s="40"/>
      <c r="H10" s="40" t="s">
        <v>295</v>
      </c>
      <c r="I10" s="40">
        <f>+Hoja6!G5</f>
        <v>1</v>
      </c>
      <c r="J10" s="40"/>
    </row>
    <row r="11" spans="1:11" x14ac:dyDescent="0.3">
      <c r="A11" s="3" t="s">
        <v>297</v>
      </c>
      <c r="B11" s="43" t="str">
        <f>+Hoja6!D5</f>
        <v>MARISCAL SUCRE  OE6-140  CAÑARIS</v>
      </c>
      <c r="C11" s="40"/>
      <c r="D11" s="40"/>
      <c r="E11" s="40"/>
      <c r="F11" s="40"/>
      <c r="G11" s="40"/>
      <c r="H11" s="40" t="s">
        <v>296</v>
      </c>
      <c r="I11" s="43" t="str">
        <f>+Hoja6!C5</f>
        <v>022640509</v>
      </c>
      <c r="J11" s="40"/>
    </row>
    <row r="12" spans="1:11" x14ac:dyDescent="0.3">
      <c r="A12" s="3" t="s">
        <v>298</v>
      </c>
      <c r="B12" s="43" t="str">
        <f>+Hoja6!E5</f>
        <v>eeguez@29deoctubre.fin.ec</v>
      </c>
      <c r="C12" s="40"/>
      <c r="D12" s="40"/>
      <c r="E12" s="40"/>
      <c r="F12" s="40"/>
      <c r="G12" s="40"/>
      <c r="H12" s="40"/>
      <c r="I12" s="40"/>
      <c r="J12" s="40"/>
    </row>
    <row r="13" spans="1:11" x14ac:dyDescent="0.3">
      <c r="A13" s="3" t="s">
        <v>299</v>
      </c>
      <c r="B13" s="43" t="str">
        <f>+Hoja6!F5</f>
        <v>EGUEZ LUPERA EDWIN CARLOS MARIO</v>
      </c>
      <c r="C13" s="40"/>
      <c r="D13" s="40"/>
      <c r="E13" s="40"/>
      <c r="F13" s="40"/>
      <c r="G13" s="40"/>
      <c r="H13" s="40"/>
      <c r="I13" s="40"/>
      <c r="J13" s="40"/>
    </row>
    <row r="14" spans="1:11" x14ac:dyDescent="0.3">
      <c r="A14" t="s">
        <v>430</v>
      </c>
    </row>
    <row r="16" spans="1:11" x14ac:dyDescent="0.3">
      <c r="A16" t="s">
        <v>300</v>
      </c>
    </row>
    <row r="17" spans="1:10" x14ac:dyDescent="0.3">
      <c r="A17" s="44" t="s">
        <v>304</v>
      </c>
      <c r="B17" s="45" t="s">
        <v>551</v>
      </c>
      <c r="C17" s="46" t="s">
        <v>305</v>
      </c>
      <c r="E17" s="16"/>
      <c r="F17" s="17"/>
      <c r="G17" s="17"/>
      <c r="H17" s="17"/>
      <c r="I17" s="17"/>
      <c r="J17" s="18"/>
    </row>
    <row r="18" spans="1:10" ht="28.8" x14ac:dyDescent="0.55000000000000004">
      <c r="A18" s="47" t="s">
        <v>301</v>
      </c>
      <c r="B18" s="41">
        <f>+VLOOKUP(B9,'Ranking por a,p,p'!B2:E28,2,0)</f>
        <v>354485209.56999999</v>
      </c>
      <c r="C18" s="49">
        <f>+VLOOKUP(B9,'Ranking por a,p,p'!B2:E29,4,0)</f>
        <v>5</v>
      </c>
      <c r="E18" s="19"/>
      <c r="F18" s="20"/>
      <c r="G18" s="20"/>
      <c r="H18" s="20"/>
      <c r="I18" s="20"/>
      <c r="J18" s="21"/>
    </row>
    <row r="19" spans="1:10" ht="28.8" x14ac:dyDescent="0.55000000000000004">
      <c r="A19" s="47" t="s">
        <v>302</v>
      </c>
      <c r="B19" s="41">
        <f>+VLOOKUP(B9,'Ranking por a,p,p'!H2:I29,2,0)</f>
        <v>305817226.87</v>
      </c>
      <c r="C19" s="49">
        <f>+VLOOKUP(B9,'Ranking por a,p,p'!H2:K29,4,0)</f>
        <v>5</v>
      </c>
      <c r="E19" s="158" t="s">
        <v>306</v>
      </c>
      <c r="F19" s="159"/>
      <c r="G19" s="159"/>
      <c r="H19" s="159"/>
      <c r="I19" s="159"/>
      <c r="J19" s="160"/>
    </row>
    <row r="20" spans="1:10" ht="28.8" x14ac:dyDescent="0.55000000000000004">
      <c r="A20" s="48" t="s">
        <v>303</v>
      </c>
      <c r="B20" s="42">
        <f>+VLOOKUP(B9,'Ranking por a,p,p'!N2:O29,2,0)</f>
        <v>48667982.700000003</v>
      </c>
      <c r="C20" s="50">
        <f>+VLOOKUP(B9,'Ranking por a,p,p'!N2:Q28,4,0)</f>
        <v>4</v>
      </c>
      <c r="E20" s="19"/>
      <c r="F20" s="20"/>
      <c r="G20" s="20"/>
      <c r="H20" s="20"/>
      <c r="I20" s="20"/>
      <c r="J20" s="21"/>
    </row>
    <row r="21" spans="1:10" x14ac:dyDescent="0.3">
      <c r="A21" s="20"/>
      <c r="B21" s="20"/>
      <c r="C21" s="20"/>
      <c r="E21" s="19"/>
      <c r="F21" s="20"/>
      <c r="G21" s="20"/>
      <c r="H21" s="20"/>
      <c r="I21" s="20"/>
      <c r="J21" s="21"/>
    </row>
    <row r="22" spans="1:10" x14ac:dyDescent="0.3">
      <c r="A22" s="20"/>
      <c r="B22" s="20"/>
      <c r="C22" s="20"/>
      <c r="E22" s="19"/>
      <c r="F22" s="20"/>
      <c r="G22" s="20"/>
      <c r="H22" s="20"/>
      <c r="I22" s="20"/>
      <c r="J22" s="21"/>
    </row>
    <row r="23" spans="1:10" x14ac:dyDescent="0.3">
      <c r="A23" s="20"/>
      <c r="B23" s="20"/>
      <c r="C23" s="20"/>
      <c r="E23" s="22"/>
      <c r="F23" s="23"/>
      <c r="G23" s="23"/>
      <c r="H23" s="23"/>
      <c r="I23" s="23"/>
      <c r="J23" s="24"/>
    </row>
    <row r="25" spans="1:10" x14ac:dyDescent="0.3">
      <c r="A25" s="16" t="s">
        <v>437</v>
      </c>
      <c r="B25" s="17"/>
      <c r="C25" s="18"/>
      <c r="E25" s="161" t="s">
        <v>429</v>
      </c>
      <c r="F25" s="162"/>
      <c r="G25" s="162"/>
      <c r="H25" s="162"/>
      <c r="I25" s="162"/>
      <c r="J25" s="163"/>
    </row>
    <row r="26" spans="1:10" x14ac:dyDescent="0.3">
      <c r="A26" s="19" t="s">
        <v>431</v>
      </c>
      <c r="B26" s="20"/>
      <c r="C26" s="21"/>
      <c r="E26" s="19"/>
      <c r="F26" s="20"/>
      <c r="G26" s="20" t="s">
        <v>436</v>
      </c>
      <c r="H26" s="20"/>
      <c r="I26" s="20"/>
      <c r="J26" s="21"/>
    </row>
    <row r="27" spans="1:10" x14ac:dyDescent="0.3">
      <c r="A27" s="19" t="s">
        <v>432</v>
      </c>
      <c r="B27" s="20"/>
      <c r="C27" s="21"/>
      <c r="E27" s="19"/>
      <c r="F27" s="20"/>
      <c r="G27" s="20"/>
      <c r="H27" s="20"/>
      <c r="I27" s="20"/>
      <c r="J27" s="21"/>
    </row>
    <row r="28" spans="1:10" x14ac:dyDescent="0.3">
      <c r="A28" s="19" t="s">
        <v>428</v>
      </c>
      <c r="B28" s="20"/>
      <c r="C28" s="21"/>
      <c r="E28" s="19"/>
      <c r="F28" s="20"/>
      <c r="G28" s="20"/>
      <c r="H28" s="20"/>
      <c r="I28" s="20"/>
      <c r="J28" s="21"/>
    </row>
    <row r="29" spans="1:10" x14ac:dyDescent="0.3">
      <c r="A29" s="19" t="s">
        <v>426</v>
      </c>
      <c r="B29" s="20"/>
      <c r="C29" s="21"/>
      <c r="E29" s="19"/>
      <c r="F29" s="20"/>
      <c r="G29" s="20"/>
      <c r="H29" s="20"/>
      <c r="I29" s="20"/>
      <c r="J29" s="21"/>
    </row>
    <row r="30" spans="1:10" x14ac:dyDescent="0.3">
      <c r="A30" s="19" t="s">
        <v>433</v>
      </c>
      <c r="B30" s="20"/>
      <c r="C30" s="21"/>
      <c r="E30" s="22"/>
      <c r="F30" s="23"/>
      <c r="G30" s="23"/>
      <c r="H30" s="23"/>
      <c r="I30" s="23"/>
      <c r="J30" s="24"/>
    </row>
    <row r="31" spans="1:10" x14ac:dyDescent="0.3">
      <c r="A31" s="29" t="s">
        <v>434</v>
      </c>
      <c r="B31" s="20"/>
      <c r="C31" s="21"/>
    </row>
    <row r="32" spans="1:10" x14ac:dyDescent="0.3">
      <c r="A32" s="30" t="s">
        <v>435</v>
      </c>
      <c r="B32" s="23"/>
      <c r="C32" s="24"/>
    </row>
  </sheetData>
  <mergeCells count="3">
    <mergeCell ref="A2:K3"/>
    <mergeCell ref="E19:J19"/>
    <mergeCell ref="E25:J25"/>
  </mergeCells>
  <pageMargins left="0.7" right="0.7" top="0.75" bottom="0.75" header="0.3" footer="0.3"/>
  <pageSetup paperSize="9" orientation="portrait" r:id="rId1"/>
  <drawing r:id="rId2"/>
  <extLst>
    <ext xmlns:x14="http://schemas.microsoft.com/office/spreadsheetml/2009/9/main" uri="{A8765BA9-456A-4dab-B4F3-ACF838C121DE}">
      <x14:slicerList>
        <x14:slicer r:id="rId3"/>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tabColor rgb="FF00B050"/>
  </sheetPr>
  <dimension ref="B1:Q29"/>
  <sheetViews>
    <sheetView workbookViewId="0">
      <selection activeCell="B166" sqref="B166:B169"/>
    </sheetView>
  </sheetViews>
  <sheetFormatPr baseColWidth="10" defaultRowHeight="14.4" x14ac:dyDescent="0.3"/>
  <cols>
    <col min="2" max="2" width="42.33203125" bestFit="1" customWidth="1"/>
    <col min="3" max="3" width="18.33203125" bestFit="1" customWidth="1"/>
    <col min="4" max="4" width="12.33203125" bestFit="1" customWidth="1"/>
    <col min="5" max="6" width="12.33203125" customWidth="1"/>
    <col min="8" max="8" width="42.33203125" bestFit="1" customWidth="1"/>
    <col min="9" max="9" width="18.33203125" bestFit="1" customWidth="1"/>
    <col min="10" max="10" width="12.33203125" bestFit="1" customWidth="1"/>
    <col min="14" max="14" width="42.33203125" bestFit="1" customWidth="1"/>
    <col min="15" max="15" width="16.6640625" bestFit="1" customWidth="1"/>
    <col min="16" max="16" width="12.33203125" bestFit="1" customWidth="1"/>
  </cols>
  <sheetData>
    <row r="1" spans="2:17" x14ac:dyDescent="0.3">
      <c r="B1" s="164" t="s">
        <v>438</v>
      </c>
      <c r="C1" s="164"/>
      <c r="D1" s="164"/>
      <c r="E1" s="25"/>
      <c r="F1" s="25"/>
      <c r="H1" s="164" t="s">
        <v>439</v>
      </c>
      <c r="I1" s="164"/>
      <c r="J1" s="164"/>
      <c r="N1" s="164" t="s">
        <v>440</v>
      </c>
      <c r="O1" s="164"/>
      <c r="P1" s="164"/>
    </row>
    <row r="2" spans="2:17" x14ac:dyDescent="0.3">
      <c r="B2" s="28" t="s">
        <v>278</v>
      </c>
      <c r="C2" s="28" t="s">
        <v>279</v>
      </c>
      <c r="D2" s="28" t="s">
        <v>280</v>
      </c>
      <c r="E2" s="28" t="s">
        <v>305</v>
      </c>
      <c r="F2" s="20"/>
      <c r="H2" s="28" t="s">
        <v>278</v>
      </c>
      <c r="I2" s="28" t="s">
        <v>279</v>
      </c>
      <c r="J2" s="28" t="s">
        <v>280</v>
      </c>
      <c r="K2" s="28" t="s">
        <v>305</v>
      </c>
      <c r="N2" s="28" t="s">
        <v>278</v>
      </c>
      <c r="O2" s="28" t="s">
        <v>279</v>
      </c>
      <c r="P2" s="28" t="s">
        <v>280</v>
      </c>
      <c r="Q2" s="28" t="s">
        <v>305</v>
      </c>
    </row>
    <row r="3" spans="2:17" x14ac:dyDescent="0.3">
      <c r="B3" s="28" t="s">
        <v>29</v>
      </c>
      <c r="C3" s="32">
        <v>1187758361.24</v>
      </c>
      <c r="D3" s="31">
        <v>0.17883653065190599</v>
      </c>
      <c r="E3" s="28">
        <v>1</v>
      </c>
      <c r="F3" s="33"/>
      <c r="H3" s="28" t="s">
        <v>29</v>
      </c>
      <c r="I3" s="32">
        <v>1057048698.23</v>
      </c>
      <c r="J3" s="31">
        <v>0.18661142648018128</v>
      </c>
      <c r="K3" s="28">
        <v>1</v>
      </c>
      <c r="N3" s="28" t="s">
        <v>29</v>
      </c>
      <c r="O3" s="32">
        <v>130709663.01000001</v>
      </c>
      <c r="P3" s="31">
        <v>0.13376625491213717</v>
      </c>
      <c r="Q3" s="28">
        <v>1</v>
      </c>
    </row>
    <row r="4" spans="2:17" x14ac:dyDescent="0.3">
      <c r="B4" s="28" t="s">
        <v>30</v>
      </c>
      <c r="C4" s="32">
        <v>639156944.39999998</v>
      </c>
      <c r="D4" s="31">
        <v>9.6235576366927922E-2</v>
      </c>
      <c r="E4" s="28">
        <v>2</v>
      </c>
      <c r="F4" s="33"/>
      <c r="H4" s="28" t="s">
        <v>30</v>
      </c>
      <c r="I4" s="32">
        <v>552710815.58000004</v>
      </c>
      <c r="J4" s="31">
        <v>9.7575593157739102E-2</v>
      </c>
      <c r="K4" s="28">
        <v>2</v>
      </c>
      <c r="N4" s="28" t="s">
        <v>46</v>
      </c>
      <c r="O4" s="32">
        <v>102546955.84</v>
      </c>
      <c r="P4" s="31">
        <v>0.1049449743765896</v>
      </c>
      <c r="Q4" s="28">
        <v>2</v>
      </c>
    </row>
    <row r="5" spans="2:17" x14ac:dyDescent="0.3">
      <c r="B5" s="28" t="s">
        <v>46</v>
      </c>
      <c r="C5" s="32">
        <v>531928832.02999997</v>
      </c>
      <c r="D5" s="31">
        <v>8.0090622788504956E-2</v>
      </c>
      <c r="E5" s="28">
        <v>3</v>
      </c>
      <c r="F5" s="33"/>
      <c r="H5" s="28" t="s">
        <v>46</v>
      </c>
      <c r="I5" s="32">
        <v>429381876.19</v>
      </c>
      <c r="J5" s="31">
        <v>7.5803096446477786E-2</v>
      </c>
      <c r="K5" s="28">
        <v>3</v>
      </c>
      <c r="N5" s="28" t="s">
        <v>30</v>
      </c>
      <c r="O5" s="32">
        <v>86446128.819999993</v>
      </c>
      <c r="P5" s="31">
        <v>8.8467636115157677E-2</v>
      </c>
      <c r="Q5" s="28">
        <v>3</v>
      </c>
    </row>
    <row r="6" spans="2:17" x14ac:dyDescent="0.3">
      <c r="B6" s="28" t="s">
        <v>43</v>
      </c>
      <c r="C6" s="32">
        <v>364240396.5</v>
      </c>
      <c r="D6" s="31">
        <v>5.4842374475335284E-2</v>
      </c>
      <c r="E6" s="28">
        <v>4</v>
      </c>
      <c r="F6" s="33"/>
      <c r="H6" s="28" t="s">
        <v>43</v>
      </c>
      <c r="I6" s="32">
        <v>324624297.61000001</v>
      </c>
      <c r="J6" s="31">
        <v>5.7309188638675082E-2</v>
      </c>
      <c r="K6" s="28">
        <v>4</v>
      </c>
      <c r="N6" s="28" t="s">
        <v>45</v>
      </c>
      <c r="O6" s="32">
        <v>48667982.700000003</v>
      </c>
      <c r="P6" s="31">
        <v>4.9806063530357512E-2</v>
      </c>
      <c r="Q6" s="28">
        <v>4</v>
      </c>
    </row>
    <row r="7" spans="2:17" x14ac:dyDescent="0.3">
      <c r="B7" s="28" t="s">
        <v>45</v>
      </c>
      <c r="C7" s="32">
        <v>354485209.56999999</v>
      </c>
      <c r="D7" s="31">
        <v>5.3373570850496391E-2</v>
      </c>
      <c r="E7" s="28">
        <v>5</v>
      </c>
      <c r="F7" s="33"/>
      <c r="H7" s="28" t="s">
        <v>45</v>
      </c>
      <c r="I7" s="32">
        <v>305817226.87</v>
      </c>
      <c r="J7" s="31">
        <v>5.3988987493182129E-2</v>
      </c>
      <c r="K7" s="28">
        <v>5</v>
      </c>
      <c r="N7" s="28" t="s">
        <v>49</v>
      </c>
      <c r="O7" s="32">
        <v>48569400.009999998</v>
      </c>
      <c r="P7" s="31">
        <v>4.9705175524552954E-2</v>
      </c>
      <c r="Q7" s="28">
        <v>5</v>
      </c>
    </row>
    <row r="8" spans="2:17" x14ac:dyDescent="0.3">
      <c r="B8" s="28" t="s">
        <v>49</v>
      </c>
      <c r="C8" s="32">
        <v>295886817.76999998</v>
      </c>
      <c r="D8" s="31">
        <v>4.4550620464903955E-2</v>
      </c>
      <c r="E8" s="28">
        <v>6</v>
      </c>
      <c r="F8" s="33"/>
      <c r="H8" s="28" t="s">
        <v>48</v>
      </c>
      <c r="I8" s="32">
        <v>249940859.65000001</v>
      </c>
      <c r="J8" s="31">
        <v>4.4124571018411711E-2</v>
      </c>
      <c r="K8" s="28">
        <v>6</v>
      </c>
      <c r="N8" s="28" t="s">
        <v>36</v>
      </c>
      <c r="O8" s="32">
        <v>43885222.509999998</v>
      </c>
      <c r="P8" s="31">
        <v>4.4911460453382124E-2</v>
      </c>
      <c r="Q8" s="28">
        <v>6</v>
      </c>
    </row>
    <row r="9" spans="2:17" x14ac:dyDescent="0.3">
      <c r="B9" s="28" t="s">
        <v>48</v>
      </c>
      <c r="C9" s="32">
        <v>286800106.89999998</v>
      </c>
      <c r="D9" s="31">
        <v>4.3182466890862803E-2</v>
      </c>
      <c r="E9" s="28">
        <v>7</v>
      </c>
      <c r="F9" s="33"/>
      <c r="H9" s="28" t="s">
        <v>49</v>
      </c>
      <c r="I9" s="32">
        <v>247317417.75999999</v>
      </c>
      <c r="J9" s="31">
        <v>4.3661428464808902E-2</v>
      </c>
      <c r="K9" s="28">
        <v>7</v>
      </c>
      <c r="N9" s="28" t="s">
        <v>35</v>
      </c>
      <c r="O9" s="32">
        <v>43162480.630000003</v>
      </c>
      <c r="P9" s="31">
        <v>4.417181755071195E-2</v>
      </c>
      <c r="Q9" s="28">
        <v>7</v>
      </c>
    </row>
    <row r="10" spans="2:17" x14ac:dyDescent="0.3">
      <c r="B10" s="28" t="s">
        <v>36</v>
      </c>
      <c r="C10" s="32">
        <v>264582463.12</v>
      </c>
      <c r="D10" s="31">
        <v>3.9837235686826483E-2</v>
      </c>
      <c r="E10" s="28">
        <v>8</v>
      </c>
      <c r="F10" s="33"/>
      <c r="H10" s="28" t="s">
        <v>36</v>
      </c>
      <c r="I10" s="32">
        <v>220697240.61000001</v>
      </c>
      <c r="J10" s="31">
        <v>3.8961901149336314E-2</v>
      </c>
      <c r="K10" s="28">
        <v>8</v>
      </c>
      <c r="N10" s="28" t="s">
        <v>43</v>
      </c>
      <c r="O10" s="32">
        <v>39616098.890000001</v>
      </c>
      <c r="P10" s="31">
        <v>4.0542505127097977E-2</v>
      </c>
      <c r="Q10" s="28">
        <v>8</v>
      </c>
    </row>
    <row r="11" spans="2:17" x14ac:dyDescent="0.3">
      <c r="B11" s="28" t="s">
        <v>546</v>
      </c>
      <c r="C11" s="32">
        <v>247177992.77000001</v>
      </c>
      <c r="D11" s="31">
        <v>3.7216706800817623E-2</v>
      </c>
      <c r="E11" s="28">
        <v>9</v>
      </c>
      <c r="F11" s="33"/>
      <c r="H11" s="28" t="s">
        <v>546</v>
      </c>
      <c r="I11" s="32">
        <v>208840209.80000001</v>
      </c>
      <c r="J11" s="31">
        <v>3.6868660377195356E-2</v>
      </c>
      <c r="K11" s="28">
        <v>9</v>
      </c>
      <c r="N11" s="28" t="s">
        <v>546</v>
      </c>
      <c r="O11" s="32">
        <v>38337782.969999999</v>
      </c>
      <c r="P11" s="31">
        <v>3.9234296313187401E-2</v>
      </c>
      <c r="Q11" s="28">
        <v>9</v>
      </c>
    </row>
    <row r="12" spans="2:17" x14ac:dyDescent="0.3">
      <c r="B12" s="28" t="s">
        <v>47</v>
      </c>
      <c r="C12" s="32">
        <v>215084987</v>
      </c>
      <c r="D12" s="31">
        <v>3.2384577642739915E-2</v>
      </c>
      <c r="E12" s="28">
        <v>10</v>
      </c>
      <c r="F12" s="33"/>
      <c r="H12" s="28" t="s">
        <v>47</v>
      </c>
      <c r="I12" s="32">
        <v>200960704.74000001</v>
      </c>
      <c r="J12" s="31">
        <v>3.5477612186448272E-2</v>
      </c>
      <c r="K12" s="28">
        <v>10</v>
      </c>
      <c r="N12" s="28" t="s">
        <v>48</v>
      </c>
      <c r="O12" s="32">
        <v>36859247.25</v>
      </c>
      <c r="P12" s="31">
        <v>3.7721185641307775E-2</v>
      </c>
      <c r="Q12" s="28">
        <v>10</v>
      </c>
    </row>
    <row r="13" spans="2:17" x14ac:dyDescent="0.3">
      <c r="B13" s="28" t="s">
        <v>35</v>
      </c>
      <c r="C13" s="32">
        <v>211259111.72</v>
      </c>
      <c r="D13" s="31">
        <v>3.1808529277929591E-2</v>
      </c>
      <c r="E13" s="28">
        <v>11</v>
      </c>
      <c r="F13" s="33"/>
      <c r="H13" s="28" t="s">
        <v>44</v>
      </c>
      <c r="I13" s="32">
        <v>171772925.21000001</v>
      </c>
      <c r="J13" s="31">
        <v>3.0324800227072308E-2</v>
      </c>
      <c r="K13" s="28">
        <v>11</v>
      </c>
      <c r="N13" s="28" t="s">
        <v>52</v>
      </c>
      <c r="O13" s="32">
        <v>32757386.93</v>
      </c>
      <c r="P13" s="31">
        <v>3.3523404998746391E-2</v>
      </c>
      <c r="Q13" s="28">
        <v>11</v>
      </c>
    </row>
    <row r="14" spans="2:17" x14ac:dyDescent="0.3">
      <c r="B14" s="28" t="s">
        <v>44</v>
      </c>
      <c r="C14" s="32">
        <v>201602637.22</v>
      </c>
      <c r="D14" s="31">
        <v>3.0354588430815108E-2</v>
      </c>
      <c r="E14" s="28">
        <v>12</v>
      </c>
      <c r="F14" s="33"/>
      <c r="H14" s="28" t="s">
        <v>35</v>
      </c>
      <c r="I14" s="32">
        <v>168096631.09</v>
      </c>
      <c r="J14" s="31">
        <v>2.9675787091686345E-2</v>
      </c>
      <c r="K14" s="28">
        <v>12</v>
      </c>
      <c r="N14" s="28" t="s">
        <v>44</v>
      </c>
      <c r="O14" s="32">
        <v>29829712.010000002</v>
      </c>
      <c r="P14" s="31">
        <v>3.0527267600560081E-2</v>
      </c>
      <c r="Q14" s="28">
        <v>12</v>
      </c>
    </row>
    <row r="15" spans="2:17" x14ac:dyDescent="0.3">
      <c r="B15" s="28" t="s">
        <v>42</v>
      </c>
      <c r="C15" s="32">
        <v>191198132.28999999</v>
      </c>
      <c r="D15" s="31">
        <v>2.8788019315789636E-2</v>
      </c>
      <c r="E15" s="28">
        <v>13</v>
      </c>
      <c r="F15" s="33"/>
      <c r="H15" s="28" t="s">
        <v>42</v>
      </c>
      <c r="I15" s="32">
        <v>162823783.03999999</v>
      </c>
      <c r="J15" s="31">
        <v>2.874491825104411E-2</v>
      </c>
      <c r="K15" s="28">
        <v>13</v>
      </c>
      <c r="N15" s="28" t="s">
        <v>489</v>
      </c>
      <c r="O15" s="32">
        <v>29302480.469999999</v>
      </c>
      <c r="P15" s="31">
        <v>2.9987706967066874E-2</v>
      </c>
      <c r="Q15" s="28">
        <v>13</v>
      </c>
    </row>
    <row r="16" spans="2:17" x14ac:dyDescent="0.3">
      <c r="B16" s="28" t="s">
        <v>52</v>
      </c>
      <c r="C16" s="32">
        <v>175740008.28999999</v>
      </c>
      <c r="D16" s="31">
        <v>2.6460544842226767E-2</v>
      </c>
      <c r="E16" s="28">
        <v>14</v>
      </c>
      <c r="F16" s="33"/>
      <c r="H16" s="28" t="s">
        <v>52</v>
      </c>
      <c r="I16" s="32">
        <v>142982621.36000001</v>
      </c>
      <c r="J16" s="31">
        <v>2.5242158642779525E-2</v>
      </c>
      <c r="K16" s="28">
        <v>14</v>
      </c>
      <c r="N16" s="28" t="s">
        <v>42</v>
      </c>
      <c r="O16" s="32">
        <v>28374349.25</v>
      </c>
      <c r="P16" s="31">
        <v>2.9037871778853329E-2</v>
      </c>
      <c r="Q16" s="28">
        <v>14</v>
      </c>
    </row>
    <row r="17" spans="2:17" x14ac:dyDescent="0.3">
      <c r="B17" s="28" t="s">
        <v>38</v>
      </c>
      <c r="C17" s="32">
        <v>152237840.31999999</v>
      </c>
      <c r="D17" s="31">
        <v>2.2921907422604446E-2</v>
      </c>
      <c r="E17" s="28">
        <v>15</v>
      </c>
      <c r="F17" s="33"/>
      <c r="H17" s="28" t="s">
        <v>38</v>
      </c>
      <c r="I17" s="32">
        <v>128322006.81999999</v>
      </c>
      <c r="J17" s="31">
        <v>2.2653973068201379E-2</v>
      </c>
      <c r="K17" s="28">
        <v>15</v>
      </c>
      <c r="N17" s="28" t="s">
        <v>50</v>
      </c>
      <c r="O17" s="32">
        <v>26267293.43</v>
      </c>
      <c r="P17" s="31">
        <v>2.6881543322014916E-2</v>
      </c>
      <c r="Q17" s="28">
        <v>15</v>
      </c>
    </row>
    <row r="18" spans="2:17" x14ac:dyDescent="0.3">
      <c r="B18" s="28" t="s">
        <v>32</v>
      </c>
      <c r="C18" s="32">
        <v>150449789.03</v>
      </c>
      <c r="D18" s="31">
        <v>2.2652686931495945E-2</v>
      </c>
      <c r="E18" s="28">
        <v>16</v>
      </c>
      <c r="F18" s="33"/>
      <c r="H18" s="28" t="s">
        <v>32</v>
      </c>
      <c r="I18" s="32">
        <v>125741884.73</v>
      </c>
      <c r="J18" s="31">
        <v>2.2198478194110763E-2</v>
      </c>
      <c r="K18" s="28">
        <v>16</v>
      </c>
      <c r="N18" s="28" t="s">
        <v>41</v>
      </c>
      <c r="O18" s="32">
        <v>25818719.09</v>
      </c>
      <c r="P18" s="31">
        <v>2.6422479254908468E-2</v>
      </c>
      <c r="Q18" s="28">
        <v>16</v>
      </c>
    </row>
    <row r="19" spans="2:17" x14ac:dyDescent="0.3">
      <c r="B19" s="28" t="s">
        <v>50</v>
      </c>
      <c r="C19" s="32">
        <v>144183227.69999999</v>
      </c>
      <c r="D19" s="31">
        <v>2.1709153192693537E-2</v>
      </c>
      <c r="E19" s="28">
        <v>17</v>
      </c>
      <c r="F19" s="33"/>
      <c r="H19" s="28" t="s">
        <v>50</v>
      </c>
      <c r="I19" s="32">
        <v>117915934.27</v>
      </c>
      <c r="J19" s="31">
        <v>2.0816884534945151E-2</v>
      </c>
      <c r="K19" s="28">
        <v>17</v>
      </c>
      <c r="N19" s="28" t="s">
        <v>32</v>
      </c>
      <c r="O19" s="32">
        <v>24707904.300000001</v>
      </c>
      <c r="P19" s="31">
        <v>2.5285688516277736E-2</v>
      </c>
      <c r="Q19" s="28">
        <v>17</v>
      </c>
    </row>
    <row r="20" spans="2:17" x14ac:dyDescent="0.3">
      <c r="B20" s="28" t="s">
        <v>51</v>
      </c>
      <c r="C20" s="32">
        <v>129837635.56</v>
      </c>
      <c r="D20" s="31">
        <v>1.954918866439799E-2</v>
      </c>
      <c r="E20" s="28">
        <v>18</v>
      </c>
      <c r="F20" s="33"/>
      <c r="H20" s="28" t="s">
        <v>51</v>
      </c>
      <c r="I20" s="32">
        <v>113776903.23999999</v>
      </c>
      <c r="J20" s="31">
        <v>2.0086179803888406E-2</v>
      </c>
      <c r="K20" s="28">
        <v>18</v>
      </c>
      <c r="N20" s="28" t="s">
        <v>38</v>
      </c>
      <c r="O20" s="32">
        <v>23915833.5</v>
      </c>
      <c r="P20" s="31">
        <v>2.447509546522569E-2</v>
      </c>
      <c r="Q20" s="28">
        <v>18</v>
      </c>
    </row>
    <row r="21" spans="2:17" x14ac:dyDescent="0.3">
      <c r="B21" s="28" t="s">
        <v>41</v>
      </c>
      <c r="C21" s="32">
        <v>129815215.19</v>
      </c>
      <c r="D21" s="31">
        <v>1.9545812909431678E-2</v>
      </c>
      <c r="E21" s="28">
        <v>19</v>
      </c>
      <c r="F21" s="33"/>
      <c r="H21" s="28" t="s">
        <v>31</v>
      </c>
      <c r="I21" s="32">
        <v>105664663.06999999</v>
      </c>
      <c r="J21" s="31">
        <v>1.8654044545968494E-2</v>
      </c>
      <c r="K21" s="28">
        <v>19</v>
      </c>
      <c r="N21" s="28" t="s">
        <v>34</v>
      </c>
      <c r="O21" s="32">
        <v>21028387.280000001</v>
      </c>
      <c r="P21" s="31">
        <v>2.1520127498702381E-2</v>
      </c>
      <c r="Q21" s="28">
        <v>19</v>
      </c>
    </row>
    <row r="22" spans="2:17" x14ac:dyDescent="0.3">
      <c r="B22" s="28" t="s">
        <v>33</v>
      </c>
      <c r="C22" s="32">
        <v>124812786.61</v>
      </c>
      <c r="D22" s="31">
        <v>1.8792615119986381E-2</v>
      </c>
      <c r="E22" s="28">
        <v>20</v>
      </c>
      <c r="F22" s="33"/>
      <c r="H22" s="28" t="s">
        <v>33</v>
      </c>
      <c r="I22" s="32">
        <v>104427417.02</v>
      </c>
      <c r="J22" s="31">
        <v>1.8435621070603474E-2</v>
      </c>
      <c r="K22" s="28">
        <v>20</v>
      </c>
      <c r="N22" s="28" t="s">
        <v>37</v>
      </c>
      <c r="O22" s="32">
        <v>20897618.460000001</v>
      </c>
      <c r="P22" s="31">
        <v>2.1386300703438277E-2</v>
      </c>
      <c r="Q22" s="28">
        <v>20</v>
      </c>
    </row>
    <row r="23" spans="2:17" x14ac:dyDescent="0.3">
      <c r="B23" s="28" t="s">
        <v>34</v>
      </c>
      <c r="C23" s="32">
        <v>124384789.53</v>
      </c>
      <c r="D23" s="31">
        <v>1.8728173129583182E-2</v>
      </c>
      <c r="E23" s="28">
        <v>21</v>
      </c>
      <c r="F23" s="33"/>
      <c r="H23" s="28" t="s">
        <v>41</v>
      </c>
      <c r="I23" s="32">
        <v>103996496.09999999</v>
      </c>
      <c r="J23" s="31">
        <v>1.8359546271291004E-2</v>
      </c>
      <c r="K23" s="28">
        <v>21</v>
      </c>
      <c r="N23" s="28" t="s">
        <v>33</v>
      </c>
      <c r="O23" s="32">
        <v>20385369.59</v>
      </c>
      <c r="P23" s="31">
        <v>2.0862073103542836E-2</v>
      </c>
      <c r="Q23" s="28">
        <v>21</v>
      </c>
    </row>
    <row r="24" spans="2:17" x14ac:dyDescent="0.3">
      <c r="B24" s="28" t="s">
        <v>31</v>
      </c>
      <c r="C24" s="32">
        <v>121429557.20999999</v>
      </c>
      <c r="D24" s="31">
        <v>1.8283214363031174E-2</v>
      </c>
      <c r="E24" s="28">
        <v>22</v>
      </c>
      <c r="F24" s="33"/>
      <c r="H24" s="28" t="s">
        <v>34</v>
      </c>
      <c r="I24" s="32">
        <v>103356402.25</v>
      </c>
      <c r="J24" s="31">
        <v>1.824654407316172E-2</v>
      </c>
      <c r="K24" s="28">
        <v>22</v>
      </c>
      <c r="N24" s="28" t="s">
        <v>40</v>
      </c>
      <c r="O24" s="32">
        <v>18698992.859999999</v>
      </c>
      <c r="P24" s="31">
        <v>1.9136261144821632E-2</v>
      </c>
      <c r="Q24" s="28">
        <v>22</v>
      </c>
    </row>
    <row r="25" spans="2:17" x14ac:dyDescent="0.3">
      <c r="B25" s="28" t="s">
        <v>489</v>
      </c>
      <c r="C25" s="32">
        <v>118232610.41</v>
      </c>
      <c r="D25" s="31">
        <v>1.7801861511266077E-2</v>
      </c>
      <c r="E25" s="28">
        <v>23</v>
      </c>
      <c r="F25" s="33"/>
      <c r="H25" s="28" t="s">
        <v>489</v>
      </c>
      <c r="I25" s="32">
        <v>88930129.939999998</v>
      </c>
      <c r="J25" s="31">
        <v>1.5699729286796152E-2</v>
      </c>
      <c r="K25" s="28">
        <v>23</v>
      </c>
      <c r="N25" s="28" t="s">
        <v>51</v>
      </c>
      <c r="O25" s="32">
        <v>16060732.32</v>
      </c>
      <c r="P25" s="31">
        <v>1.6436305963304004E-2</v>
      </c>
      <c r="Q25" s="28">
        <v>23</v>
      </c>
    </row>
    <row r="26" spans="2:17" x14ac:dyDescent="0.3">
      <c r="B26" s="28" t="s">
        <v>37</v>
      </c>
      <c r="C26" s="32">
        <v>93632129.5</v>
      </c>
      <c r="D26" s="31">
        <v>1.4097855038333421E-2</v>
      </c>
      <c r="E26" s="28">
        <v>24</v>
      </c>
      <c r="F26" s="33"/>
      <c r="H26" s="28" t="s">
        <v>39</v>
      </c>
      <c r="I26" s="32">
        <v>81969329.540000007</v>
      </c>
      <c r="J26" s="31">
        <v>1.4470869259568553E-2</v>
      </c>
      <c r="K26" s="28">
        <v>24</v>
      </c>
      <c r="N26" s="28" t="s">
        <v>31</v>
      </c>
      <c r="O26" s="32">
        <v>15764894.140000001</v>
      </c>
      <c r="P26" s="31">
        <v>1.6133549728704923E-2</v>
      </c>
      <c r="Q26" s="28">
        <v>24</v>
      </c>
    </row>
    <row r="27" spans="2:17" x14ac:dyDescent="0.3">
      <c r="B27" s="28" t="s">
        <v>40</v>
      </c>
      <c r="C27" s="32">
        <v>93285164.930000007</v>
      </c>
      <c r="D27" s="31">
        <v>1.4045613823299457E-2</v>
      </c>
      <c r="E27" s="28">
        <v>25</v>
      </c>
      <c r="F27" s="33"/>
      <c r="H27" s="28" t="s">
        <v>40</v>
      </c>
      <c r="I27" s="32">
        <v>74586172.069999993</v>
      </c>
      <c r="J27" s="31">
        <v>1.3167446295506851E-2</v>
      </c>
      <c r="K27" s="28">
        <v>25</v>
      </c>
      <c r="N27" s="28" t="s">
        <v>47</v>
      </c>
      <c r="O27" s="32">
        <v>14124282.26</v>
      </c>
      <c r="P27" s="31">
        <v>1.4454572812245648E-2</v>
      </c>
      <c r="Q27" s="28">
        <v>25</v>
      </c>
    </row>
    <row r="28" spans="2:17" x14ac:dyDescent="0.3">
      <c r="B28" s="28" t="s">
        <v>39</v>
      </c>
      <c r="C28" s="32">
        <v>92384164.489999995</v>
      </c>
      <c r="D28" s="31">
        <v>1.3909953407794383E-2</v>
      </c>
      <c r="E28" s="28">
        <v>26</v>
      </c>
      <c r="F28" s="33"/>
      <c r="H28" s="28" t="s">
        <v>37</v>
      </c>
      <c r="I28" s="32">
        <v>72734511.040000007</v>
      </c>
      <c r="J28" s="31">
        <v>1.2840553970919859E-2</v>
      </c>
      <c r="K28" s="28">
        <v>26</v>
      </c>
      <c r="N28" s="28" t="s">
        <v>39</v>
      </c>
      <c r="O28" s="32">
        <v>10414834.949999999</v>
      </c>
      <c r="P28" s="31">
        <v>1.0658381597104655E-2</v>
      </c>
      <c r="Q28" s="28">
        <v>26</v>
      </c>
    </row>
    <row r="29" spans="2:17" x14ac:dyDescent="0.3">
      <c r="B29" s="27" t="s">
        <v>75</v>
      </c>
      <c r="C29" s="34">
        <v>6641586911.2999992</v>
      </c>
      <c r="D29" s="35">
        <v>1</v>
      </c>
      <c r="E29" s="33"/>
      <c r="F29" s="33"/>
      <c r="H29" s="27" t="s">
        <v>75</v>
      </c>
      <c r="I29" s="34">
        <v>5664437157.8299999</v>
      </c>
      <c r="J29" s="35">
        <v>1</v>
      </c>
      <c r="N29" s="27" t="s">
        <v>75</v>
      </c>
      <c r="O29" s="34">
        <v>977149753.47000003</v>
      </c>
      <c r="P29" s="35">
        <v>1</v>
      </c>
    </row>
  </sheetData>
  <mergeCells count="3">
    <mergeCell ref="N1:P1"/>
    <mergeCell ref="H1:J1"/>
    <mergeCell ref="B1:D1"/>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tabColor rgb="FF00B050"/>
  </sheetPr>
  <dimension ref="A1:N195"/>
  <sheetViews>
    <sheetView showGridLines="0" zoomScale="90" zoomScaleNormal="90" workbookViewId="0">
      <selection activeCell="H159" sqref="H159:I164"/>
    </sheetView>
  </sheetViews>
  <sheetFormatPr baseColWidth="10" defaultRowHeight="14.4" x14ac:dyDescent="0.3"/>
  <cols>
    <col min="1" max="1" width="33.5546875" customWidth="1"/>
    <col min="2" max="2" width="22.44140625" customWidth="1"/>
    <col min="3" max="12" width="13.33203125" customWidth="1"/>
    <col min="13" max="13" width="14" customWidth="1"/>
    <col min="14" max="17" width="13.33203125" customWidth="1"/>
    <col min="18" max="24" width="27.44140625" bestFit="1" customWidth="1"/>
    <col min="25" max="26" width="32.44140625" bestFit="1" customWidth="1"/>
  </cols>
  <sheetData>
    <row r="1" spans="1:2" x14ac:dyDescent="0.3">
      <c r="A1" s="1" t="s">
        <v>28</v>
      </c>
      <c r="B1" t="s">
        <v>41</v>
      </c>
    </row>
    <row r="3" spans="1:2" x14ac:dyDescent="0.3">
      <c r="B3" s="1" t="s">
        <v>74</v>
      </c>
    </row>
    <row r="4" spans="1:2" x14ac:dyDescent="0.3">
      <c r="A4" s="1" t="s">
        <v>76</v>
      </c>
      <c r="B4" s="4">
        <v>42735</v>
      </c>
    </row>
    <row r="5" spans="1:2" x14ac:dyDescent="0.3">
      <c r="A5" s="3" t="s">
        <v>80</v>
      </c>
      <c r="B5" s="2">
        <v>118752.28</v>
      </c>
    </row>
    <row r="6" spans="1:2" x14ac:dyDescent="0.3">
      <c r="A6" s="3" t="s">
        <v>81</v>
      </c>
      <c r="B6" s="2">
        <v>87811.94</v>
      </c>
    </row>
    <row r="7" spans="1:2" x14ac:dyDescent="0.3">
      <c r="A7" s="3" t="s">
        <v>82</v>
      </c>
      <c r="B7" s="2">
        <v>134405.81</v>
      </c>
    </row>
    <row r="8" spans="1:2" x14ac:dyDescent="0.3">
      <c r="A8" s="3" t="s">
        <v>83</v>
      </c>
      <c r="B8" s="2">
        <v>252709.37</v>
      </c>
    </row>
    <row r="9" spans="1:2" x14ac:dyDescent="0.3">
      <c r="A9" s="3" t="s">
        <v>84</v>
      </c>
      <c r="B9" s="2">
        <v>755762.38</v>
      </c>
    </row>
    <row r="10" spans="1:2" x14ac:dyDescent="0.3">
      <c r="A10" s="3" t="s">
        <v>85</v>
      </c>
      <c r="B10" s="2">
        <v>11600.33</v>
      </c>
    </row>
    <row r="11" spans="1:2" x14ac:dyDescent="0.3">
      <c r="A11" s="3" t="s">
        <v>86</v>
      </c>
      <c r="B11" s="2">
        <v>10518.22</v>
      </c>
    </row>
    <row r="12" spans="1:2" x14ac:dyDescent="0.3">
      <c r="A12" s="3" t="s">
        <v>87</v>
      </c>
      <c r="B12" s="2">
        <v>15065</v>
      </c>
    </row>
    <row r="13" spans="1:2" x14ac:dyDescent="0.3">
      <c r="A13" s="3" t="s">
        <v>88</v>
      </c>
      <c r="B13" s="2">
        <v>29024.38</v>
      </c>
    </row>
    <row r="14" spans="1:2" x14ac:dyDescent="0.3">
      <c r="A14" s="3" t="s">
        <v>89</v>
      </c>
      <c r="B14" s="2">
        <v>47963.56</v>
      </c>
    </row>
    <row r="15" spans="1:2" x14ac:dyDescent="0.3">
      <c r="A15" s="3" t="s">
        <v>90</v>
      </c>
      <c r="B15" s="2">
        <v>0</v>
      </c>
    </row>
    <row r="16" spans="1:2" x14ac:dyDescent="0.3">
      <c r="A16" s="3" t="s">
        <v>91</v>
      </c>
      <c r="B16" s="2">
        <v>7378.38</v>
      </c>
    </row>
    <row r="17" spans="1:2" x14ac:dyDescent="0.3">
      <c r="A17" s="3" t="s">
        <v>92</v>
      </c>
      <c r="B17" s="2">
        <v>1791.74</v>
      </c>
    </row>
    <row r="18" spans="1:2" x14ac:dyDescent="0.3">
      <c r="A18" s="3" t="s">
        <v>93</v>
      </c>
      <c r="B18" s="2">
        <v>9642.61</v>
      </c>
    </row>
    <row r="19" spans="1:2" x14ac:dyDescent="0.3">
      <c r="A19" s="3" t="s">
        <v>94</v>
      </c>
      <c r="B19" s="2">
        <v>5301.96</v>
      </c>
    </row>
    <row r="20" spans="1:2" x14ac:dyDescent="0.3">
      <c r="A20" s="3" t="s">
        <v>95</v>
      </c>
      <c r="B20" s="2">
        <v>1282868.3899999999</v>
      </c>
    </row>
    <row r="21" spans="1:2" x14ac:dyDescent="0.3">
      <c r="A21" s="3" t="s">
        <v>96</v>
      </c>
      <c r="B21" s="2">
        <v>2503954.13</v>
      </c>
    </row>
    <row r="22" spans="1:2" x14ac:dyDescent="0.3">
      <c r="A22" s="3" t="s">
        <v>97</v>
      </c>
      <c r="B22" s="2">
        <v>3746133.25</v>
      </c>
    </row>
    <row r="23" spans="1:2" x14ac:dyDescent="0.3">
      <c r="A23" s="3" t="s">
        <v>98</v>
      </c>
      <c r="B23" s="2">
        <v>26191357.07</v>
      </c>
    </row>
    <row r="24" spans="1:2" x14ac:dyDescent="0.3">
      <c r="A24" s="3" t="s">
        <v>99</v>
      </c>
      <c r="B24" s="2">
        <v>123525.64</v>
      </c>
    </row>
    <row r="25" spans="1:2" x14ac:dyDescent="0.3">
      <c r="A25" s="3" t="s">
        <v>100</v>
      </c>
      <c r="B25" s="2">
        <v>115387.24</v>
      </c>
    </row>
    <row r="26" spans="1:2" x14ac:dyDescent="0.3">
      <c r="A26" s="3" t="s">
        <v>101</v>
      </c>
      <c r="B26" s="2">
        <v>151032.64000000001</v>
      </c>
    </row>
    <row r="27" spans="1:2" x14ac:dyDescent="0.3">
      <c r="A27" s="3" t="s">
        <v>102</v>
      </c>
      <c r="B27" s="2">
        <v>520743.2</v>
      </c>
    </row>
    <row r="28" spans="1:2" x14ac:dyDescent="0.3">
      <c r="A28" s="3" t="s">
        <v>103</v>
      </c>
      <c r="B28" s="2">
        <v>275.52</v>
      </c>
    </row>
    <row r="29" spans="1:2" x14ac:dyDescent="0.3">
      <c r="A29" s="3" t="s">
        <v>104</v>
      </c>
      <c r="B29" s="2">
        <v>101403.53</v>
      </c>
    </row>
    <row r="30" spans="1:2" x14ac:dyDescent="0.3">
      <c r="A30" s="3" t="s">
        <v>105</v>
      </c>
      <c r="B30" s="2">
        <v>110833.12</v>
      </c>
    </row>
    <row r="31" spans="1:2" x14ac:dyDescent="0.3">
      <c r="A31" s="3" t="s">
        <v>106</v>
      </c>
      <c r="B31" s="2">
        <v>663500.32999999996</v>
      </c>
    </row>
    <row r="32" spans="1:2" x14ac:dyDescent="0.3">
      <c r="A32" s="3" t="s">
        <v>107</v>
      </c>
      <c r="B32" s="2">
        <v>129165.12</v>
      </c>
    </row>
    <row r="33" spans="1:2" x14ac:dyDescent="0.3">
      <c r="A33" s="3" t="s">
        <v>108</v>
      </c>
      <c r="B33" s="2">
        <v>214687.87</v>
      </c>
    </row>
    <row r="34" spans="1:2" x14ac:dyDescent="0.3">
      <c r="A34" s="3" t="s">
        <v>109</v>
      </c>
      <c r="B34" s="2">
        <v>936038.08</v>
      </c>
    </row>
    <row r="35" spans="1:2" x14ac:dyDescent="0.3">
      <c r="A35" s="3" t="s">
        <v>110</v>
      </c>
      <c r="B35" s="2">
        <v>6281839.9900000002</v>
      </c>
    </row>
    <row r="36" spans="1:2" x14ac:dyDescent="0.3">
      <c r="A36" s="3" t="s">
        <v>111</v>
      </c>
      <c r="B36" s="2">
        <v>23186.37</v>
      </c>
    </row>
    <row r="37" spans="1:2" x14ac:dyDescent="0.3">
      <c r="A37" s="3" t="s">
        <v>112</v>
      </c>
      <c r="B37" s="2">
        <v>14632.91</v>
      </c>
    </row>
    <row r="38" spans="1:2" x14ac:dyDescent="0.3">
      <c r="A38" s="3" t="s">
        <v>113</v>
      </c>
      <c r="B38" s="2">
        <v>61548.58</v>
      </c>
    </row>
    <row r="39" spans="1:2" x14ac:dyDescent="0.3">
      <c r="A39" s="3" t="s">
        <v>114</v>
      </c>
      <c r="B39" s="2">
        <v>265241.65999999997</v>
      </c>
    </row>
    <row r="40" spans="1:2" x14ac:dyDescent="0.3">
      <c r="A40" s="3" t="s">
        <v>115</v>
      </c>
      <c r="B40" s="2">
        <v>0</v>
      </c>
    </row>
    <row r="41" spans="1:2" x14ac:dyDescent="0.3">
      <c r="A41" s="3" t="s">
        <v>116</v>
      </c>
      <c r="B41" s="2">
        <v>5253.35</v>
      </c>
    </row>
    <row r="42" spans="1:2" x14ac:dyDescent="0.3">
      <c r="A42" s="3" t="s">
        <v>117</v>
      </c>
      <c r="B42" s="2">
        <v>41731.9</v>
      </c>
    </row>
    <row r="43" spans="1:2" x14ac:dyDescent="0.3">
      <c r="A43" s="3" t="s">
        <v>118</v>
      </c>
      <c r="B43" s="2">
        <v>50346.21</v>
      </c>
    </row>
    <row r="44" spans="1:2" x14ac:dyDescent="0.3">
      <c r="A44" s="3" t="s">
        <v>119</v>
      </c>
      <c r="B44" s="2">
        <v>1416981.96</v>
      </c>
    </row>
    <row r="45" spans="1:2" x14ac:dyDescent="0.3">
      <c r="A45" s="3" t="s">
        <v>120</v>
      </c>
      <c r="B45" s="2">
        <v>2607159.29</v>
      </c>
    </row>
    <row r="46" spans="1:2" x14ac:dyDescent="0.3">
      <c r="A46" s="3" t="s">
        <v>121</v>
      </c>
      <c r="B46" s="2">
        <v>3853512.2</v>
      </c>
    </row>
    <row r="47" spans="1:2" x14ac:dyDescent="0.3">
      <c r="A47" s="3" t="s">
        <v>122</v>
      </c>
      <c r="B47" s="2">
        <v>7111740.96</v>
      </c>
    </row>
    <row r="48" spans="1:2" x14ac:dyDescent="0.3">
      <c r="A48" s="3" t="s">
        <v>124</v>
      </c>
      <c r="B48" s="2">
        <v>18473253.010000002</v>
      </c>
    </row>
    <row r="49" spans="1:2" x14ac:dyDescent="0.3">
      <c r="A49" s="3" t="s">
        <v>123</v>
      </c>
      <c r="B49" s="2">
        <v>352035.74</v>
      </c>
    </row>
    <row r="50" spans="1:2" x14ac:dyDescent="0.3">
      <c r="A50" s="3" t="s">
        <v>125</v>
      </c>
      <c r="B50" s="2">
        <v>330625.33</v>
      </c>
    </row>
    <row r="51" spans="1:2" x14ac:dyDescent="0.3">
      <c r="A51" s="3" t="s">
        <v>126</v>
      </c>
      <c r="B51" s="2">
        <v>445944.35</v>
      </c>
    </row>
    <row r="52" spans="1:2" x14ac:dyDescent="0.3">
      <c r="A52" s="3" t="s">
        <v>127</v>
      </c>
      <c r="B52" s="2">
        <v>703430.96</v>
      </c>
    </row>
    <row r="53" spans="1:2" x14ac:dyDescent="0.3">
      <c r="A53" s="3" t="s">
        <v>205</v>
      </c>
      <c r="B53" s="2">
        <v>997249.55</v>
      </c>
    </row>
    <row r="54" spans="1:2" x14ac:dyDescent="0.3">
      <c r="A54" s="3" t="s">
        <v>129</v>
      </c>
      <c r="B54" s="2">
        <v>4</v>
      </c>
    </row>
    <row r="55" spans="1:2" x14ac:dyDescent="0.3">
      <c r="A55" s="3" t="s">
        <v>130</v>
      </c>
      <c r="B55" s="2">
        <v>280973.31</v>
      </c>
    </row>
    <row r="56" spans="1:2" x14ac:dyDescent="0.3">
      <c r="A56" s="3" t="s">
        <v>131</v>
      </c>
      <c r="B56" s="2">
        <v>510141.02</v>
      </c>
    </row>
    <row r="57" spans="1:2" x14ac:dyDescent="0.3">
      <c r="A57" s="3" t="s">
        <v>132</v>
      </c>
      <c r="B57" s="2">
        <v>696534.49</v>
      </c>
    </row>
    <row r="58" spans="1:2" x14ac:dyDescent="0.3">
      <c r="A58" s="3" t="s">
        <v>128</v>
      </c>
      <c r="B58" s="2">
        <v>1346172.34</v>
      </c>
    </row>
    <row r="59" spans="1:2" x14ac:dyDescent="0.3">
      <c r="A59" s="3" t="s">
        <v>134</v>
      </c>
      <c r="B59" s="2">
        <v>0</v>
      </c>
    </row>
    <row r="60" spans="1:2" x14ac:dyDescent="0.3">
      <c r="A60" s="3" t="s">
        <v>135</v>
      </c>
      <c r="B60" s="2">
        <v>0</v>
      </c>
    </row>
    <row r="61" spans="1:2" x14ac:dyDescent="0.3">
      <c r="A61" s="3" t="s">
        <v>136</v>
      </c>
      <c r="B61" s="2">
        <v>0</v>
      </c>
    </row>
    <row r="62" spans="1:2" x14ac:dyDescent="0.3">
      <c r="A62" s="3" t="s">
        <v>137</v>
      </c>
      <c r="B62" s="2">
        <v>0</v>
      </c>
    </row>
    <row r="63" spans="1:2" x14ac:dyDescent="0.3">
      <c r="A63" s="3" t="s">
        <v>133</v>
      </c>
      <c r="B63" s="2">
        <v>0</v>
      </c>
    </row>
    <row r="64" spans="1:2" x14ac:dyDescent="0.3">
      <c r="A64" s="3" t="s">
        <v>138</v>
      </c>
      <c r="B64" s="2">
        <v>0</v>
      </c>
    </row>
    <row r="65" spans="1:2" x14ac:dyDescent="0.3">
      <c r="A65" s="3" t="s">
        <v>139</v>
      </c>
      <c r="B65" s="2">
        <v>0</v>
      </c>
    </row>
    <row r="66" spans="1:2" x14ac:dyDescent="0.3">
      <c r="A66" s="3" t="s">
        <v>140</v>
      </c>
      <c r="B66" s="2">
        <v>0</v>
      </c>
    </row>
    <row r="67" spans="1:2" x14ac:dyDescent="0.3">
      <c r="A67" s="3" t="s">
        <v>141</v>
      </c>
      <c r="B67" s="2">
        <v>0</v>
      </c>
    </row>
    <row r="68" spans="1:2" x14ac:dyDescent="0.3">
      <c r="A68" s="3" t="s">
        <v>142</v>
      </c>
      <c r="B68" s="2">
        <v>0</v>
      </c>
    </row>
    <row r="69" spans="1:2" x14ac:dyDescent="0.3">
      <c r="A69" s="3" t="s">
        <v>143</v>
      </c>
      <c r="B69" s="2">
        <v>0</v>
      </c>
    </row>
    <row r="70" spans="1:2" x14ac:dyDescent="0.3">
      <c r="A70" s="3" t="s">
        <v>144</v>
      </c>
      <c r="B70" s="2">
        <v>0</v>
      </c>
    </row>
    <row r="71" spans="1:2" x14ac:dyDescent="0.3">
      <c r="A71" s="3" t="s">
        <v>145</v>
      </c>
      <c r="B71" s="2">
        <v>0</v>
      </c>
    </row>
    <row r="72" spans="1:2" x14ac:dyDescent="0.3">
      <c r="A72" s="3" t="s">
        <v>146</v>
      </c>
      <c r="B72" s="2">
        <v>0</v>
      </c>
    </row>
    <row r="73" spans="1:2" x14ac:dyDescent="0.3">
      <c r="A73" s="3" t="s">
        <v>147</v>
      </c>
      <c r="B73" s="2">
        <v>0</v>
      </c>
    </row>
    <row r="74" spans="1:2" x14ac:dyDescent="0.3">
      <c r="A74" s="3" t="s">
        <v>148</v>
      </c>
      <c r="B74" s="2">
        <v>0</v>
      </c>
    </row>
    <row r="75" spans="1:2" x14ac:dyDescent="0.3">
      <c r="A75" s="3" t="s">
        <v>149</v>
      </c>
      <c r="B75" s="2">
        <v>0</v>
      </c>
    </row>
    <row r="76" spans="1:2" x14ac:dyDescent="0.3">
      <c r="A76" s="3" t="s">
        <v>150</v>
      </c>
      <c r="B76" s="2">
        <v>0</v>
      </c>
    </row>
    <row r="77" spans="1:2" x14ac:dyDescent="0.3">
      <c r="A77" s="3" t="s">
        <v>151</v>
      </c>
      <c r="B77" s="2">
        <v>0</v>
      </c>
    </row>
    <row r="78" spans="1:2" x14ac:dyDescent="0.3">
      <c r="A78" s="3" t="s">
        <v>152</v>
      </c>
      <c r="B78" s="2">
        <v>0</v>
      </c>
    </row>
    <row r="79" spans="1:2" x14ac:dyDescent="0.3">
      <c r="A79" s="3" t="s">
        <v>153</v>
      </c>
      <c r="B79" s="2">
        <v>0</v>
      </c>
    </row>
    <row r="80" spans="1:2" x14ac:dyDescent="0.3">
      <c r="A80" s="3" t="s">
        <v>154</v>
      </c>
      <c r="B80" s="2">
        <v>0</v>
      </c>
    </row>
    <row r="81" spans="1:2" x14ac:dyDescent="0.3">
      <c r="A81" s="3" t="s">
        <v>155</v>
      </c>
      <c r="B81" s="2">
        <v>0</v>
      </c>
    </row>
    <row r="82" spans="1:2" x14ac:dyDescent="0.3">
      <c r="A82" s="3" t="s">
        <v>156</v>
      </c>
      <c r="B82" s="2">
        <v>0</v>
      </c>
    </row>
    <row r="83" spans="1:2" x14ac:dyDescent="0.3">
      <c r="A83" s="3" t="s">
        <v>157</v>
      </c>
      <c r="B83" s="2">
        <v>0</v>
      </c>
    </row>
    <row r="84" spans="1:2" x14ac:dyDescent="0.3">
      <c r="A84" s="3" t="s">
        <v>158</v>
      </c>
      <c r="B84" s="2">
        <v>0</v>
      </c>
    </row>
    <row r="85" spans="1:2" x14ac:dyDescent="0.3">
      <c r="A85" s="3" t="s">
        <v>159</v>
      </c>
      <c r="B85" s="2">
        <v>0</v>
      </c>
    </row>
    <row r="86" spans="1:2" x14ac:dyDescent="0.3">
      <c r="A86" s="3" t="s">
        <v>160</v>
      </c>
      <c r="B86" s="2">
        <v>0</v>
      </c>
    </row>
    <row r="87" spans="1:2" x14ac:dyDescent="0.3">
      <c r="A87" s="3" t="s">
        <v>161</v>
      </c>
      <c r="B87" s="2">
        <v>0</v>
      </c>
    </row>
    <row r="88" spans="1:2" x14ac:dyDescent="0.3">
      <c r="A88" s="3" t="s">
        <v>162</v>
      </c>
      <c r="B88" s="2">
        <v>0</v>
      </c>
    </row>
    <row r="89" spans="1:2" x14ac:dyDescent="0.3">
      <c r="A89" s="3" t="s">
        <v>163</v>
      </c>
      <c r="B89" s="2">
        <v>75454.16</v>
      </c>
    </row>
    <row r="90" spans="1:2" x14ac:dyDescent="0.3">
      <c r="A90" s="3" t="s">
        <v>164</v>
      </c>
      <c r="B90" s="2">
        <v>172087.87</v>
      </c>
    </row>
    <row r="91" spans="1:2" x14ac:dyDescent="0.3">
      <c r="A91" s="3" t="s">
        <v>165</v>
      </c>
      <c r="B91" s="2">
        <v>288377.58</v>
      </c>
    </row>
    <row r="92" spans="1:2" x14ac:dyDescent="0.3">
      <c r="A92" s="3" t="s">
        <v>166</v>
      </c>
      <c r="B92" s="2">
        <v>566634.07999999996</v>
      </c>
    </row>
    <row r="93" spans="1:2" x14ac:dyDescent="0.3">
      <c r="A93" s="3" t="s">
        <v>167</v>
      </c>
      <c r="B93" s="2">
        <v>3111009.78</v>
      </c>
    </row>
    <row r="94" spans="1:2" x14ac:dyDescent="0.3">
      <c r="A94" s="3" t="s">
        <v>168</v>
      </c>
      <c r="B94" s="2">
        <v>509.43</v>
      </c>
    </row>
    <row r="95" spans="1:2" x14ac:dyDescent="0.3">
      <c r="A95" s="3" t="s">
        <v>169</v>
      </c>
      <c r="B95" s="2">
        <v>523.55999999999995</v>
      </c>
    </row>
    <row r="96" spans="1:2" x14ac:dyDescent="0.3">
      <c r="A96" s="3" t="s">
        <v>170</v>
      </c>
      <c r="B96" s="2">
        <v>810.35</v>
      </c>
    </row>
    <row r="97" spans="1:2" x14ac:dyDescent="0.3">
      <c r="A97" s="3" t="s">
        <v>171</v>
      </c>
      <c r="B97" s="2">
        <v>744.47</v>
      </c>
    </row>
    <row r="98" spans="1:2" x14ac:dyDescent="0.3">
      <c r="A98" s="3" t="s">
        <v>172</v>
      </c>
      <c r="B98" s="2">
        <v>1378.96</v>
      </c>
    </row>
    <row r="99" spans="1:2" x14ac:dyDescent="0.3">
      <c r="A99" s="3" t="s">
        <v>173</v>
      </c>
      <c r="B99" s="2">
        <v>0</v>
      </c>
    </row>
    <row r="100" spans="1:2" x14ac:dyDescent="0.3">
      <c r="A100" s="3" t="s">
        <v>174</v>
      </c>
      <c r="B100" s="2">
        <v>362.69</v>
      </c>
    </row>
    <row r="101" spans="1:2" x14ac:dyDescent="0.3">
      <c r="A101" s="3" t="s">
        <v>175</v>
      </c>
      <c r="B101" s="2">
        <v>45.28</v>
      </c>
    </row>
    <row r="102" spans="1:2" x14ac:dyDescent="0.3">
      <c r="A102" s="3" t="s">
        <v>176</v>
      </c>
      <c r="B102" s="2">
        <v>0</v>
      </c>
    </row>
    <row r="103" spans="1:2" x14ac:dyDescent="0.3">
      <c r="A103" s="3" t="s">
        <v>177</v>
      </c>
      <c r="B103" s="2">
        <v>0</v>
      </c>
    </row>
    <row r="104" spans="1:2" x14ac:dyDescent="0.3">
      <c r="A104" s="3" t="s">
        <v>178</v>
      </c>
      <c r="B104" s="2">
        <v>0</v>
      </c>
    </row>
    <row r="105" spans="1:2" x14ac:dyDescent="0.3">
      <c r="A105" s="3" t="s">
        <v>179</v>
      </c>
      <c r="B105" s="2">
        <v>0</v>
      </c>
    </row>
    <row r="106" spans="1:2" x14ac:dyDescent="0.3">
      <c r="A106" s="3" t="s">
        <v>180</v>
      </c>
      <c r="B106" s="2">
        <v>0</v>
      </c>
    </row>
    <row r="107" spans="1:2" x14ac:dyDescent="0.3">
      <c r="A107" s="3" t="s">
        <v>181</v>
      </c>
      <c r="B107" s="2">
        <v>0</v>
      </c>
    </row>
    <row r="108" spans="1:2" x14ac:dyDescent="0.3">
      <c r="A108" s="3" t="s">
        <v>182</v>
      </c>
      <c r="B108" s="2">
        <v>0</v>
      </c>
    </row>
    <row r="109" spans="1:2" x14ac:dyDescent="0.3">
      <c r="A109" s="3" t="s">
        <v>183</v>
      </c>
      <c r="B109" s="2">
        <v>0</v>
      </c>
    </row>
    <row r="110" spans="1:2" x14ac:dyDescent="0.3">
      <c r="A110" s="3" t="s">
        <v>184</v>
      </c>
      <c r="B110" s="2">
        <v>0</v>
      </c>
    </row>
    <row r="111" spans="1:2" x14ac:dyDescent="0.3">
      <c r="A111" s="3" t="s">
        <v>185</v>
      </c>
      <c r="B111" s="2">
        <v>0</v>
      </c>
    </row>
    <row r="112" spans="1:2" x14ac:dyDescent="0.3">
      <c r="A112" s="3" t="s">
        <v>186</v>
      </c>
      <c r="B112" s="2">
        <v>0</v>
      </c>
    </row>
    <row r="113" spans="1:2" x14ac:dyDescent="0.3">
      <c r="A113" s="3" t="s">
        <v>187</v>
      </c>
      <c r="B113" s="2">
        <v>0</v>
      </c>
    </row>
    <row r="114" spans="1:2" x14ac:dyDescent="0.3">
      <c r="A114" s="3" t="s">
        <v>188</v>
      </c>
      <c r="B114" s="2">
        <v>0</v>
      </c>
    </row>
    <row r="115" spans="1:2" x14ac:dyDescent="0.3">
      <c r="A115" s="3" t="s">
        <v>189</v>
      </c>
      <c r="B115" s="2">
        <v>0</v>
      </c>
    </row>
    <row r="116" spans="1:2" x14ac:dyDescent="0.3">
      <c r="A116" s="3" t="s">
        <v>190</v>
      </c>
      <c r="B116" s="2">
        <v>0</v>
      </c>
    </row>
    <row r="117" spans="1:2" x14ac:dyDescent="0.3">
      <c r="A117" s="3" t="s">
        <v>191</v>
      </c>
      <c r="B117" s="2">
        <v>0</v>
      </c>
    </row>
    <row r="118" spans="1:2" x14ac:dyDescent="0.3">
      <c r="A118" s="3" t="s">
        <v>192</v>
      </c>
      <c r="B118" s="2">
        <v>0</v>
      </c>
    </row>
    <row r="119" spans="1:2" x14ac:dyDescent="0.3">
      <c r="A119" s="3" t="s">
        <v>193</v>
      </c>
      <c r="B119" s="2">
        <v>0</v>
      </c>
    </row>
    <row r="120" spans="1:2" x14ac:dyDescent="0.3">
      <c r="A120" s="3" t="s">
        <v>194</v>
      </c>
      <c r="B120" s="2">
        <v>0</v>
      </c>
    </row>
    <row r="121" spans="1:2" x14ac:dyDescent="0.3">
      <c r="A121" s="3" t="s">
        <v>195</v>
      </c>
      <c r="B121" s="2">
        <v>0</v>
      </c>
    </row>
    <row r="122" spans="1:2" x14ac:dyDescent="0.3">
      <c r="A122" s="3" t="s">
        <v>196</v>
      </c>
      <c r="B122" s="2">
        <v>0</v>
      </c>
    </row>
    <row r="123" spans="1:2" x14ac:dyDescent="0.3">
      <c r="A123" s="3" t="s">
        <v>197</v>
      </c>
      <c r="B123" s="2">
        <v>0</v>
      </c>
    </row>
    <row r="124" spans="1:2" x14ac:dyDescent="0.3">
      <c r="A124" s="3" t="s">
        <v>198</v>
      </c>
      <c r="B124" s="2">
        <v>0</v>
      </c>
    </row>
    <row r="125" spans="1:2" x14ac:dyDescent="0.3">
      <c r="A125" s="3" t="s">
        <v>199</v>
      </c>
      <c r="B125" s="2">
        <v>0</v>
      </c>
    </row>
    <row r="126" spans="1:2" x14ac:dyDescent="0.3">
      <c r="A126" s="3" t="s">
        <v>200</v>
      </c>
      <c r="B126" s="2">
        <v>0</v>
      </c>
    </row>
    <row r="127" spans="1:2" x14ac:dyDescent="0.3">
      <c r="A127" s="3" t="s">
        <v>201</v>
      </c>
      <c r="B127" s="2">
        <v>0</v>
      </c>
    </row>
    <row r="128" spans="1:2" x14ac:dyDescent="0.3">
      <c r="A128" s="3" t="s">
        <v>202</v>
      </c>
      <c r="B128" s="2">
        <v>0</v>
      </c>
    </row>
    <row r="129" spans="1:14" x14ac:dyDescent="0.3">
      <c r="A129" s="3" t="s">
        <v>203</v>
      </c>
      <c r="B129" s="2">
        <v>0</v>
      </c>
    </row>
    <row r="130" spans="1:14" x14ac:dyDescent="0.3">
      <c r="A130" s="3" t="s">
        <v>204</v>
      </c>
      <c r="B130" s="2">
        <v>0</v>
      </c>
    </row>
    <row r="131" spans="1:14" x14ac:dyDescent="0.3">
      <c r="A131" s="3" t="s">
        <v>281</v>
      </c>
      <c r="B131" s="2">
        <v>8054414.21</v>
      </c>
    </row>
    <row r="132" spans="1:14" x14ac:dyDescent="0.3">
      <c r="A132" s="3" t="s">
        <v>282</v>
      </c>
      <c r="B132" s="2">
        <v>-9804021.9100000001</v>
      </c>
    </row>
    <row r="133" spans="1:14" x14ac:dyDescent="0.3">
      <c r="A133" s="3" t="s">
        <v>283</v>
      </c>
      <c r="B133" s="2">
        <v>88366110.780000001</v>
      </c>
    </row>
    <row r="134" spans="1:14" x14ac:dyDescent="0.3">
      <c r="A134" s="3" t="s">
        <v>284</v>
      </c>
      <c r="B134" s="2">
        <v>78562088.870000005</v>
      </c>
    </row>
    <row r="135" spans="1:14" x14ac:dyDescent="0.3">
      <c r="A135" s="3"/>
      <c r="B135" s="15" t="e">
        <f>+GETPIVOTDATA("Suma de A14",$A$3,"FEC_CORTE",DATE(2016,1,31))-GETPIVOTDATA("Suma de A1499",$A$3,"FEC_CORTE",DATE(2016,1,31))</f>
        <v>#REF!</v>
      </c>
      <c r="C135" s="2"/>
      <c r="D135" s="2"/>
      <c r="E135" s="2"/>
      <c r="F135" s="2"/>
      <c r="G135" s="2"/>
      <c r="H135" s="2"/>
      <c r="I135" s="2"/>
      <c r="J135" s="2"/>
      <c r="K135" s="2"/>
      <c r="L135" s="2"/>
      <c r="M135" s="2"/>
    </row>
    <row r="136" spans="1:14" x14ac:dyDescent="0.3">
      <c r="A136" s="3"/>
      <c r="B136" s="2"/>
      <c r="C136" s="2"/>
      <c r="D136" s="2"/>
      <c r="E136" s="2"/>
      <c r="F136" s="2"/>
      <c r="G136" s="2"/>
      <c r="H136" s="2"/>
      <c r="I136" s="2"/>
      <c r="J136" s="2"/>
      <c r="K136" s="2"/>
      <c r="L136" s="2"/>
      <c r="M136" s="2"/>
    </row>
    <row r="137" spans="1:14" x14ac:dyDescent="0.3">
      <c r="B137" s="6"/>
    </row>
    <row r="138" spans="1:14" x14ac:dyDescent="0.3">
      <c r="A138" t="e">
        <f>+'CLASIFICACIÓN DE CARTERA'!#REF!</f>
        <v>#REF!</v>
      </c>
      <c r="B138" s="6">
        <f>+SUM(B5:B9)</f>
        <v>1349441.78</v>
      </c>
      <c r="C138" s="6">
        <f t="shared" ref="C138:N138" si="0">+SUM(C5:C9)</f>
        <v>0</v>
      </c>
      <c r="D138" s="6">
        <f t="shared" si="0"/>
        <v>0</v>
      </c>
      <c r="E138" s="6">
        <f t="shared" si="0"/>
        <v>0</v>
      </c>
      <c r="F138" s="6">
        <f t="shared" si="0"/>
        <v>0</v>
      </c>
      <c r="G138" s="6">
        <f t="shared" si="0"/>
        <v>0</v>
      </c>
      <c r="H138" s="6">
        <f t="shared" si="0"/>
        <v>0</v>
      </c>
      <c r="I138" s="6">
        <f t="shared" si="0"/>
        <v>0</v>
      </c>
      <c r="J138" s="6">
        <f t="shared" si="0"/>
        <v>0</v>
      </c>
      <c r="K138" s="6">
        <f t="shared" si="0"/>
        <v>0</v>
      </c>
      <c r="L138" s="6">
        <f t="shared" si="0"/>
        <v>0</v>
      </c>
      <c r="M138" s="6">
        <f t="shared" si="0"/>
        <v>0</v>
      </c>
      <c r="N138" s="6">
        <f t="shared" si="0"/>
        <v>0</v>
      </c>
    </row>
    <row r="139" spans="1:14" x14ac:dyDescent="0.3">
      <c r="A139" t="e">
        <f>+'CLASIFICACIÓN DE CARTERA'!#REF!</f>
        <v>#REF!</v>
      </c>
      <c r="B139" s="6">
        <f>+SUM(B10:B14)</f>
        <v>114171.49</v>
      </c>
      <c r="C139" s="6">
        <f t="shared" ref="C139:N139" si="1">+SUM(C10:C14)</f>
        <v>0</v>
      </c>
      <c r="D139" s="6">
        <f t="shared" si="1"/>
        <v>0</v>
      </c>
      <c r="E139" s="6">
        <f t="shared" si="1"/>
        <v>0</v>
      </c>
      <c r="F139" s="6">
        <f t="shared" si="1"/>
        <v>0</v>
      </c>
      <c r="G139" s="6">
        <f t="shared" si="1"/>
        <v>0</v>
      </c>
      <c r="H139" s="6">
        <f t="shared" si="1"/>
        <v>0</v>
      </c>
      <c r="I139" s="6">
        <f t="shared" si="1"/>
        <v>0</v>
      </c>
      <c r="J139" s="6">
        <f t="shared" si="1"/>
        <v>0</v>
      </c>
      <c r="K139" s="6">
        <f t="shared" si="1"/>
        <v>0</v>
      </c>
      <c r="L139" s="6">
        <f t="shared" si="1"/>
        <v>0</v>
      </c>
      <c r="M139" s="6">
        <f t="shared" si="1"/>
        <v>0</v>
      </c>
      <c r="N139" s="6">
        <f t="shared" si="1"/>
        <v>0</v>
      </c>
    </row>
    <row r="140" spans="1:14" x14ac:dyDescent="0.3">
      <c r="A140" t="e">
        <f>+'CLASIFICACIÓN DE CARTERA'!#REF!</f>
        <v>#REF!</v>
      </c>
      <c r="B140" s="6">
        <f>+SUM(B15:B19)</f>
        <v>24114.690000000002</v>
      </c>
      <c r="C140" s="6">
        <f t="shared" ref="C140:N140" si="2">+SUM(C15:C19)</f>
        <v>0</v>
      </c>
      <c r="D140" s="6">
        <f t="shared" si="2"/>
        <v>0</v>
      </c>
      <c r="E140" s="6">
        <f t="shared" si="2"/>
        <v>0</v>
      </c>
      <c r="F140" s="6">
        <f t="shared" si="2"/>
        <v>0</v>
      </c>
      <c r="G140" s="6">
        <f t="shared" si="2"/>
        <v>0</v>
      </c>
      <c r="H140" s="6">
        <f t="shared" si="2"/>
        <v>0</v>
      </c>
      <c r="I140" s="6">
        <f t="shared" si="2"/>
        <v>0</v>
      </c>
      <c r="J140" s="6">
        <f t="shared" si="2"/>
        <v>0</v>
      </c>
      <c r="K140" s="6">
        <f t="shared" si="2"/>
        <v>0</v>
      </c>
      <c r="L140" s="6">
        <f t="shared" si="2"/>
        <v>0</v>
      </c>
      <c r="M140" s="6">
        <f t="shared" si="2"/>
        <v>0</v>
      </c>
      <c r="N140" s="6">
        <f t="shared" si="2"/>
        <v>0</v>
      </c>
    </row>
    <row r="141" spans="1:14" x14ac:dyDescent="0.3">
      <c r="A141" t="e">
        <f>+'CLASIFICACIÓN DE CARTERA'!#REF!</f>
        <v>#REF!</v>
      </c>
      <c r="B141" s="6">
        <f>+SUM(B20:B23)</f>
        <v>33724312.840000004</v>
      </c>
      <c r="C141" s="6">
        <f t="shared" ref="C141:N141" si="3">+SUM(C20:C23)</f>
        <v>0</v>
      </c>
      <c r="D141" s="6">
        <f t="shared" si="3"/>
        <v>0</v>
      </c>
      <c r="E141" s="6">
        <f t="shared" si="3"/>
        <v>0</v>
      </c>
      <c r="F141" s="6">
        <f t="shared" si="3"/>
        <v>0</v>
      </c>
      <c r="G141" s="6">
        <f t="shared" si="3"/>
        <v>0</v>
      </c>
      <c r="H141" s="6">
        <f t="shared" si="3"/>
        <v>0</v>
      </c>
      <c r="I141" s="6">
        <f t="shared" si="3"/>
        <v>0</v>
      </c>
      <c r="J141" s="6">
        <f t="shared" si="3"/>
        <v>0</v>
      </c>
      <c r="K141" s="6">
        <f t="shared" si="3"/>
        <v>0</v>
      </c>
      <c r="L141" s="6">
        <f t="shared" si="3"/>
        <v>0</v>
      </c>
      <c r="M141" s="6">
        <f t="shared" si="3"/>
        <v>0</v>
      </c>
      <c r="N141" s="6">
        <f t="shared" si="3"/>
        <v>0</v>
      </c>
    </row>
    <row r="142" spans="1:14" x14ac:dyDescent="0.3">
      <c r="A142" t="e">
        <f>+'CLASIFICACIÓN DE CARTERA'!#REF!</f>
        <v>#REF!</v>
      </c>
      <c r="B142" s="6">
        <f>+SUM(B24:B27)</f>
        <v>910688.72</v>
      </c>
      <c r="C142" s="6">
        <f t="shared" ref="C142:N142" si="4">+SUM(C24:C27)</f>
        <v>0</v>
      </c>
      <c r="D142" s="6">
        <f t="shared" si="4"/>
        <v>0</v>
      </c>
      <c r="E142" s="6">
        <f t="shared" si="4"/>
        <v>0</v>
      </c>
      <c r="F142" s="6">
        <f t="shared" si="4"/>
        <v>0</v>
      </c>
      <c r="G142" s="6">
        <f t="shared" si="4"/>
        <v>0</v>
      </c>
      <c r="H142" s="6">
        <f t="shared" si="4"/>
        <v>0</v>
      </c>
      <c r="I142" s="6">
        <f t="shared" si="4"/>
        <v>0</v>
      </c>
      <c r="J142" s="6">
        <f t="shared" si="4"/>
        <v>0</v>
      </c>
      <c r="K142" s="6">
        <f t="shared" si="4"/>
        <v>0</v>
      </c>
      <c r="L142" s="6">
        <f t="shared" si="4"/>
        <v>0</v>
      </c>
      <c r="M142" s="6">
        <f t="shared" si="4"/>
        <v>0</v>
      </c>
      <c r="N142" s="6">
        <f t="shared" si="4"/>
        <v>0</v>
      </c>
    </row>
    <row r="143" spans="1:14" x14ac:dyDescent="0.3">
      <c r="A143" t="e">
        <f>+'CLASIFICACIÓN DE CARTERA'!#REF!</f>
        <v>#REF!</v>
      </c>
      <c r="B143" s="6">
        <f>+SUM(B28:B31)</f>
        <v>876012.5</v>
      </c>
      <c r="C143" s="6">
        <f t="shared" ref="C143:N143" si="5">+SUM(C28:C31)</f>
        <v>0</v>
      </c>
      <c r="D143" s="6">
        <f t="shared" si="5"/>
        <v>0</v>
      </c>
      <c r="E143" s="6">
        <f t="shared" si="5"/>
        <v>0</v>
      </c>
      <c r="F143" s="6">
        <f t="shared" si="5"/>
        <v>0</v>
      </c>
      <c r="G143" s="6">
        <f t="shared" si="5"/>
        <v>0</v>
      </c>
      <c r="H143" s="6">
        <f t="shared" si="5"/>
        <v>0</v>
      </c>
      <c r="I143" s="6">
        <f t="shared" si="5"/>
        <v>0</v>
      </c>
      <c r="J143" s="6">
        <f t="shared" si="5"/>
        <v>0</v>
      </c>
      <c r="K143" s="6">
        <f t="shared" si="5"/>
        <v>0</v>
      </c>
      <c r="L143" s="6">
        <f t="shared" si="5"/>
        <v>0</v>
      </c>
      <c r="M143" s="6">
        <f t="shared" si="5"/>
        <v>0</v>
      </c>
      <c r="N143" s="6">
        <f t="shared" si="5"/>
        <v>0</v>
      </c>
    </row>
    <row r="144" spans="1:14" x14ac:dyDescent="0.3">
      <c r="A144" t="e">
        <f>+'CLASIFICACIÓN DE CARTERA'!#REF!</f>
        <v>#REF!</v>
      </c>
      <c r="B144" s="6">
        <f>+SUM(B32:B35)</f>
        <v>7561731.0600000005</v>
      </c>
      <c r="C144" s="6">
        <f t="shared" ref="C144:N144" si="6">+SUM(C32:C35)</f>
        <v>0</v>
      </c>
      <c r="D144" s="6">
        <f t="shared" si="6"/>
        <v>0</v>
      </c>
      <c r="E144" s="6">
        <f t="shared" si="6"/>
        <v>0</v>
      </c>
      <c r="F144" s="6">
        <f t="shared" si="6"/>
        <v>0</v>
      </c>
      <c r="G144" s="6">
        <f t="shared" si="6"/>
        <v>0</v>
      </c>
      <c r="H144" s="6">
        <f t="shared" si="6"/>
        <v>0</v>
      </c>
      <c r="I144" s="6">
        <f t="shared" si="6"/>
        <v>0</v>
      </c>
      <c r="J144" s="6">
        <f t="shared" si="6"/>
        <v>0</v>
      </c>
      <c r="K144" s="6">
        <f t="shared" si="6"/>
        <v>0</v>
      </c>
      <c r="L144" s="6">
        <f t="shared" si="6"/>
        <v>0</v>
      </c>
      <c r="M144" s="6">
        <f t="shared" si="6"/>
        <v>0</v>
      </c>
      <c r="N144" s="6">
        <f t="shared" si="6"/>
        <v>0</v>
      </c>
    </row>
    <row r="145" spans="1:14" x14ac:dyDescent="0.3">
      <c r="A145" t="e">
        <f>+'CLASIFICACIÓN DE CARTERA'!#REF!</f>
        <v>#REF!</v>
      </c>
      <c r="B145" s="6">
        <f>+SUM(B36:B39)</f>
        <v>364609.51999999996</v>
      </c>
      <c r="C145" s="6">
        <f t="shared" ref="C145:N145" si="7">+SUM(C36:C39)</f>
        <v>0</v>
      </c>
      <c r="D145" s="6">
        <f t="shared" si="7"/>
        <v>0</v>
      </c>
      <c r="E145" s="6">
        <f t="shared" si="7"/>
        <v>0</v>
      </c>
      <c r="F145" s="6">
        <f t="shared" si="7"/>
        <v>0</v>
      </c>
      <c r="G145" s="6">
        <f t="shared" si="7"/>
        <v>0</v>
      </c>
      <c r="H145" s="6">
        <f t="shared" si="7"/>
        <v>0</v>
      </c>
      <c r="I145" s="6">
        <f t="shared" si="7"/>
        <v>0</v>
      </c>
      <c r="J145" s="6">
        <f t="shared" si="7"/>
        <v>0</v>
      </c>
      <c r="K145" s="6">
        <f t="shared" si="7"/>
        <v>0</v>
      </c>
      <c r="L145" s="6">
        <f t="shared" si="7"/>
        <v>0</v>
      </c>
      <c r="M145" s="6">
        <f t="shared" si="7"/>
        <v>0</v>
      </c>
      <c r="N145" s="6">
        <f t="shared" si="7"/>
        <v>0</v>
      </c>
    </row>
    <row r="146" spans="1:14" x14ac:dyDescent="0.3">
      <c r="A146" t="e">
        <f>+'CLASIFICACIÓN DE CARTERA'!#REF!</f>
        <v>#REF!</v>
      </c>
      <c r="B146" s="6">
        <f>+SUM(B40:B43)</f>
        <v>97331.459999999992</v>
      </c>
      <c r="C146" s="6">
        <f t="shared" ref="C146:N146" si="8">+SUM(C40:C43)</f>
        <v>0</v>
      </c>
      <c r="D146" s="6">
        <f t="shared" si="8"/>
        <v>0</v>
      </c>
      <c r="E146" s="6">
        <f t="shared" si="8"/>
        <v>0</v>
      </c>
      <c r="F146" s="6">
        <f t="shared" si="8"/>
        <v>0</v>
      </c>
      <c r="G146" s="6">
        <f t="shared" si="8"/>
        <v>0</v>
      </c>
      <c r="H146" s="6">
        <f t="shared" si="8"/>
        <v>0</v>
      </c>
      <c r="I146" s="6">
        <f t="shared" si="8"/>
        <v>0</v>
      </c>
      <c r="J146" s="6">
        <f t="shared" si="8"/>
        <v>0</v>
      </c>
      <c r="K146" s="6">
        <f t="shared" si="8"/>
        <v>0</v>
      </c>
      <c r="L146" s="6">
        <f t="shared" si="8"/>
        <v>0</v>
      </c>
      <c r="M146" s="6">
        <f t="shared" si="8"/>
        <v>0</v>
      </c>
      <c r="N146" s="6">
        <f t="shared" si="8"/>
        <v>0</v>
      </c>
    </row>
    <row r="147" spans="1:14" x14ac:dyDescent="0.3">
      <c r="A147" t="e">
        <f>+'CLASIFICACIÓN DE CARTERA'!#REF!</f>
        <v>#REF!</v>
      </c>
      <c r="B147" s="6">
        <f>+SUM(B44:B48)</f>
        <v>33462647.420000002</v>
      </c>
      <c r="C147" s="6">
        <f t="shared" ref="C147:N147" si="9">+SUM(C44:C48)</f>
        <v>0</v>
      </c>
      <c r="D147" s="6">
        <f t="shared" si="9"/>
        <v>0</v>
      </c>
      <c r="E147" s="6">
        <f t="shared" si="9"/>
        <v>0</v>
      </c>
      <c r="F147" s="6">
        <f t="shared" si="9"/>
        <v>0</v>
      </c>
      <c r="G147" s="6">
        <f t="shared" si="9"/>
        <v>0</v>
      </c>
      <c r="H147" s="6">
        <f t="shared" si="9"/>
        <v>0</v>
      </c>
      <c r="I147" s="6">
        <f t="shared" si="9"/>
        <v>0</v>
      </c>
      <c r="J147" s="6">
        <f t="shared" si="9"/>
        <v>0</v>
      </c>
      <c r="K147" s="6">
        <f t="shared" si="9"/>
        <v>0</v>
      </c>
      <c r="L147" s="6">
        <f t="shared" si="9"/>
        <v>0</v>
      </c>
      <c r="M147" s="6">
        <f t="shared" si="9"/>
        <v>0</v>
      </c>
      <c r="N147" s="6">
        <f t="shared" si="9"/>
        <v>0</v>
      </c>
    </row>
    <row r="148" spans="1:14" x14ac:dyDescent="0.3">
      <c r="A148" t="e">
        <f>+'CLASIFICACIÓN DE CARTERA'!#REF!</f>
        <v>#REF!</v>
      </c>
      <c r="B148" s="6">
        <f>+SUM(B49:B53)</f>
        <v>2829285.9299999997</v>
      </c>
      <c r="C148" s="6">
        <f t="shared" ref="C148:N148" si="10">+SUM(C49:C53)</f>
        <v>0</v>
      </c>
      <c r="D148" s="6">
        <f t="shared" si="10"/>
        <v>0</v>
      </c>
      <c r="E148" s="6">
        <f t="shared" si="10"/>
        <v>0</v>
      </c>
      <c r="F148" s="6">
        <f t="shared" si="10"/>
        <v>0</v>
      </c>
      <c r="G148" s="6">
        <f t="shared" si="10"/>
        <v>0</v>
      </c>
      <c r="H148" s="6">
        <f t="shared" si="10"/>
        <v>0</v>
      </c>
      <c r="I148" s="6">
        <f t="shared" si="10"/>
        <v>0</v>
      </c>
      <c r="J148" s="6">
        <f t="shared" si="10"/>
        <v>0</v>
      </c>
      <c r="K148" s="6">
        <f t="shared" si="10"/>
        <v>0</v>
      </c>
      <c r="L148" s="6">
        <f t="shared" si="10"/>
        <v>0</v>
      </c>
      <c r="M148" s="6">
        <f t="shared" si="10"/>
        <v>0</v>
      </c>
      <c r="N148" s="6">
        <f t="shared" si="10"/>
        <v>0</v>
      </c>
    </row>
    <row r="149" spans="1:14" x14ac:dyDescent="0.3">
      <c r="A149" t="e">
        <f>+'CLASIFICACIÓN DE CARTERA'!#REF!</f>
        <v>#REF!</v>
      </c>
      <c r="B149" s="6">
        <f>+SUM(B54:B58)</f>
        <v>2833825.16</v>
      </c>
      <c r="C149" s="6">
        <f t="shared" ref="C149:N149" si="11">+SUM(C54:C58)</f>
        <v>0</v>
      </c>
      <c r="D149" s="6">
        <f t="shared" si="11"/>
        <v>0</v>
      </c>
      <c r="E149" s="6">
        <f t="shared" si="11"/>
        <v>0</v>
      </c>
      <c r="F149" s="6">
        <f t="shared" si="11"/>
        <v>0</v>
      </c>
      <c r="G149" s="6">
        <f t="shared" si="11"/>
        <v>0</v>
      </c>
      <c r="H149" s="6">
        <f t="shared" si="11"/>
        <v>0</v>
      </c>
      <c r="I149" s="6">
        <f t="shared" si="11"/>
        <v>0</v>
      </c>
      <c r="J149" s="6">
        <f t="shared" si="11"/>
        <v>0</v>
      </c>
      <c r="K149" s="6">
        <f t="shared" si="11"/>
        <v>0</v>
      </c>
      <c r="L149" s="6">
        <f t="shared" si="11"/>
        <v>0</v>
      </c>
      <c r="M149" s="6">
        <f t="shared" si="11"/>
        <v>0</v>
      </c>
      <c r="N149" s="6">
        <f t="shared" si="11"/>
        <v>0</v>
      </c>
    </row>
    <row r="150" spans="1:14" x14ac:dyDescent="0.3">
      <c r="A150" t="e">
        <f>+'CLASIFICACIÓN DE CARTERA'!#REF!</f>
        <v>#REF!</v>
      </c>
      <c r="B150" s="6">
        <f>+SUM(B59:B63)</f>
        <v>0</v>
      </c>
      <c r="C150" s="6">
        <f t="shared" ref="C150:N150" si="12">+SUM(C59:C63)</f>
        <v>0</v>
      </c>
      <c r="D150" s="6">
        <f t="shared" si="12"/>
        <v>0</v>
      </c>
      <c r="E150" s="6">
        <f t="shared" si="12"/>
        <v>0</v>
      </c>
      <c r="F150" s="6">
        <f t="shared" si="12"/>
        <v>0</v>
      </c>
      <c r="G150" s="6">
        <f t="shared" si="12"/>
        <v>0</v>
      </c>
      <c r="H150" s="6">
        <f t="shared" si="12"/>
        <v>0</v>
      </c>
      <c r="I150" s="6">
        <f t="shared" si="12"/>
        <v>0</v>
      </c>
      <c r="J150" s="6">
        <f t="shared" si="12"/>
        <v>0</v>
      </c>
      <c r="K150" s="6">
        <f t="shared" si="12"/>
        <v>0</v>
      </c>
      <c r="L150" s="6">
        <f t="shared" si="12"/>
        <v>0</v>
      </c>
      <c r="M150" s="6">
        <f t="shared" si="12"/>
        <v>0</v>
      </c>
      <c r="N150" s="6">
        <f t="shared" si="12"/>
        <v>0</v>
      </c>
    </row>
    <row r="151" spans="1:14" x14ac:dyDescent="0.3">
      <c r="A151" t="e">
        <f>+'CLASIFICACIÓN DE CARTERA'!#REF!</f>
        <v>#REF!</v>
      </c>
      <c r="B151" s="6">
        <f>+SUM(B64:B68)</f>
        <v>0</v>
      </c>
      <c r="C151" s="6">
        <f t="shared" ref="C151:N151" si="13">+SUM(C64:C68)</f>
        <v>0</v>
      </c>
      <c r="D151" s="6">
        <f t="shared" si="13"/>
        <v>0</v>
      </c>
      <c r="E151" s="6">
        <f t="shared" si="13"/>
        <v>0</v>
      </c>
      <c r="F151" s="6">
        <f t="shared" si="13"/>
        <v>0</v>
      </c>
      <c r="G151" s="6">
        <f t="shared" si="13"/>
        <v>0</v>
      </c>
      <c r="H151" s="6">
        <f t="shared" si="13"/>
        <v>0</v>
      </c>
      <c r="I151" s="6">
        <f t="shared" si="13"/>
        <v>0</v>
      </c>
      <c r="J151" s="6">
        <f t="shared" si="13"/>
        <v>0</v>
      </c>
      <c r="K151" s="6">
        <f t="shared" si="13"/>
        <v>0</v>
      </c>
      <c r="L151" s="6">
        <f t="shared" si="13"/>
        <v>0</v>
      </c>
      <c r="M151" s="6">
        <f t="shared" si="13"/>
        <v>0</v>
      </c>
      <c r="N151" s="6">
        <f t="shared" si="13"/>
        <v>0</v>
      </c>
    </row>
    <row r="152" spans="1:14" x14ac:dyDescent="0.3">
      <c r="A152" t="e">
        <f>+'CLASIFICACIÓN DE CARTERA'!#REF!</f>
        <v>#REF!</v>
      </c>
      <c r="B152" s="6">
        <f>+SUM(B69:B73)</f>
        <v>0</v>
      </c>
      <c r="C152" s="6">
        <f t="shared" ref="C152:N152" si="14">+SUM(C69:C73)</f>
        <v>0</v>
      </c>
      <c r="D152" s="6">
        <f t="shared" si="14"/>
        <v>0</v>
      </c>
      <c r="E152" s="6">
        <f t="shared" si="14"/>
        <v>0</v>
      </c>
      <c r="F152" s="6">
        <f t="shared" si="14"/>
        <v>0</v>
      </c>
      <c r="G152" s="6">
        <f t="shared" si="14"/>
        <v>0</v>
      </c>
      <c r="H152" s="6">
        <f t="shared" si="14"/>
        <v>0</v>
      </c>
      <c r="I152" s="6">
        <f t="shared" si="14"/>
        <v>0</v>
      </c>
      <c r="J152" s="6">
        <f t="shared" si="14"/>
        <v>0</v>
      </c>
      <c r="K152" s="6">
        <f t="shared" si="14"/>
        <v>0</v>
      </c>
      <c r="L152" s="6">
        <f t="shared" si="14"/>
        <v>0</v>
      </c>
      <c r="M152" s="6">
        <f t="shared" si="14"/>
        <v>0</v>
      </c>
      <c r="N152" s="6">
        <f t="shared" si="14"/>
        <v>0</v>
      </c>
    </row>
    <row r="153" spans="1:14" x14ac:dyDescent="0.3">
      <c r="A153" t="e">
        <f>+'CLASIFICACIÓN DE CARTERA'!#REF!</f>
        <v>#REF!</v>
      </c>
      <c r="B153" s="6">
        <f>+SUM(B74:B78)</f>
        <v>0</v>
      </c>
      <c r="C153" s="6">
        <f t="shared" ref="C153:N153" si="15">+SUM(C74:C78)</f>
        <v>0</v>
      </c>
      <c r="D153" s="6">
        <f t="shared" si="15"/>
        <v>0</v>
      </c>
      <c r="E153" s="6">
        <f t="shared" si="15"/>
        <v>0</v>
      </c>
      <c r="F153" s="6">
        <f t="shared" si="15"/>
        <v>0</v>
      </c>
      <c r="G153" s="6">
        <f t="shared" si="15"/>
        <v>0</v>
      </c>
      <c r="H153" s="6">
        <f t="shared" si="15"/>
        <v>0</v>
      </c>
      <c r="I153" s="6">
        <f t="shared" si="15"/>
        <v>0</v>
      </c>
      <c r="J153" s="6">
        <f t="shared" si="15"/>
        <v>0</v>
      </c>
      <c r="K153" s="6">
        <f t="shared" si="15"/>
        <v>0</v>
      </c>
      <c r="L153" s="6">
        <f t="shared" si="15"/>
        <v>0</v>
      </c>
      <c r="M153" s="6">
        <f t="shared" si="15"/>
        <v>0</v>
      </c>
      <c r="N153" s="6">
        <f t="shared" si="15"/>
        <v>0</v>
      </c>
    </row>
    <row r="154" spans="1:14" x14ac:dyDescent="0.3">
      <c r="A154" t="e">
        <f>+'CLASIFICACIÓN DE CARTERA'!#REF!</f>
        <v>#REF!</v>
      </c>
      <c r="B154" s="6">
        <f>+SUM(B79:B83)</f>
        <v>0</v>
      </c>
      <c r="C154" s="6">
        <f t="shared" ref="C154:N154" si="16">+SUM(C79:C83)</f>
        <v>0</v>
      </c>
      <c r="D154" s="6">
        <f t="shared" si="16"/>
        <v>0</v>
      </c>
      <c r="E154" s="6">
        <f t="shared" si="16"/>
        <v>0</v>
      </c>
      <c r="F154" s="6">
        <f t="shared" si="16"/>
        <v>0</v>
      </c>
      <c r="G154" s="6">
        <f t="shared" si="16"/>
        <v>0</v>
      </c>
      <c r="H154" s="6">
        <f t="shared" si="16"/>
        <v>0</v>
      </c>
      <c r="I154" s="6">
        <f t="shared" si="16"/>
        <v>0</v>
      </c>
      <c r="J154" s="6">
        <f t="shared" si="16"/>
        <v>0</v>
      </c>
      <c r="K154" s="6">
        <f t="shared" si="16"/>
        <v>0</v>
      </c>
      <c r="L154" s="6">
        <f t="shared" si="16"/>
        <v>0</v>
      </c>
      <c r="M154" s="6">
        <f t="shared" si="16"/>
        <v>0</v>
      </c>
      <c r="N154" s="6">
        <f t="shared" si="16"/>
        <v>0</v>
      </c>
    </row>
    <row r="155" spans="1:14" x14ac:dyDescent="0.3">
      <c r="A155" t="e">
        <f>+'CLASIFICACIÓN DE CARTERA'!#REF!</f>
        <v>#REF!</v>
      </c>
      <c r="B155" s="6">
        <f>+SUM(B84:B88)</f>
        <v>0</v>
      </c>
      <c r="C155" s="6">
        <f t="shared" ref="C155:N155" si="17">+SUM(C84:C88)</f>
        <v>0</v>
      </c>
      <c r="D155" s="6">
        <f t="shared" si="17"/>
        <v>0</v>
      </c>
      <c r="E155" s="6">
        <f t="shared" si="17"/>
        <v>0</v>
      </c>
      <c r="F155" s="6">
        <f t="shared" si="17"/>
        <v>0</v>
      </c>
      <c r="G155" s="6">
        <f t="shared" si="17"/>
        <v>0</v>
      </c>
      <c r="H155" s="6">
        <f t="shared" si="17"/>
        <v>0</v>
      </c>
      <c r="I155" s="6">
        <f t="shared" si="17"/>
        <v>0</v>
      </c>
      <c r="J155" s="6">
        <f t="shared" si="17"/>
        <v>0</v>
      </c>
      <c r="K155" s="6">
        <f t="shared" si="17"/>
        <v>0</v>
      </c>
      <c r="L155" s="6">
        <f t="shared" si="17"/>
        <v>0</v>
      </c>
      <c r="M155" s="6">
        <f t="shared" si="17"/>
        <v>0</v>
      </c>
      <c r="N155" s="6">
        <f t="shared" si="17"/>
        <v>0</v>
      </c>
    </row>
    <row r="156" spans="1:14" x14ac:dyDescent="0.3">
      <c r="A156" t="e">
        <f>+'CLASIFICACIÓN DE CARTERA'!#REF!</f>
        <v>#REF!</v>
      </c>
      <c r="B156" s="6">
        <f>+SUM(B89:B93)</f>
        <v>4213563.47</v>
      </c>
      <c r="C156" s="6">
        <f t="shared" ref="C156:N156" si="18">+SUM(C89:C93)</f>
        <v>0</v>
      </c>
      <c r="D156" s="6">
        <f t="shared" si="18"/>
        <v>0</v>
      </c>
      <c r="E156" s="6">
        <f t="shared" si="18"/>
        <v>0</v>
      </c>
      <c r="F156" s="6">
        <f t="shared" si="18"/>
        <v>0</v>
      </c>
      <c r="G156" s="6">
        <f t="shared" si="18"/>
        <v>0</v>
      </c>
      <c r="H156" s="6">
        <f t="shared" si="18"/>
        <v>0</v>
      </c>
      <c r="I156" s="6">
        <f t="shared" si="18"/>
        <v>0</v>
      </c>
      <c r="J156" s="6">
        <f t="shared" si="18"/>
        <v>0</v>
      </c>
      <c r="K156" s="6">
        <f t="shared" si="18"/>
        <v>0</v>
      </c>
      <c r="L156" s="6">
        <f t="shared" si="18"/>
        <v>0</v>
      </c>
      <c r="M156" s="6">
        <f t="shared" si="18"/>
        <v>0</v>
      </c>
      <c r="N156" s="6">
        <f t="shared" si="18"/>
        <v>0</v>
      </c>
    </row>
    <row r="157" spans="1:14" x14ac:dyDescent="0.3">
      <c r="A157" t="e">
        <f>+'CLASIFICACIÓN DE CARTERA'!#REF!</f>
        <v>#REF!</v>
      </c>
      <c r="B157" s="6">
        <f>+SUM(B94:B98)</f>
        <v>3966.7700000000004</v>
      </c>
      <c r="C157" s="6">
        <f t="shared" ref="C157:N157" si="19">+SUM(C94:C98)</f>
        <v>0</v>
      </c>
      <c r="D157" s="6">
        <f t="shared" si="19"/>
        <v>0</v>
      </c>
      <c r="E157" s="6">
        <f t="shared" si="19"/>
        <v>0</v>
      </c>
      <c r="F157" s="6">
        <f t="shared" si="19"/>
        <v>0</v>
      </c>
      <c r="G157" s="6">
        <f t="shared" si="19"/>
        <v>0</v>
      </c>
      <c r="H157" s="6">
        <f t="shared" si="19"/>
        <v>0</v>
      </c>
      <c r="I157" s="6">
        <f t="shared" si="19"/>
        <v>0</v>
      </c>
      <c r="J157" s="6">
        <f t="shared" si="19"/>
        <v>0</v>
      </c>
      <c r="K157" s="6">
        <f t="shared" si="19"/>
        <v>0</v>
      </c>
      <c r="L157" s="6">
        <f t="shared" si="19"/>
        <v>0</v>
      </c>
      <c r="M157" s="6">
        <f t="shared" si="19"/>
        <v>0</v>
      </c>
      <c r="N157" s="6">
        <f t="shared" si="19"/>
        <v>0</v>
      </c>
    </row>
    <row r="158" spans="1:14" x14ac:dyDescent="0.3">
      <c r="A158" t="e">
        <f>+'CLASIFICACIÓN DE CARTERA'!#REF!</f>
        <v>#REF!</v>
      </c>
      <c r="B158" s="6">
        <f>+SUM(B99:B103)</f>
        <v>407.97</v>
      </c>
      <c r="C158" s="6">
        <f t="shared" ref="C158:N158" si="20">+SUM(C99:C103)</f>
        <v>0</v>
      </c>
      <c r="D158" s="6">
        <f t="shared" si="20"/>
        <v>0</v>
      </c>
      <c r="E158" s="6">
        <f t="shared" si="20"/>
        <v>0</v>
      </c>
      <c r="F158" s="6">
        <f t="shared" si="20"/>
        <v>0</v>
      </c>
      <c r="G158" s="6">
        <f t="shared" si="20"/>
        <v>0</v>
      </c>
      <c r="H158" s="6">
        <f t="shared" si="20"/>
        <v>0</v>
      </c>
      <c r="I158" s="6">
        <f t="shared" si="20"/>
        <v>0</v>
      </c>
      <c r="J158" s="6">
        <f t="shared" si="20"/>
        <v>0</v>
      </c>
      <c r="K158" s="6">
        <f t="shared" si="20"/>
        <v>0</v>
      </c>
      <c r="L158" s="6">
        <f t="shared" si="20"/>
        <v>0</v>
      </c>
      <c r="M158" s="6">
        <f t="shared" si="20"/>
        <v>0</v>
      </c>
      <c r="N158" s="6">
        <f t="shared" si="20"/>
        <v>0</v>
      </c>
    </row>
    <row r="159" spans="1:14" x14ac:dyDescent="0.3">
      <c r="A159" t="e">
        <f>+'CLASIFICACIÓN DE CARTERA'!#REF!</f>
        <v>#REF!</v>
      </c>
      <c r="B159" s="6">
        <f>+SUM(B104:B107)</f>
        <v>0</v>
      </c>
      <c r="C159" s="6">
        <f t="shared" ref="C159:N159" si="21">+SUM(C104:C107)</f>
        <v>0</v>
      </c>
      <c r="D159" s="6">
        <f t="shared" si="21"/>
        <v>0</v>
      </c>
      <c r="E159" s="6">
        <f t="shared" si="21"/>
        <v>0</v>
      </c>
      <c r="F159" s="6">
        <f t="shared" si="21"/>
        <v>0</v>
      </c>
      <c r="G159" s="6">
        <f t="shared" si="21"/>
        <v>0</v>
      </c>
      <c r="H159" s="6">
        <f t="shared" si="21"/>
        <v>0</v>
      </c>
      <c r="I159" s="6">
        <f t="shared" si="21"/>
        <v>0</v>
      </c>
      <c r="J159" s="6">
        <f t="shared" si="21"/>
        <v>0</v>
      </c>
      <c r="K159" s="6">
        <f t="shared" si="21"/>
        <v>0</v>
      </c>
      <c r="L159" s="6">
        <f t="shared" si="21"/>
        <v>0</v>
      </c>
      <c r="M159" s="6">
        <f t="shared" si="21"/>
        <v>0</v>
      </c>
      <c r="N159" s="6">
        <f t="shared" si="21"/>
        <v>0</v>
      </c>
    </row>
    <row r="160" spans="1:14" x14ac:dyDescent="0.3">
      <c r="A160" t="e">
        <f>+'CLASIFICACIÓN DE CARTERA'!#REF!</f>
        <v>#REF!</v>
      </c>
      <c r="B160" s="6">
        <f>+SUM(B108:B111)</f>
        <v>0</v>
      </c>
      <c r="C160" s="6">
        <f t="shared" ref="C160:N160" si="22">+SUM(C108:C111)</f>
        <v>0</v>
      </c>
      <c r="D160" s="6">
        <f t="shared" si="22"/>
        <v>0</v>
      </c>
      <c r="E160" s="6">
        <f t="shared" si="22"/>
        <v>0</v>
      </c>
      <c r="F160" s="6">
        <f t="shared" si="22"/>
        <v>0</v>
      </c>
      <c r="G160" s="6">
        <f t="shared" si="22"/>
        <v>0</v>
      </c>
      <c r="H160" s="6">
        <f t="shared" si="22"/>
        <v>0</v>
      </c>
      <c r="I160" s="6">
        <f t="shared" si="22"/>
        <v>0</v>
      </c>
      <c r="J160" s="6">
        <f t="shared" si="22"/>
        <v>0</v>
      </c>
      <c r="K160" s="6">
        <f t="shared" si="22"/>
        <v>0</v>
      </c>
      <c r="L160" s="6">
        <f t="shared" si="22"/>
        <v>0</v>
      </c>
      <c r="M160" s="6">
        <f t="shared" si="22"/>
        <v>0</v>
      </c>
      <c r="N160" s="6">
        <f t="shared" si="22"/>
        <v>0</v>
      </c>
    </row>
    <row r="161" spans="1:14" x14ac:dyDescent="0.3">
      <c r="A161" t="e">
        <f>+'CLASIFICACIÓN DE CARTERA'!#REF!</f>
        <v>#REF!</v>
      </c>
      <c r="B161" s="6">
        <f>+SUM(B112:B115)</f>
        <v>0</v>
      </c>
      <c r="C161" s="6">
        <f t="shared" ref="C161:N161" si="23">+SUM(C112:C115)</f>
        <v>0</v>
      </c>
      <c r="D161" s="6">
        <f t="shared" si="23"/>
        <v>0</v>
      </c>
      <c r="E161" s="6">
        <f t="shared" si="23"/>
        <v>0</v>
      </c>
      <c r="F161" s="6">
        <f t="shared" si="23"/>
        <v>0</v>
      </c>
      <c r="G161" s="6">
        <f t="shared" si="23"/>
        <v>0</v>
      </c>
      <c r="H161" s="6">
        <f t="shared" si="23"/>
        <v>0</v>
      </c>
      <c r="I161" s="6">
        <f t="shared" si="23"/>
        <v>0</v>
      </c>
      <c r="J161" s="6">
        <f t="shared" si="23"/>
        <v>0</v>
      </c>
      <c r="K161" s="6">
        <f t="shared" si="23"/>
        <v>0</v>
      </c>
      <c r="L161" s="6">
        <f t="shared" si="23"/>
        <v>0</v>
      </c>
      <c r="M161" s="6">
        <f t="shared" si="23"/>
        <v>0</v>
      </c>
      <c r="N161" s="6">
        <f t="shared" si="23"/>
        <v>0</v>
      </c>
    </row>
    <row r="162" spans="1:14" x14ac:dyDescent="0.3">
      <c r="A162" t="e">
        <f>+'CLASIFICACIÓN DE CARTERA'!#REF!</f>
        <v>#REF!</v>
      </c>
      <c r="B162" s="6">
        <f>+SUM(B116:B120)</f>
        <v>0</v>
      </c>
      <c r="C162" s="6">
        <f t="shared" ref="C162:N162" si="24">+SUM(C116:C120)</f>
        <v>0</v>
      </c>
      <c r="D162" s="6">
        <f t="shared" si="24"/>
        <v>0</v>
      </c>
      <c r="E162" s="6">
        <f t="shared" si="24"/>
        <v>0</v>
      </c>
      <c r="F162" s="6">
        <f t="shared" si="24"/>
        <v>0</v>
      </c>
      <c r="G162" s="6">
        <f t="shared" si="24"/>
        <v>0</v>
      </c>
      <c r="H162" s="6">
        <f t="shared" si="24"/>
        <v>0</v>
      </c>
      <c r="I162" s="6">
        <f t="shared" si="24"/>
        <v>0</v>
      </c>
      <c r="J162" s="6">
        <f t="shared" si="24"/>
        <v>0</v>
      </c>
      <c r="K162" s="6">
        <f t="shared" si="24"/>
        <v>0</v>
      </c>
      <c r="L162" s="6">
        <f t="shared" si="24"/>
        <v>0</v>
      </c>
      <c r="M162" s="6">
        <f t="shared" si="24"/>
        <v>0</v>
      </c>
      <c r="N162" s="6">
        <f t="shared" si="24"/>
        <v>0</v>
      </c>
    </row>
    <row r="163" spans="1:14" x14ac:dyDescent="0.3">
      <c r="A163" t="e">
        <f>+'CLASIFICACIÓN DE CARTERA'!#REF!</f>
        <v>#REF!</v>
      </c>
      <c r="B163" s="6">
        <f>+SUM(B121:B125)</f>
        <v>0</v>
      </c>
      <c r="C163" s="6">
        <f t="shared" ref="C163:N163" si="25">+SUM(C121:C125)</f>
        <v>0</v>
      </c>
      <c r="D163" s="6">
        <f t="shared" si="25"/>
        <v>0</v>
      </c>
      <c r="E163" s="6">
        <f t="shared" si="25"/>
        <v>0</v>
      </c>
      <c r="F163" s="6">
        <f t="shared" si="25"/>
        <v>0</v>
      </c>
      <c r="G163" s="6">
        <f t="shared" si="25"/>
        <v>0</v>
      </c>
      <c r="H163" s="6">
        <f t="shared" si="25"/>
        <v>0</v>
      </c>
      <c r="I163" s="6">
        <f t="shared" si="25"/>
        <v>0</v>
      </c>
      <c r="J163" s="6">
        <f t="shared" si="25"/>
        <v>0</v>
      </c>
      <c r="K163" s="6">
        <f t="shared" si="25"/>
        <v>0</v>
      </c>
      <c r="L163" s="6">
        <f t="shared" si="25"/>
        <v>0</v>
      </c>
      <c r="M163" s="6">
        <f t="shared" si="25"/>
        <v>0</v>
      </c>
      <c r="N163" s="6">
        <f t="shared" si="25"/>
        <v>0</v>
      </c>
    </row>
    <row r="164" spans="1:14" x14ac:dyDescent="0.3">
      <c r="A164" t="e">
        <f>+'CLASIFICACIÓN DE CARTERA'!#REF!</f>
        <v>#REF!</v>
      </c>
      <c r="B164" s="6">
        <f>+SUM(B126:B130)</f>
        <v>0</v>
      </c>
      <c r="C164" s="6">
        <f t="shared" ref="C164:N164" si="26">+SUM(C126:C130)</f>
        <v>0</v>
      </c>
      <c r="D164" s="6">
        <f t="shared" si="26"/>
        <v>0</v>
      </c>
      <c r="E164" s="6">
        <f t="shared" si="26"/>
        <v>0</v>
      </c>
      <c r="F164" s="6">
        <f t="shared" si="26"/>
        <v>0</v>
      </c>
      <c r="G164" s="6">
        <f t="shared" si="26"/>
        <v>0</v>
      </c>
      <c r="H164" s="6">
        <f t="shared" si="26"/>
        <v>0</v>
      </c>
      <c r="I164" s="6">
        <f t="shared" si="26"/>
        <v>0</v>
      </c>
      <c r="J164" s="6">
        <f t="shared" si="26"/>
        <v>0</v>
      </c>
      <c r="K164" s="6">
        <f t="shared" si="26"/>
        <v>0</v>
      </c>
      <c r="L164" s="6">
        <f t="shared" si="26"/>
        <v>0</v>
      </c>
      <c r="M164" s="6">
        <f t="shared" si="26"/>
        <v>0</v>
      </c>
      <c r="N164" s="6">
        <f t="shared" si="26"/>
        <v>0</v>
      </c>
    </row>
    <row r="165" spans="1:14" x14ac:dyDescent="0.3">
      <c r="B165" s="6"/>
    </row>
    <row r="166" spans="1:14" x14ac:dyDescent="0.3">
      <c r="A166" t="s">
        <v>79</v>
      </c>
      <c r="B166" s="6">
        <f>+SUM(B138:B164)</f>
        <v>88366110.780000016</v>
      </c>
      <c r="C166" s="6">
        <f t="shared" ref="C166:N166" si="27">+SUM(C138:C164)</f>
        <v>0</v>
      </c>
      <c r="D166" s="6">
        <f t="shared" si="27"/>
        <v>0</v>
      </c>
      <c r="E166" s="6">
        <f t="shared" si="27"/>
        <v>0</v>
      </c>
      <c r="F166" s="6">
        <f t="shared" si="27"/>
        <v>0</v>
      </c>
      <c r="G166" s="6">
        <f t="shared" si="27"/>
        <v>0</v>
      </c>
      <c r="H166" s="6">
        <f t="shared" si="27"/>
        <v>0</v>
      </c>
      <c r="I166" s="6">
        <f t="shared" si="27"/>
        <v>0</v>
      </c>
      <c r="J166" s="6">
        <f t="shared" si="27"/>
        <v>0</v>
      </c>
      <c r="K166" s="6">
        <f t="shared" si="27"/>
        <v>0</v>
      </c>
      <c r="L166" s="6">
        <f t="shared" si="27"/>
        <v>0</v>
      </c>
      <c r="M166" s="6">
        <f t="shared" si="27"/>
        <v>0</v>
      </c>
      <c r="N166" s="6">
        <f t="shared" si="27"/>
        <v>0</v>
      </c>
    </row>
    <row r="167" spans="1:14" x14ac:dyDescent="0.3">
      <c r="A167" t="s">
        <v>206</v>
      </c>
      <c r="B167" s="7">
        <f>+B138+B141+B144+B147+B150+B153+B156+B159+B162</f>
        <v>80311696.570000008</v>
      </c>
      <c r="C167" s="7">
        <f t="shared" ref="C167:N167" si="28">+C138+C141+C144+C147+C150+C153+C156+C159+C162</f>
        <v>0</v>
      </c>
      <c r="D167" s="7">
        <f t="shared" si="28"/>
        <v>0</v>
      </c>
      <c r="E167" s="7">
        <f t="shared" si="28"/>
        <v>0</v>
      </c>
      <c r="F167" s="7">
        <f t="shared" si="28"/>
        <v>0</v>
      </c>
      <c r="G167" s="7">
        <f t="shared" si="28"/>
        <v>0</v>
      </c>
      <c r="H167" s="7">
        <f t="shared" si="28"/>
        <v>0</v>
      </c>
      <c r="I167" s="7">
        <f t="shared" si="28"/>
        <v>0</v>
      </c>
      <c r="J167" s="7">
        <f t="shared" si="28"/>
        <v>0</v>
      </c>
      <c r="K167" s="7">
        <f t="shared" si="28"/>
        <v>0</v>
      </c>
      <c r="L167" s="7">
        <f t="shared" si="28"/>
        <v>0</v>
      </c>
      <c r="M167" s="7">
        <f t="shared" si="28"/>
        <v>0</v>
      </c>
      <c r="N167" s="7">
        <f t="shared" si="28"/>
        <v>0</v>
      </c>
    </row>
    <row r="168" spans="1:14" x14ac:dyDescent="0.3">
      <c r="A168" t="s">
        <v>207</v>
      </c>
      <c r="B168" s="7">
        <f t="shared" ref="B168:N169" si="29">+B139+B142+B145+B148+B151+B154+B157+B160+B163</f>
        <v>4222722.43</v>
      </c>
      <c r="C168" s="7">
        <f t="shared" si="29"/>
        <v>0</v>
      </c>
      <c r="D168" s="7">
        <f t="shared" si="29"/>
        <v>0</v>
      </c>
      <c r="E168" s="7">
        <f t="shared" si="29"/>
        <v>0</v>
      </c>
      <c r="F168" s="7">
        <f t="shared" si="29"/>
        <v>0</v>
      </c>
      <c r="G168" s="7">
        <f t="shared" si="29"/>
        <v>0</v>
      </c>
      <c r="H168" s="7">
        <f t="shared" si="29"/>
        <v>0</v>
      </c>
      <c r="I168" s="7">
        <f t="shared" si="29"/>
        <v>0</v>
      </c>
      <c r="J168" s="7">
        <f t="shared" si="29"/>
        <v>0</v>
      </c>
      <c r="K168" s="7">
        <f t="shared" si="29"/>
        <v>0</v>
      </c>
      <c r="L168" s="7">
        <f t="shared" si="29"/>
        <v>0</v>
      </c>
      <c r="M168" s="7">
        <f t="shared" si="29"/>
        <v>0</v>
      </c>
      <c r="N168" s="7">
        <f t="shared" si="29"/>
        <v>0</v>
      </c>
    </row>
    <row r="169" spans="1:14" x14ac:dyDescent="0.3">
      <c r="A169" t="s">
        <v>208</v>
      </c>
      <c r="B169" s="7">
        <f t="shared" si="29"/>
        <v>3831691.7800000003</v>
      </c>
      <c r="C169" s="7">
        <f t="shared" si="29"/>
        <v>0</v>
      </c>
      <c r="D169" s="7">
        <f t="shared" si="29"/>
        <v>0</v>
      </c>
      <c r="E169" s="7">
        <f t="shared" si="29"/>
        <v>0</v>
      </c>
      <c r="F169" s="7">
        <f t="shared" si="29"/>
        <v>0</v>
      </c>
      <c r="G169" s="7">
        <f t="shared" si="29"/>
        <v>0</v>
      </c>
      <c r="H169" s="7">
        <f t="shared" si="29"/>
        <v>0</v>
      </c>
      <c r="I169" s="7">
        <f t="shared" si="29"/>
        <v>0</v>
      </c>
      <c r="J169" s="7">
        <f t="shared" si="29"/>
        <v>0</v>
      </c>
      <c r="K169" s="7">
        <f t="shared" si="29"/>
        <v>0</v>
      </c>
      <c r="L169" s="7">
        <f t="shared" si="29"/>
        <v>0</v>
      </c>
      <c r="M169" s="7">
        <f t="shared" si="29"/>
        <v>0</v>
      </c>
      <c r="N169" s="7">
        <f t="shared" si="29"/>
        <v>0</v>
      </c>
    </row>
    <row r="170" spans="1:14" x14ac:dyDescent="0.3">
      <c r="B170" s="8">
        <f>+B166-B132</f>
        <v>98170132.690000013</v>
      </c>
    </row>
    <row r="171" spans="1:14" x14ac:dyDescent="0.3">
      <c r="B171" s="8">
        <f>+B170-B133</f>
        <v>9804021.9100000113</v>
      </c>
    </row>
    <row r="172" spans="1:14" x14ac:dyDescent="0.3">
      <c r="B172" s="8"/>
    </row>
    <row r="173" spans="1:14" x14ac:dyDescent="0.3">
      <c r="B173" s="6"/>
    </row>
    <row r="174" spans="1:14" x14ac:dyDescent="0.3">
      <c r="B174" s="5"/>
    </row>
    <row r="175" spans="1:14" x14ac:dyDescent="0.3">
      <c r="B175" s="6"/>
    </row>
    <row r="176" spans="1:14" x14ac:dyDescent="0.3">
      <c r="B176" s="6"/>
    </row>
    <row r="177" spans="2:2" x14ac:dyDescent="0.3">
      <c r="B177" s="6"/>
    </row>
    <row r="178" spans="2:2" x14ac:dyDescent="0.3">
      <c r="B178" s="6"/>
    </row>
    <row r="179" spans="2:2" x14ac:dyDescent="0.3">
      <c r="B179" s="6"/>
    </row>
    <row r="180" spans="2:2" x14ac:dyDescent="0.3">
      <c r="B180" s="7"/>
    </row>
    <row r="181" spans="2:2" x14ac:dyDescent="0.3">
      <c r="B181" s="5"/>
    </row>
    <row r="182" spans="2:2" x14ac:dyDescent="0.3">
      <c r="B182" s="6"/>
    </row>
    <row r="183" spans="2:2" x14ac:dyDescent="0.3">
      <c r="B183" s="6"/>
    </row>
    <row r="184" spans="2:2" x14ac:dyDescent="0.3">
      <c r="B184" s="6"/>
    </row>
    <row r="185" spans="2:2" x14ac:dyDescent="0.3">
      <c r="B185" s="6"/>
    </row>
    <row r="186" spans="2:2" x14ac:dyDescent="0.3">
      <c r="B186" s="6"/>
    </row>
    <row r="187" spans="2:2" x14ac:dyDescent="0.3">
      <c r="B187" s="7"/>
    </row>
    <row r="188" spans="2:2" x14ac:dyDescent="0.3">
      <c r="B188" s="5"/>
    </row>
    <row r="189" spans="2:2" x14ac:dyDescent="0.3">
      <c r="B189" s="6"/>
    </row>
    <row r="190" spans="2:2" x14ac:dyDescent="0.3">
      <c r="B190" s="6"/>
    </row>
    <row r="191" spans="2:2" x14ac:dyDescent="0.3">
      <c r="B191" s="6"/>
    </row>
    <row r="192" spans="2:2" x14ac:dyDescent="0.3">
      <c r="B192" s="6"/>
    </row>
    <row r="193" spans="2:2" x14ac:dyDescent="0.3">
      <c r="B193" s="6"/>
    </row>
    <row r="194" spans="2:2" x14ac:dyDescent="0.3">
      <c r="B194" s="6"/>
    </row>
    <row r="195" spans="2:2" x14ac:dyDescent="0.3">
      <c r="B195" s="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7</vt:i4>
      </vt:variant>
      <vt:variant>
        <vt:lpstr>Rangos con nombre</vt:lpstr>
      </vt:variant>
      <vt:variant>
        <vt:i4>2</vt:i4>
      </vt:variant>
    </vt:vector>
  </HeadingPairs>
  <TitlesOfParts>
    <vt:vector size="9" baseType="lpstr">
      <vt:lpstr>ÍNDICE</vt:lpstr>
      <vt:lpstr>INTRODUCCIÓN</vt:lpstr>
      <vt:lpstr>ESTADO FINANCIERO</vt:lpstr>
      <vt:lpstr>RESULTADOS DEL EJERCICIO</vt:lpstr>
      <vt:lpstr>CLASIFICACIÓN DE CARTERA</vt:lpstr>
      <vt:lpstr>RANKING</vt:lpstr>
      <vt:lpstr>INDICADORES FINANCIEROS</vt:lpstr>
      <vt:lpstr>BALANCE</vt:lpstr>
      <vt:lpstr>ESTADO_FINANCIERO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Mejía Ramiro Francisco</dc:creator>
  <cp:lastModifiedBy>Garcia Sonia Karina</cp:lastModifiedBy>
  <dcterms:created xsi:type="dcterms:W3CDTF">2017-02-14T21:22:51Z</dcterms:created>
  <dcterms:modified xsi:type="dcterms:W3CDTF">2019-03-21T21:28:05Z</dcterms:modified>
</cp:coreProperties>
</file>